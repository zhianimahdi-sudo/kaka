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راهنما" sheetId="1" state="visible" r:id="rId1"/>
    <sheet name="تنظیمات" sheetId="2" state="visible" r:id="rId2"/>
    <sheet name="فهرست‌ها" sheetId="3" state="visible" r:id="rId3"/>
    <sheet name="اعضا" sheetId="4" state="visible" r:id="rId4"/>
    <sheet name="تراکنش‌ها" sheetId="5" state="visible" r:id="rId5"/>
    <sheet name="ماشین‌حساب" sheetId="6" state="visible" r:id="rId6"/>
    <sheet name="گزارش‌ها" sheetId="7" state="visible" r:id="rId7"/>
    <sheet name="داشبورد" sheetId="8" state="visible" r:id="rId8"/>
    <sheet name="کنترل کیفیت" sheetId="9" state="visible" r:id="rId9"/>
    <sheet name="تقویم" sheetId="10" state="visible" r:id="rId10"/>
  </sheets>
  <definedNames>
    <definedName name="p_Company">'تنظیمات'!$B$6</definedName>
    <definedName name="p_Currency">'تنظیمات'!$B$7</definedName>
    <definedName name="p_Year">'تنظیمات'!$B$8</definedName>
    <definedName name="p_Tax">'تنظیمات'!$B$9</definedName>
    <definedName name="p_Min">'تنظیمات'!$B$10</definedName>
    <definedName name="p_Max">'تنظیمات'!$B$11</definedName>
    <definedName name="p_Due">'تنظیمات'!$B$12</definedName>
    <definedName name="p_TierMode">'تنظیمات'!$B$13</definedName>
    <definedName name="p_DefaultShare">'تنظیمات'!$B$14</definedName>
    <definedName name="p_LowAct">'تنظیمات'!$B$15</definedName>
    <definedName name="p_Target">'تنظیمات'!$B$16</definedName>
    <definedName name="t_Tier_From">'تنظیمات'!$B$20:$B$23</definedName>
    <definedName name="t_Tier_Rate">'تنظیمات'!$C$20:$C$23</definedName>
    <definedName name="lst_Service">OFFSET('فهرست‌ها'!$A$6,0,0,COUNTA('فهرست‌ها'!$A$6:$A$16),1)</definedName>
    <definedName name="t_Svc_Rate">OFFSET('فهرست‌ها'!$B$6,0,0,COUNTA('فهرست‌ها'!$B$6:$B$16),1)</definedName>
    <definedName name="t_Svc_Cat">OFFSET('فهرست‌ها'!$C$6,0,0,COUNTA('فهرست‌ها'!$C$6:$C$16),1)</definedName>
    <definedName name="lst_Status">OFFSET('فهرست‌ها'!$A$19,0,0,COUNTA('فهرست‌ها'!$A$19:$A$28),1)</definedName>
    <definedName name="t_Sta_Group">OFFSET('فهرست‌ها'!$B$19,0,0,COUNTA('فهرست‌ها'!$B$19:$B$28),1)</definedName>
    <definedName name="lst_Contractor">OFFSET('فهرست‌ها'!$A$31,0,0,COUNTA('فهرست‌ها'!$A$31:$A$41),1)</definedName>
    <definedName name="t_Cli_City">OFFSET('فهرست‌ها'!$B$31,0,0,COUNTA('فهرست‌ها'!$B$31:$B$41),1)</definedName>
    <definedName name="lst_Category">OFFSET('فهرست‌ها'!$A$44,0,0,COUNTA('فهرست‌ها'!$A$44:$A$52),1)</definedName>
    <definedName name="lst_Role">OFFSET('فهرست‌ها'!$A$55,0,0,COUNTA('فهرست‌ها'!$A$55:$A$63),1)</definedName>
    <definedName name="lst_YesNo">OFFSET('فهرست‌ها'!$A$66,0,0,COUNTA('فهرست‌ها'!$A$66:$A$71),1)</definedName>
    <definedName name="lst_TierMode">OFFSET('فهرست‌ها'!$A$74,0,0,COUNTA('فهرست‌ها'!$A$74:$A$78),1)</definedName>
    <definedName name="t_Members">OFFSET('اعضا'!$A$6,0,0,COUNTA('اعضا'!$A$6:$A$18),1)</definedName>
    <definedName name="t_Member_Role">OFFSET('اعضا'!$B$6,0,0,COUNTA('اعضا'!$B$6:$B$18),1)</definedName>
    <definedName name="t_Member_Share">OFFSET('اعضا'!$C$6,0,0,COUNTA('اعضا'!$C$6:$C$18),1)</definedName>
    <definedName name="t_Member_Active">OFFSET('اعضا'!$D$6,0,0,COUNTA('اعضا'!$D$6:$D$18),1)</definedName>
    <definedName name="cal_Date">'تقویم'!$A$6:$A$5119</definedName>
    <definedName name="cal_Serial">'تقویم'!$B$6:$B$5119</definedName>
    <definedName name="cal_JYear">'تقویم'!$C$6:$C$5119</definedName>
    <definedName name="cal_JMonth">'تقویم'!$D$6:$D$5119</definedName>
    <definedName name="cal_Key">'تقویم'!$E$6:$E$5119</definedName>
    <definedName name="cal_YM">'تقویم'!$F$6:$F$5119</definedName>
    <definedName name="cal_MName">'تقویم'!$G$6:$G$5119</definedName>
    <definedName name="cal_Season">'تقویم'!$H$6:$H$5119</definedName>
    <definedName name="cal_WDay">'تقویم'!$I$6:$I$5119</definedName>
    <definedName name="cal_Workday">'تقویم'!$J$6:$J$5119</definedName>
    <definedName name="f_Year">'داشبورد'!$B$3</definedName>
    <definedName name="f_MonthKey">'داشبورد'!$E$3</definedName>
    <definedName name="m_Member">'ماشین‌حساب'!$C$6</definedName>
    <definedName name="m_Service">'ماشین‌حساب'!$C$7</definedName>
    <definedName name="m_Amount">'ماشین‌حساب'!$C$8</definedName>
    <definedName name="m_Factor">'ماشین‌حساب'!$C$9</definedName>
    <definedName name="m_Share">'ماشین‌حساب'!$C$10</definedName>
    <definedName name="m_Status">'ماشین‌حساب'!$C$11</definedName>
    <definedName name="_xlnm.Print_Area" localSheetId="0">'راهنما'!$A$1:$H$40</definedName>
    <definedName name="_xlnm.Print_Area" localSheetId="1">'تنظیمات'!$A$1:$C$32</definedName>
    <definedName name="_xlnm.Print_Area" localSheetId="2">'فهرست‌ها'!$A$1:$D$66</definedName>
    <definedName name="_xlnm.Print_Area" localSheetId="3">'اعضا'!$A$1:$J$18</definedName>
    <definedName name="_xlnm.Print_Titles" localSheetId="4">'تراکنش‌ها'!$5:$5</definedName>
    <definedName name="_xlnm.Print_Area" localSheetId="4">'تراکنش‌ها'!$A$1:$Z$305</definedName>
    <definedName name="_xlnm.Print_Area" localSheetId="5">'ماشین‌حساب'!$A$1:$H$34</definedName>
    <definedName name="_xlnm.Print_Titles" localSheetId="6">'گزارش‌ها'!$1:$2</definedName>
    <definedName name="_xlnm.Print_Area" localSheetId="6">'گزارش‌ها'!$A$1:$J$58</definedName>
    <definedName name="_xlnm.Print_Area" localSheetId="7">'داشبورد'!$A$1:$P$40</definedName>
    <definedName name="_xlnm.Print_Area" localSheetId="8">'کنترل کیفیت'!$A$1:$G$20</definedName>
    <definedName name="_xlnm.Print_Titles" localSheetId="9">'تقویم'!$5:$5</definedName>
    <definedName name="_xlnm.Print_Area" localSheetId="9">'تقویم'!$A$1:$J$200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&quot; مورد&quot;"/>
    <numFmt numFmtId="165" formatCode="#,##0&quot; ریال&quot;"/>
    <numFmt numFmtId="166" formatCode="0.0%"/>
    <numFmt numFmtId="167" formatCode="0.000"/>
    <numFmt numFmtId="168" formatCode="yyyy-mm-dd"/>
    <numFmt numFmtId="169" formatCode="yyyy/mm/dd"/>
  </numFmts>
  <fonts count="50">
    <font>
      <name val="Calibri"/>
      <family val="2"/>
      <color theme="1"/>
      <sz val="11"/>
      <scheme val="minor"/>
    </font>
    <font>
      <name val="Tahoma"/>
      <b val="1"/>
      <strike val="0"/>
      <color rgb="00FFFFFF"/>
      <sz val="17"/>
    </font>
    <font>
      <name val="Tahoma"/>
      <strike val="0"/>
      <color rgb="00FFFFFF"/>
      <sz val="9.5"/>
    </font>
    <font>
      <name val="Tahoma"/>
      <b val="1"/>
      <strike val="0"/>
      <color rgb="0012314F"/>
      <sz val="11.5"/>
    </font>
    <font>
      <name val="Tahoma"/>
      <b val="1"/>
      <strike val="0"/>
      <color rgb="0064748B"/>
      <sz val="9"/>
    </font>
    <font>
      <name val="Tahoma"/>
      <b val="1"/>
      <strike val="0"/>
      <color rgb="0012314F"/>
      <sz val="13"/>
    </font>
    <font>
      <name val="Tahoma"/>
      <b val="1"/>
      <strike val="0"/>
      <color rgb="00FFFFFF"/>
      <sz val="9.5"/>
    </font>
    <font>
      <name val="Tahoma"/>
      <b val="1"/>
      <strike val="0"/>
      <color rgb="001F5C8B"/>
      <sz val="10"/>
    </font>
    <font>
      <name val="Tahoma"/>
      <strike val="0"/>
      <color rgb="001B2733"/>
      <sz val="9"/>
    </font>
    <font>
      <name val="Tahoma"/>
      <strike val="0"/>
      <color rgb="0064748B"/>
      <sz val="8.5"/>
    </font>
    <font>
      <name val="Tahoma"/>
      <b val="1"/>
      <strike val="0"/>
      <color rgb="001B2733"/>
      <sz val="10"/>
    </font>
    <font>
      <name val="Tahoma"/>
      <b val="1"/>
      <strike val="0"/>
      <color rgb="001F5C8B"/>
      <sz val="14"/>
    </font>
    <font>
      <name val="Tahoma"/>
      <b val="1"/>
      <strike val="0"/>
      <color rgb="0064748B"/>
      <sz val="14"/>
    </font>
    <font>
      <name val="Tahoma"/>
      <b val="1"/>
      <strike val="0"/>
      <color rgb="001E8449"/>
      <sz val="10"/>
    </font>
    <font>
      <name val="Tahoma"/>
      <b val="1"/>
      <strike val="0"/>
      <color rgb="001E8449"/>
      <sz val="14"/>
    </font>
    <font>
      <name val="Tahoma"/>
      <b val="1"/>
      <strike val="0"/>
      <color rgb="00B7791F"/>
      <sz val="10"/>
    </font>
    <font>
      <name val="Tahoma"/>
      <b val="1"/>
      <strike val="0"/>
      <color rgb="00B7791F"/>
      <sz val="14"/>
    </font>
    <font>
      <name val="Tahoma"/>
      <b val="1"/>
      <strike val="0"/>
      <color rgb="00B03A2E"/>
      <sz val="10"/>
    </font>
    <font>
      <name val="Tahoma"/>
      <b val="1"/>
      <strike val="0"/>
      <color rgb="00B03A2E"/>
      <sz val="14"/>
    </font>
    <font>
      <name val="Tahoma"/>
      <b val="1"/>
      <strike val="0"/>
      <color rgb="00FFFFFF"/>
      <sz val="10"/>
    </font>
    <font>
      <name val="Tahoma"/>
      <b val="1"/>
      <strike val="0"/>
      <color rgb="00C9A227"/>
      <sz val="14"/>
    </font>
    <font>
      <name val="Tahoma"/>
      <strike val="0"/>
      <color rgb="001F5C8B"/>
      <sz val="9"/>
    </font>
    <font>
      <name val="Tahoma"/>
      <b val="1"/>
      <strike val="0"/>
      <color rgb="0012314F"/>
      <sz val="11"/>
    </font>
    <font>
      <name val="Tahoma"/>
      <strike val="0"/>
      <color rgb="0064748B"/>
      <sz val="9"/>
    </font>
    <font>
      <name val="Tahoma"/>
      <b val="1"/>
      <strike val="0"/>
      <color rgb="000E8C8C"/>
      <sz val="9.5"/>
    </font>
    <font>
      <name val="Tahoma"/>
      <strike val="0"/>
      <color rgb="001B2733"/>
      <sz val="10"/>
    </font>
    <font>
      <name val="Tahoma"/>
      <b val="1"/>
      <strike val="0"/>
      <color rgb="0012314F"/>
      <sz val="10"/>
    </font>
    <font>
      <name val="Tahoma"/>
      <strike val="0"/>
      <color rgb="001B2733"/>
      <sz val="9.5"/>
    </font>
    <font>
      <name val="Tahoma"/>
      <b val="1"/>
      <strike val="0"/>
      <color rgb="000E8C8C"/>
      <sz val="10"/>
    </font>
    <font>
      <name val="Tahoma"/>
      <b val="1"/>
      <strike val="0"/>
      <color rgb="001E8449"/>
      <sz val="9.5"/>
    </font>
    <font>
      <name val="Tahoma"/>
      <strike val="0"/>
      <color rgb="0064748B"/>
      <sz val="9.5"/>
    </font>
    <font>
      <name val="Tahoma"/>
      <i val="1"/>
      <strike val="0"/>
      <color rgb="0064748B"/>
      <sz val="9.5"/>
    </font>
    <font>
      <name val="Tahoma"/>
      <b val="1"/>
      <strike val="0"/>
      <color rgb="00FFFFFF"/>
      <sz val="10.5"/>
    </font>
    <font>
      <name val="Tahoma"/>
      <strike val="0"/>
      <color rgb="00DCE9F5"/>
      <sz val="9"/>
    </font>
    <font>
      <name val="Tahoma"/>
      <b val="1"/>
      <strike val="0"/>
      <color rgb="001F5C8B"/>
      <sz val="9"/>
    </font>
    <font>
      <name val="Tahoma"/>
      <b val="1"/>
      <strike val="0"/>
      <color rgb="000E8C8C"/>
      <sz val="9"/>
    </font>
    <font>
      <name val="Tahoma"/>
      <b val="1"/>
      <strike val="0"/>
      <color rgb="00FFFFFF"/>
      <sz val="9"/>
    </font>
    <font>
      <name val="Tahoma"/>
      <b val="1"/>
      <strike val="0"/>
      <color rgb="0012314F"/>
      <sz val="9.5"/>
    </font>
    <font>
      <name val="Tahoma"/>
      <b val="1"/>
      <strike val="0"/>
      <color rgb="001B2733"/>
      <sz val="9.5"/>
    </font>
    <font>
      <name val="Tahoma"/>
      <b val="1"/>
      <strike val="0"/>
      <color rgb="0012314F"/>
      <sz val="10.5"/>
    </font>
    <font>
      <name val="Tahoma"/>
      <b val="1"/>
      <strike val="0"/>
      <color rgb="000E8C8C"/>
      <sz val="10.5"/>
    </font>
    <font>
      <name val="Tahoma"/>
      <b val="1"/>
      <strike val="0"/>
      <color rgb="001E8449"/>
      <sz val="13"/>
    </font>
    <font>
      <name val="Tahoma"/>
      <b val="1"/>
      <strike val="0"/>
      <color rgb="00C9A227"/>
      <sz val="10"/>
    </font>
    <font>
      <name val="Tahoma"/>
      <b val="1"/>
      <strike val="0"/>
      <color rgb="000E8C8C"/>
      <sz val="12"/>
    </font>
    <font>
      <name val="Tahoma"/>
      <strike val="0"/>
      <color rgb="0064748B"/>
      <sz val="8"/>
    </font>
    <font>
      <name val="Tahoma"/>
      <b val="1"/>
      <strike val="0"/>
      <color rgb="000E8C8C"/>
      <sz val="13"/>
    </font>
    <font>
      <name val="Tahoma"/>
      <b val="1"/>
      <strike val="0"/>
      <color rgb="001F5C8B"/>
      <sz val="13"/>
    </font>
    <font>
      <name val="Tahoma"/>
      <b val="1"/>
      <strike val="0"/>
      <color rgb="00B7791F"/>
      <sz val="13"/>
    </font>
    <font>
      <name val="Tahoma"/>
      <b val="1"/>
      <strike val="0"/>
      <color rgb="00FFFFFF"/>
      <sz val="12"/>
    </font>
    <font>
      <name val="Tahoma"/>
      <b val="1"/>
      <strike val="0"/>
      <color rgb="001B2733"/>
      <sz val="12"/>
    </font>
  </fonts>
  <fills count="15">
    <fill>
      <patternFill/>
    </fill>
    <fill>
      <patternFill patternType="gray125"/>
    </fill>
    <fill>
      <patternFill patternType="solid">
        <fgColor rgb="0012314F"/>
        <bgColor rgb="0012314F"/>
      </patternFill>
    </fill>
    <fill>
      <patternFill patternType="solid">
        <fgColor rgb="001F5C8B"/>
        <bgColor rgb="001F5C8B"/>
      </patternFill>
    </fill>
    <fill>
      <patternFill patternType="solid">
        <fgColor rgb="00E3F2F2"/>
        <bgColor rgb="00E3F2F2"/>
      </patternFill>
    </fill>
    <fill>
      <patternFill patternType="solid">
        <fgColor rgb="00DCE9F5"/>
        <bgColor rgb="00DCE9F5"/>
      </patternFill>
    </fill>
    <fill>
      <patternFill patternType="solid">
        <fgColor rgb="00FFFFFF"/>
        <bgColor rgb="00FFFFFF"/>
      </patternFill>
    </fill>
    <fill>
      <patternFill patternType="solid">
        <fgColor rgb="00F5F8FB"/>
        <bgColor rgb="00F5F8FB"/>
      </patternFill>
    </fill>
    <fill>
      <patternFill patternType="solid">
        <fgColor rgb="00EAF2FD"/>
        <bgColor rgb="00EAF2FD"/>
      </patternFill>
    </fill>
    <fill>
      <patternFill patternType="solid">
        <fgColor rgb="00FBFCFD"/>
        <bgColor rgb="00FBFCFD"/>
      </patternFill>
    </fill>
    <fill>
      <patternFill patternType="solid">
        <fgColor rgb="00E8F5EE"/>
        <bgColor rgb="00E8F5EE"/>
      </patternFill>
    </fill>
    <fill>
      <patternFill patternType="solid">
        <fgColor rgb="00FDF3E3"/>
        <bgColor rgb="00FDF3E3"/>
      </patternFill>
    </fill>
    <fill>
      <patternFill patternType="solid">
        <fgColor rgb="00FBEAE8"/>
        <bgColor rgb="00FBEAE8"/>
      </patternFill>
    </fill>
    <fill>
      <patternFill patternType="solid">
        <fgColor rgb="00C9A227"/>
        <bgColor rgb="00C9A227"/>
      </patternFill>
    </fill>
    <fill>
      <patternFill patternType="solid">
        <fgColor rgb="000E8C8C"/>
        <bgColor rgb="000E8C8C"/>
      </patternFill>
    </fill>
  </fills>
  <borders count="12">
    <border>
      <left/>
      <right/>
      <top/>
      <bottom/>
      <diagonal/>
    </border>
    <border>
      <bottom style="medium">
        <color rgb="00C9A227"/>
      </bottom>
    </border>
    <border>
      <bottom style="medium">
        <color rgb="000E8C8C"/>
      </bottom>
    </border>
    <border>
      <bottom style="medium">
        <color rgb="0012314F"/>
      </bottom>
    </border>
    <border>
      <bottom style="medium">
        <color rgb="001F5C8B"/>
      </bottom>
    </border>
    <border>
      <bottom style="thin">
        <color rgb="00D7E0E8"/>
      </bottom>
    </border>
    <border>
      <left style="thick">
        <color rgb="000E8C8C"/>
      </left>
    </border>
    <border>
      <left style="thin">
        <color rgb="001F5C8B"/>
      </left>
      <right style="thin">
        <color rgb="001F5C8B"/>
      </right>
      <top style="thin">
        <color rgb="001F5C8B"/>
      </top>
      <bottom style="thin">
        <color rgb="001F5C8B"/>
      </bottom>
    </border>
    <border>
      <left/>
      <right/>
      <top/>
      <bottom style="medium">
        <color rgb="001F5C8B"/>
      </bottom>
      <diagonal/>
    </border>
    <border>
      <left style="thin">
        <color rgb="00D7E0E8"/>
      </left>
      <right style="thin">
        <color rgb="00D7E0E8"/>
      </right>
      <top style="thin">
        <color rgb="00D7E0E8"/>
      </top>
      <bottom style="thin">
        <color rgb="00D7E0E8"/>
      </bottom>
    </border>
    <border>
      <bottom style="medium">
        <color rgb="001E8449"/>
      </bottom>
    </border>
    <border>
      <bottom style="medium">
        <color rgb="00B7791F"/>
      </bottom>
    </border>
  </borders>
  <cellStyleXfs count="1">
    <xf numFmtId="0" fontId="0" fillId="0" borderId="0"/>
  </cellStyleXfs>
  <cellXfs count="179">
    <xf numFmtId="0" fontId="0" fillId="0" borderId="0" pivotButton="0" quotePrefix="0" xfId="0"/>
    <xf numFmtId="0" fontId="1" fillId="2" borderId="0" applyAlignment="1" pivotButton="0" quotePrefix="0" xfId="0">
      <alignment horizontal="right" vertical="center" wrapText="1" indent="1" readingOrder="2"/>
    </xf>
    <xf numFmtId="0" fontId="0" fillId="2" borderId="0" pivotButton="0" quotePrefix="0" xfId="0"/>
    <xf numFmtId="0" fontId="2" fillId="3" borderId="1" applyAlignment="1" pivotButton="0" quotePrefix="0" xfId="0">
      <alignment horizontal="right" vertical="center" wrapText="1" indent="1" readingOrder="2"/>
    </xf>
    <xf numFmtId="0" fontId="0" fillId="3" borderId="1" pivotButton="0" quotePrefix="0" xfId="0"/>
    <xf numFmtId="0" fontId="3" fillId="0" borderId="2" applyAlignment="1" pivotButton="0" quotePrefix="0" xfId="0">
      <alignment horizontal="right" vertical="center" wrapText="1" indent="1" readingOrder="2"/>
    </xf>
    <xf numFmtId="0" fontId="0" fillId="0" borderId="2" pivotButton="0" quotePrefix="0" xfId="0"/>
    <xf numFmtId="0" fontId="4" fillId="4" borderId="0" applyAlignment="1" pivotButton="0" quotePrefix="0" xfId="0">
      <alignment horizontal="center" vertical="center" wrapText="1" readingOrder="2"/>
    </xf>
    <xf numFmtId="0" fontId="0" fillId="4" borderId="0" pivotButton="0" quotePrefix="0" xfId="0"/>
    <xf numFmtId="0" fontId="4" fillId="5" borderId="0" applyAlignment="1" pivotButton="0" quotePrefix="0" xfId="0">
      <alignment horizontal="center" vertical="center" wrapText="1" readingOrder="2"/>
    </xf>
    <xf numFmtId="0" fontId="0" fillId="5" borderId="0" pivotButton="0" quotePrefix="0" xfId="0"/>
    <xf numFmtId="164" fontId="5" fillId="4" borderId="3" applyAlignment="1" pivotButton="0" quotePrefix="0" xfId="0">
      <alignment horizontal="center" vertical="center" wrapText="1" readingOrder="2"/>
    </xf>
    <xf numFmtId="0" fontId="0" fillId="4" borderId="3" pivotButton="0" quotePrefix="0" xfId="0"/>
    <xf numFmtId="165" fontId="5" fillId="5" borderId="3" applyAlignment="1" pivotButton="0" quotePrefix="0" xfId="0">
      <alignment horizontal="center" vertical="center" wrapText="1" readingOrder="2"/>
    </xf>
    <xf numFmtId="0" fontId="0" fillId="5" borderId="3" pivotButton="0" quotePrefix="0" xfId="0"/>
    <xf numFmtId="165" fontId="5" fillId="4" borderId="3" applyAlignment="1" pivotButton="0" quotePrefix="0" xfId="0">
      <alignment horizontal="center" vertical="center" wrapText="1" readingOrder="2"/>
    </xf>
    <xf numFmtId="1" fontId="5" fillId="5" borderId="3" applyAlignment="1" pivotButton="0" quotePrefix="0" xfId="0">
      <alignment horizontal="center" vertical="center" wrapText="1" readingOrder="2"/>
    </xf>
    <xf numFmtId="0" fontId="6" fillId="2" borderId="4" applyAlignment="1" pivotButton="0" quotePrefix="0" xfId="0">
      <alignment horizontal="center" vertical="center" wrapText="1" readingOrder="2"/>
    </xf>
    <xf numFmtId="0" fontId="4" fillId="6" borderId="5" applyAlignment="1" pivotButton="0" quotePrefix="0" xfId="0">
      <alignment horizontal="center" vertical="center" wrapText="1" readingOrder="2"/>
    </xf>
    <xf numFmtId="0" fontId="7" fillId="6" borderId="5" applyAlignment="1" pivotButton="0" quotePrefix="0" xfId="0">
      <alignment horizontal="right" vertical="center" wrapText="1" indent="1" readingOrder="2"/>
    </xf>
    <xf numFmtId="0" fontId="8" fillId="6" borderId="5" applyAlignment="1" pivotButton="0" quotePrefix="0" xfId="0">
      <alignment horizontal="right" vertical="center" wrapText="1" indent="1" readingOrder="2"/>
    </xf>
    <xf numFmtId="0" fontId="9" fillId="6" borderId="5" applyAlignment="1" pivotButton="0" quotePrefix="0" xfId="0">
      <alignment horizontal="center" vertical="center" wrapText="1" readingOrder="2"/>
    </xf>
    <xf numFmtId="0" fontId="4" fillId="7" borderId="5" applyAlignment="1" pivotButton="0" quotePrefix="0" xfId="0">
      <alignment horizontal="center" vertical="center" wrapText="1" readingOrder="2"/>
    </xf>
    <xf numFmtId="0" fontId="7" fillId="7" borderId="5" applyAlignment="1" pivotButton="0" quotePrefix="0" xfId="0">
      <alignment horizontal="right" vertical="center" wrapText="1" indent="1" readingOrder="2"/>
    </xf>
    <xf numFmtId="0" fontId="8" fillId="7" borderId="5" applyAlignment="1" pivotButton="0" quotePrefix="0" xfId="0">
      <alignment horizontal="right" vertical="center" wrapText="1" indent="1" readingOrder="2"/>
    </xf>
    <xf numFmtId="0" fontId="9" fillId="7" borderId="5" applyAlignment="1" pivotButton="0" quotePrefix="0" xfId="0">
      <alignment horizontal="center" vertical="center" wrapText="1" readingOrder="2"/>
    </xf>
    <xf numFmtId="0" fontId="8" fillId="0" borderId="5" applyAlignment="1" pivotButton="0" quotePrefix="0" xfId="0">
      <alignment horizontal="right" vertical="center" wrapText="1" indent="1" readingOrder="2"/>
    </xf>
    <xf numFmtId="0" fontId="10" fillId="6" borderId="5" applyAlignment="1" pivotButton="0" quotePrefix="0" xfId="0">
      <alignment horizontal="center" vertical="center" wrapText="1" readingOrder="2"/>
    </xf>
    <xf numFmtId="0" fontId="11" fillId="0" borderId="0" applyAlignment="1" pivotButton="0" quotePrefix="0" xfId="0">
      <alignment horizontal="center" vertical="center" wrapText="1" readingOrder="2"/>
    </xf>
    <xf numFmtId="0" fontId="10" fillId="7" borderId="5" applyAlignment="1" pivotButton="0" quotePrefix="0" xfId="0">
      <alignment horizontal="center" vertical="center" wrapText="1" readingOrder="2"/>
    </xf>
    <xf numFmtId="0" fontId="12" fillId="0" borderId="0" applyAlignment="1" pivotButton="0" quotePrefix="0" xfId="0">
      <alignment horizontal="center" vertical="center" wrapText="1" readingOrder="2"/>
    </xf>
    <xf numFmtId="0" fontId="13" fillId="7" borderId="5" applyAlignment="1" pivotButton="0" quotePrefix="0" xfId="0">
      <alignment horizontal="center" vertical="center" wrapText="1" readingOrder="2"/>
    </xf>
    <xf numFmtId="0" fontId="14" fillId="0" borderId="0" applyAlignment="1" pivotButton="0" quotePrefix="0" xfId="0">
      <alignment horizontal="center" vertical="center" wrapText="1" readingOrder="2"/>
    </xf>
    <xf numFmtId="0" fontId="15" fillId="6" borderId="5" applyAlignment="1" pivotButton="0" quotePrefix="0" xfId="0">
      <alignment horizontal="center" vertical="center" wrapText="1" readingOrder="2"/>
    </xf>
    <xf numFmtId="0" fontId="16" fillId="0" borderId="0" applyAlignment="1" pivotButton="0" quotePrefix="0" xfId="0">
      <alignment horizontal="center" vertical="center" wrapText="1" readingOrder="2"/>
    </xf>
    <xf numFmtId="0" fontId="17" fillId="7" borderId="5" applyAlignment="1" pivotButton="0" quotePrefix="0" xfId="0">
      <alignment horizontal="center" vertical="center" wrapText="1" readingOrder="2"/>
    </xf>
    <xf numFmtId="0" fontId="18" fillId="0" borderId="0" applyAlignment="1" pivotButton="0" quotePrefix="0" xfId="0">
      <alignment horizontal="center" vertical="center" wrapText="1" readingOrder="2"/>
    </xf>
    <xf numFmtId="0" fontId="19" fillId="6" borderId="5" applyAlignment="1" pivotButton="0" quotePrefix="0" xfId="0">
      <alignment horizontal="center" vertical="center" wrapText="1" readingOrder="2"/>
    </xf>
    <xf numFmtId="0" fontId="20" fillId="0" borderId="0" applyAlignment="1" pivotButton="0" quotePrefix="0" xfId="0">
      <alignment horizontal="center" vertical="center" wrapText="1" readingOrder="2"/>
    </xf>
    <xf numFmtId="0" fontId="21" fillId="5" borderId="0" applyAlignment="1" pivotButton="0" quotePrefix="0" xfId="0">
      <alignment horizontal="right" vertical="center" wrapText="1" indent="1" readingOrder="2"/>
    </xf>
    <xf numFmtId="0" fontId="0" fillId="5" borderId="6" pivotButton="0" quotePrefix="0" xfId="0"/>
    <xf numFmtId="0" fontId="10" fillId="6" borderId="0" applyAlignment="1" pivotButton="0" quotePrefix="0" xfId="0">
      <alignment horizontal="right" vertical="center" wrapText="1" indent="1" readingOrder="2"/>
    </xf>
    <xf numFmtId="49" fontId="22" fillId="6" borderId="7" applyAlignment="1" pivotButton="0" quotePrefix="0" xfId="0">
      <alignment horizontal="center" vertical="center" wrapText="1" readingOrder="2"/>
    </xf>
    <xf numFmtId="0" fontId="23" fillId="6" borderId="0" applyAlignment="1" pivotButton="0" quotePrefix="0" xfId="0">
      <alignment horizontal="right" vertical="center" wrapText="1" indent="1" readingOrder="2"/>
    </xf>
    <xf numFmtId="0" fontId="10" fillId="7" borderId="0" applyAlignment="1" pivotButton="0" quotePrefix="0" xfId="0">
      <alignment horizontal="right" vertical="center" wrapText="1" indent="1" readingOrder="2"/>
    </xf>
    <xf numFmtId="49" fontId="22" fillId="7" borderId="7" applyAlignment="1" pivotButton="0" quotePrefix="0" xfId="0">
      <alignment horizontal="center" vertical="center" wrapText="1" readingOrder="2"/>
    </xf>
    <xf numFmtId="0" fontId="23" fillId="7" borderId="0" applyAlignment="1" pivotButton="0" quotePrefix="0" xfId="0">
      <alignment horizontal="right" vertical="center" wrapText="1" indent="1" readingOrder="2"/>
    </xf>
    <xf numFmtId="1" fontId="22" fillId="6" borderId="7" applyAlignment="1" pivotButton="0" quotePrefix="0" xfId="0">
      <alignment horizontal="center" vertical="center" wrapText="1" readingOrder="2"/>
    </xf>
    <xf numFmtId="166" fontId="22" fillId="7" borderId="7" applyAlignment="1" pivotButton="0" quotePrefix="0" xfId="0">
      <alignment horizontal="center" vertical="center" wrapText="1" readingOrder="2"/>
    </xf>
    <xf numFmtId="165" fontId="22" fillId="6" borderId="7" applyAlignment="1" pivotButton="0" quotePrefix="0" xfId="0">
      <alignment horizontal="center" vertical="center" wrapText="1" readingOrder="2"/>
    </xf>
    <xf numFmtId="165" fontId="22" fillId="7" borderId="7" applyAlignment="1" pivotButton="0" quotePrefix="0" xfId="0">
      <alignment horizontal="center" vertical="center" wrapText="1" readingOrder="2"/>
    </xf>
    <xf numFmtId="166" fontId="22" fillId="6" borderId="7" applyAlignment="1" pivotButton="0" quotePrefix="0" xfId="0">
      <alignment horizontal="center" vertical="center" wrapText="1" readingOrder="2"/>
    </xf>
    <xf numFmtId="1" fontId="22" fillId="7" borderId="7" applyAlignment="1" pivotButton="0" quotePrefix="0" xfId="0">
      <alignment horizontal="center" vertical="center" wrapText="1" readingOrder="2"/>
    </xf>
    <xf numFmtId="0" fontId="24" fillId="0" borderId="0" applyAlignment="1" pivotButton="0" quotePrefix="0" xfId="0">
      <alignment horizontal="center" vertical="center" wrapText="1" readingOrder="2"/>
    </xf>
    <xf numFmtId="165" fontId="25" fillId="8" borderId="0" applyAlignment="1" pivotButton="0" quotePrefix="0" xfId="0">
      <alignment horizontal="center" vertical="center" wrapText="1" readingOrder="2"/>
    </xf>
    <xf numFmtId="167" fontId="26" fillId="8" borderId="0" applyAlignment="1" pivotButton="0" quotePrefix="0" xfId="0">
      <alignment horizontal="center" vertical="center" wrapText="1" readingOrder="2"/>
    </xf>
    <xf numFmtId="0" fontId="26" fillId="6" borderId="5" applyAlignment="1" pivotButton="0" quotePrefix="0" xfId="0">
      <alignment horizontal="right" vertical="center" wrapText="1" indent="1" readingOrder="2"/>
    </xf>
    <xf numFmtId="166" fontId="27" fillId="6" borderId="5" applyAlignment="1" pivotButton="0" quotePrefix="0" xfId="0">
      <alignment horizontal="center" vertical="center" wrapText="1" readingOrder="2"/>
    </xf>
    <xf numFmtId="0" fontId="27" fillId="6" borderId="5" applyAlignment="1" pivotButton="0" quotePrefix="0" xfId="0">
      <alignment horizontal="center" vertical="center" wrapText="1" readingOrder="2"/>
    </xf>
    <xf numFmtId="0" fontId="26" fillId="7" borderId="5" applyAlignment="1" pivotButton="0" quotePrefix="0" xfId="0">
      <alignment horizontal="right" vertical="center" wrapText="1" indent="1" readingOrder="2"/>
    </xf>
    <xf numFmtId="166" fontId="27" fillId="7" borderId="5" applyAlignment="1" pivotButton="0" quotePrefix="0" xfId="0">
      <alignment horizontal="center" vertical="center" wrapText="1" readingOrder="2"/>
    </xf>
    <xf numFmtId="0" fontId="27" fillId="7" borderId="5" applyAlignment="1" pivotButton="0" quotePrefix="0" xfId="0">
      <alignment horizontal="center" vertical="center" wrapText="1" readingOrder="2"/>
    </xf>
    <xf numFmtId="0" fontId="10" fillId="6" borderId="5" applyAlignment="1" pivotButton="0" quotePrefix="0" xfId="0">
      <alignment horizontal="right" vertical="center" wrapText="1" indent="1" readingOrder="2"/>
    </xf>
    <xf numFmtId="166" fontId="26" fillId="6" borderId="5" applyAlignment="1" pivotButton="0" quotePrefix="0" xfId="0">
      <alignment horizontal="center" vertical="center" wrapText="1" readingOrder="2"/>
    </xf>
    <xf numFmtId="1" fontId="28" fillId="6" borderId="5" applyAlignment="1" pivotButton="0" quotePrefix="0" xfId="0">
      <alignment horizontal="center" vertical="center" wrapText="1" readingOrder="2"/>
    </xf>
    <xf numFmtId="165" fontId="27" fillId="6" borderId="5" applyAlignment="1" pivotButton="0" quotePrefix="0" xfId="0">
      <alignment horizontal="center" vertical="center" wrapText="1" readingOrder="2"/>
    </xf>
    <xf numFmtId="165" fontId="29" fillId="6" borderId="5" applyAlignment="1" pivotButton="0" quotePrefix="0" xfId="0">
      <alignment horizontal="center" vertical="center" wrapText="1" readingOrder="2"/>
    </xf>
    <xf numFmtId="0" fontId="30" fillId="6" borderId="5" applyAlignment="1" pivotButton="0" quotePrefix="0" xfId="0">
      <alignment horizontal="center" vertical="center" wrapText="1" readingOrder="2"/>
    </xf>
    <xf numFmtId="0" fontId="10" fillId="7" borderId="5" applyAlignment="1" pivotButton="0" quotePrefix="0" xfId="0">
      <alignment horizontal="right" vertical="center" wrapText="1" indent="1" readingOrder="2"/>
    </xf>
    <xf numFmtId="166" fontId="26" fillId="7" borderId="5" applyAlignment="1" pivotButton="0" quotePrefix="0" xfId="0">
      <alignment horizontal="center" vertical="center" wrapText="1" readingOrder="2"/>
    </xf>
    <xf numFmtId="1" fontId="28" fillId="7" borderId="5" applyAlignment="1" pivotButton="0" quotePrefix="0" xfId="0">
      <alignment horizontal="center" vertical="center" wrapText="1" readingOrder="2"/>
    </xf>
    <xf numFmtId="165" fontId="27" fillId="7" borderId="5" applyAlignment="1" pivotButton="0" quotePrefix="0" xfId="0">
      <alignment horizontal="center" vertical="center" wrapText="1" readingOrder="2"/>
    </xf>
    <xf numFmtId="165" fontId="29" fillId="7" borderId="5" applyAlignment="1" pivotButton="0" quotePrefix="0" xfId="0">
      <alignment horizontal="center" vertical="center" wrapText="1" readingOrder="2"/>
    </xf>
    <xf numFmtId="0" fontId="30" fillId="7" borderId="5" applyAlignment="1" pivotButton="0" quotePrefix="0" xfId="0">
      <alignment horizontal="center" vertical="center" wrapText="1" readingOrder="2"/>
    </xf>
    <xf numFmtId="0" fontId="31" fillId="8" borderId="5" applyAlignment="1" pivotButton="0" quotePrefix="0" xfId="0">
      <alignment horizontal="right" vertical="center" wrapText="1" indent="1" readingOrder="2"/>
    </xf>
    <xf numFmtId="0" fontId="31" fillId="8" borderId="5" applyAlignment="1" pivotButton="0" quotePrefix="0" xfId="0">
      <alignment horizontal="center" vertical="center" wrapText="1" readingOrder="2"/>
    </xf>
    <xf numFmtId="166" fontId="31" fillId="8" borderId="5" applyAlignment="1" pivotButton="0" quotePrefix="0" xfId="0">
      <alignment horizontal="center" vertical="center" wrapText="1" readingOrder="2"/>
    </xf>
    <xf numFmtId="0" fontId="32" fillId="2" borderId="0" applyAlignment="1" pivotButton="0" quotePrefix="0" xfId="0">
      <alignment horizontal="center" vertical="center" wrapText="1" readingOrder="2"/>
    </xf>
    <xf numFmtId="1" fontId="19" fillId="2" borderId="0" applyAlignment="1" pivotButton="0" quotePrefix="0" xfId="0">
      <alignment horizontal="center" vertical="center" wrapText="1" readingOrder="2"/>
    </xf>
    <xf numFmtId="165" fontId="19" fillId="2" borderId="0" applyAlignment="1" pivotButton="0" quotePrefix="0" xfId="0">
      <alignment horizontal="center" vertical="center" wrapText="1" readingOrder="2"/>
    </xf>
    <xf numFmtId="0" fontId="33" fillId="2" borderId="0" applyAlignment="1" pivotButton="0" quotePrefix="0" xfId="0">
      <alignment horizontal="center" vertical="center" wrapText="1" readingOrder="2"/>
    </xf>
    <xf numFmtId="0" fontId="34" fillId="5" borderId="0" applyAlignment="1" pivotButton="0" quotePrefix="0" xfId="0">
      <alignment horizontal="center" vertical="center" wrapText="1" readingOrder="2"/>
    </xf>
    <xf numFmtId="0" fontId="35" fillId="4" borderId="0" applyAlignment="1" pivotButton="0" quotePrefix="0" xfId="0">
      <alignment horizontal="center" vertical="center" wrapText="1" readingOrder="2"/>
    </xf>
    <xf numFmtId="0" fontId="36" fillId="2" borderId="1" applyAlignment="1" pivotButton="0" quotePrefix="0" xfId="0">
      <alignment horizontal="center" vertical="center" wrapText="1" readingOrder="2"/>
    </xf>
    <xf numFmtId="0" fontId="36" fillId="14" borderId="1" applyAlignment="1" pivotButton="0" quotePrefix="0" xfId="0">
      <alignment horizontal="center" vertical="center" wrapText="1" readingOrder="2"/>
    </xf>
    <xf numFmtId="0" fontId="37" fillId="8" borderId="0" applyAlignment="1" pivotButton="0" quotePrefix="0" xfId="0">
      <alignment horizontal="center" vertical="center" wrapText="1" readingOrder="2"/>
    </xf>
    <xf numFmtId="49" fontId="27" fillId="8" borderId="0" applyAlignment="1" pivotButton="0" quotePrefix="0" xfId="0">
      <alignment horizontal="center" vertical="center" wrapText="1" readingOrder="2"/>
    </xf>
    <xf numFmtId="49" fontId="27" fillId="8" borderId="0" applyAlignment="1" pivotButton="0" quotePrefix="0" xfId="0">
      <alignment horizontal="right" vertical="center" wrapText="1" indent="1" readingOrder="2"/>
    </xf>
    <xf numFmtId="165" fontId="27" fillId="8" borderId="0" applyAlignment="1" pivotButton="0" quotePrefix="0" xfId="0">
      <alignment horizontal="center" vertical="center" wrapText="1" readingOrder="2"/>
    </xf>
    <xf numFmtId="167" fontId="27" fillId="8" borderId="0" applyAlignment="1" pivotButton="0" quotePrefix="0" xfId="0">
      <alignment horizontal="center" vertical="center" wrapText="1" readingOrder="2"/>
    </xf>
    <xf numFmtId="166" fontId="27" fillId="8" borderId="0" applyAlignment="1" pivotButton="0" quotePrefix="0" xfId="0">
      <alignment horizontal="center" vertical="center" wrapText="1" readingOrder="2"/>
    </xf>
    <xf numFmtId="165" fontId="27" fillId="0" borderId="0" applyAlignment="1" pivotButton="0" quotePrefix="0" xfId="0">
      <alignment horizontal="center" vertical="center" wrapText="1" readingOrder="2"/>
    </xf>
    <xf numFmtId="166" fontId="27" fillId="0" borderId="0" applyAlignment="1" pivotButton="0" quotePrefix="0" xfId="0">
      <alignment horizontal="center" vertical="center" wrapText="1" readingOrder="2"/>
    </xf>
    <xf numFmtId="1" fontId="27" fillId="0" borderId="0" applyAlignment="1" pivotButton="0" quotePrefix="0" xfId="0">
      <alignment horizontal="center" vertical="center" wrapText="1" readingOrder="2"/>
    </xf>
    <xf numFmtId="49" fontId="27" fillId="0" borderId="0" applyAlignment="1" pivotButton="0" quotePrefix="0" xfId="0">
      <alignment horizontal="center" vertical="center" wrapText="1" readingOrder="2"/>
    </xf>
    <xf numFmtId="49" fontId="38" fillId="0" borderId="0" applyAlignment="1" pivotButton="0" quotePrefix="0" xfId="0">
      <alignment horizontal="center" vertical="center" wrapText="1" readingOrder="2"/>
    </xf>
    <xf numFmtId="0" fontId="0" fillId="0" borderId="8" pivotButton="0" quotePrefix="0" xfId="0"/>
    <xf numFmtId="0" fontId="10" fillId="0" borderId="0" applyAlignment="1" pivotButton="0" quotePrefix="0" xfId="0">
      <alignment horizontal="right" vertical="center" wrapText="1" indent="1" readingOrder="2"/>
    </xf>
    <xf numFmtId="49" fontId="22" fillId="8" borderId="7" applyAlignment="1" pivotButton="0" quotePrefix="0" xfId="0">
      <alignment horizontal="center" vertical="center" wrapText="1" readingOrder="2"/>
    </xf>
    <xf numFmtId="0" fontId="23" fillId="0" borderId="0" applyAlignment="1" pivotButton="0" quotePrefix="0" xfId="0">
      <alignment horizontal="right" vertical="center" wrapText="1" indent="1" readingOrder="2"/>
    </xf>
    <xf numFmtId="165" fontId="22" fillId="8" borderId="7" applyAlignment="1" pivotButton="0" quotePrefix="0" xfId="0">
      <alignment horizontal="center" vertical="center" wrapText="1" readingOrder="2"/>
    </xf>
    <xf numFmtId="167" fontId="22" fillId="8" borderId="7" applyAlignment="1" pivotButton="0" quotePrefix="0" xfId="0">
      <alignment horizontal="center" vertical="center" wrapText="1" readingOrder="2"/>
    </xf>
    <xf numFmtId="166" fontId="22" fillId="8" borderId="7" applyAlignment="1" pivotButton="0" quotePrefix="0" xfId="0">
      <alignment horizontal="center" vertical="center" wrapText="1" readingOrder="2"/>
    </xf>
    <xf numFmtId="0" fontId="38" fillId="6" borderId="0" applyAlignment="1" pivotButton="0" quotePrefix="0" xfId="0">
      <alignment horizontal="right" vertical="center" wrapText="1" indent="1" readingOrder="2"/>
    </xf>
    <xf numFmtId="0" fontId="0" fillId="6" borderId="0" pivotButton="0" quotePrefix="0" xfId="0"/>
    <xf numFmtId="165" fontId="39" fillId="6" borderId="9" applyAlignment="1" pivotButton="0" quotePrefix="0" xfId="0">
      <alignment horizontal="center" vertical="center" wrapText="1" readingOrder="2"/>
    </xf>
    <xf numFmtId="0" fontId="9" fillId="0" borderId="0" applyAlignment="1" pivotButton="0" quotePrefix="0" xfId="0">
      <alignment horizontal="right" vertical="center" wrapText="1" indent="1" readingOrder="2"/>
    </xf>
    <xf numFmtId="0" fontId="38" fillId="7" borderId="0" applyAlignment="1" pivotButton="0" quotePrefix="0" xfId="0">
      <alignment horizontal="right" vertical="center" wrapText="1" indent="1" readingOrder="2"/>
    </xf>
    <xf numFmtId="0" fontId="0" fillId="7" borderId="0" pivotButton="0" quotePrefix="0" xfId="0"/>
    <xf numFmtId="167" fontId="39" fillId="7" borderId="9" applyAlignment="1" pivotButton="0" quotePrefix="0" xfId="0">
      <alignment horizontal="center" vertical="center" wrapText="1" readingOrder="2"/>
    </xf>
    <xf numFmtId="166" fontId="39" fillId="6" borderId="9" applyAlignment="1" pivotButton="0" quotePrefix="0" xfId="0">
      <alignment horizontal="center" vertical="center" wrapText="1" readingOrder="2"/>
    </xf>
    <xf numFmtId="166" fontId="39" fillId="7" borderId="9" applyAlignment="1" pivotButton="0" quotePrefix="0" xfId="0">
      <alignment horizontal="center" vertical="center" wrapText="1" readingOrder="2"/>
    </xf>
    <xf numFmtId="165" fontId="39" fillId="7" borderId="9" applyAlignment="1" pivotButton="0" quotePrefix="0" xfId="0">
      <alignment horizontal="center" vertical="center" wrapText="1" readingOrder="2"/>
    </xf>
    <xf numFmtId="166" fontId="40" fillId="6" borderId="9" applyAlignment="1" pivotButton="0" quotePrefix="0" xfId="0">
      <alignment horizontal="center" vertical="center" wrapText="1" readingOrder="2"/>
    </xf>
    <xf numFmtId="165" fontId="40" fillId="7" borderId="9" applyAlignment="1" pivotButton="0" quotePrefix="0" xfId="0">
      <alignment horizontal="center" vertical="center" wrapText="1" readingOrder="2"/>
    </xf>
    <xf numFmtId="165" fontId="40" fillId="6" borderId="9" applyAlignment="1" pivotButton="0" quotePrefix="0" xfId="0">
      <alignment horizontal="center" vertical="center" wrapText="1" readingOrder="2"/>
    </xf>
    <xf numFmtId="0" fontId="4" fillId="10" borderId="0" applyAlignment="1" pivotButton="0" quotePrefix="0" xfId="0">
      <alignment horizontal="center" vertical="center" wrapText="1" readingOrder="2"/>
    </xf>
    <xf numFmtId="0" fontId="0" fillId="10" borderId="0" pivotButton="0" quotePrefix="0" xfId="0"/>
    <xf numFmtId="0" fontId="4" fillId="7" borderId="0" applyAlignment="1" pivotButton="0" quotePrefix="0" xfId="0">
      <alignment horizontal="center" vertical="center" wrapText="1" readingOrder="2"/>
    </xf>
    <xf numFmtId="165" fontId="41" fillId="10" borderId="10" applyAlignment="1" pivotButton="0" quotePrefix="0" xfId="0">
      <alignment horizontal="center" vertical="center" wrapText="1" readingOrder="2"/>
    </xf>
    <xf numFmtId="0" fontId="0" fillId="10" borderId="10" pivotButton="0" quotePrefix="0" xfId="0"/>
    <xf numFmtId="166" fontId="5" fillId="7" borderId="3" applyAlignment="1" pivotButton="0" quotePrefix="0" xfId="0">
      <alignment horizontal="center" vertical="center" wrapText="1" readingOrder="2"/>
    </xf>
    <xf numFmtId="0" fontId="0" fillId="7" borderId="3" pivotButton="0" quotePrefix="0" xfId="0"/>
    <xf numFmtId="0" fontId="38" fillId="6" borderId="5" applyAlignment="1" pivotButton="0" quotePrefix="0" xfId="0">
      <alignment horizontal="right" vertical="center" wrapText="1" indent="1" readingOrder="2"/>
    </xf>
    <xf numFmtId="165" fontId="0" fillId="6" borderId="5" applyAlignment="1" pivotButton="0" quotePrefix="0" xfId="0">
      <alignment horizontal="center" vertical="center" wrapText="1" readingOrder="2"/>
    </xf>
    <xf numFmtId="165" fontId="37" fillId="6" borderId="5" applyAlignment="1" pivotButton="0" quotePrefix="0" xfId="0">
      <alignment horizontal="center" vertical="center" wrapText="1" readingOrder="2"/>
    </xf>
    <xf numFmtId="166" fontId="0" fillId="6" borderId="5" applyAlignment="1" pivotButton="0" quotePrefix="0" xfId="0">
      <alignment horizontal="center" vertical="center" wrapText="1" readingOrder="2"/>
    </xf>
    <xf numFmtId="1" fontId="42" fillId="6" borderId="5" applyAlignment="1" pivotButton="0" quotePrefix="0" xfId="0">
      <alignment horizontal="center" vertical="center" wrapText="1" readingOrder="2"/>
    </xf>
    <xf numFmtId="0" fontId="0" fillId="6" borderId="5" applyAlignment="1" pivotButton="0" quotePrefix="0" xfId="0">
      <alignment horizontal="center" vertical="center" wrapText="1" readingOrder="2"/>
    </xf>
    <xf numFmtId="0" fontId="38" fillId="7" borderId="5" applyAlignment="1" pivotButton="0" quotePrefix="0" xfId="0">
      <alignment horizontal="right" vertical="center" wrapText="1" indent="1" readingOrder="2"/>
    </xf>
    <xf numFmtId="165" fontId="0" fillId="7" borderId="5" applyAlignment="1" pivotButton="0" quotePrefix="0" xfId="0">
      <alignment horizontal="center" vertical="center" wrapText="1" readingOrder="2"/>
    </xf>
    <xf numFmtId="165" fontId="37" fillId="7" borderId="5" applyAlignment="1" pivotButton="0" quotePrefix="0" xfId="0">
      <alignment horizontal="center" vertical="center" wrapText="1" readingOrder="2"/>
    </xf>
    <xf numFmtId="166" fontId="0" fillId="7" borderId="5" applyAlignment="1" pivotButton="0" quotePrefix="0" xfId="0">
      <alignment horizontal="center" vertical="center" wrapText="1" readingOrder="2"/>
    </xf>
    <xf numFmtId="1" fontId="42" fillId="7" borderId="5" applyAlignment="1" pivotButton="0" quotePrefix="0" xfId="0">
      <alignment horizontal="center" vertical="center" wrapText="1" readingOrder="2"/>
    </xf>
    <xf numFmtId="0" fontId="0" fillId="7" borderId="5" applyAlignment="1" pivotButton="0" quotePrefix="0" xfId="0">
      <alignment horizontal="center" vertical="center" wrapText="1" readingOrder="2"/>
    </xf>
    <xf numFmtId="0" fontId="19" fillId="2" borderId="0" applyAlignment="1" pivotButton="0" quotePrefix="0" xfId="0">
      <alignment horizontal="center" vertical="center" wrapText="1" readingOrder="2"/>
    </xf>
    <xf numFmtId="0" fontId="23" fillId="6" borderId="5" applyAlignment="1" pivotButton="0" quotePrefix="0" xfId="0">
      <alignment horizontal="center" vertical="center" wrapText="1" readingOrder="2"/>
    </xf>
    <xf numFmtId="0" fontId="38" fillId="6" borderId="5" applyAlignment="1" pivotButton="0" quotePrefix="0" xfId="0">
      <alignment horizontal="center" vertical="center" wrapText="1" readingOrder="2"/>
    </xf>
    <xf numFmtId="0" fontId="23" fillId="7" borderId="5" applyAlignment="1" pivotButton="0" quotePrefix="0" xfId="0">
      <alignment horizontal="center" vertical="center" wrapText="1" readingOrder="2"/>
    </xf>
    <xf numFmtId="0" fontId="38" fillId="7" borderId="5" applyAlignment="1" pivotButton="0" quotePrefix="0" xfId="0">
      <alignment horizontal="center" vertical="center" wrapText="1" readingOrder="2"/>
    </xf>
    <xf numFmtId="166" fontId="24" fillId="6" borderId="5" applyAlignment="1" pivotButton="0" quotePrefix="0" xfId="0">
      <alignment horizontal="center" vertical="center" wrapText="1" readingOrder="2"/>
    </xf>
    <xf numFmtId="166" fontId="24" fillId="7" borderId="5" applyAlignment="1" pivotButton="0" quotePrefix="0" xfId="0">
      <alignment horizontal="center" vertical="center" wrapText="1" readingOrder="2"/>
    </xf>
    <xf numFmtId="166" fontId="19" fillId="2" borderId="0" applyAlignment="1" pivotButton="0" quotePrefix="0" xfId="0">
      <alignment horizontal="center" vertical="center" wrapText="1" readingOrder="2"/>
    </xf>
    <xf numFmtId="0" fontId="26" fillId="0" borderId="0" applyAlignment="1" pivotButton="0" quotePrefix="0" xfId="0">
      <alignment horizontal="right" vertical="center" wrapText="1" indent="1" readingOrder="2"/>
    </xf>
    <xf numFmtId="1" fontId="43" fillId="8" borderId="7" applyAlignment="1" pivotButton="0" quotePrefix="0" xfId="0">
      <alignment horizontal="center" vertical="center" wrapText="1" readingOrder="2"/>
    </xf>
    <xf numFmtId="0" fontId="43" fillId="8" borderId="7" applyAlignment="1" pivotButton="0" quotePrefix="0" xfId="0">
      <alignment horizontal="center" vertical="center" wrapText="1" readingOrder="2"/>
    </xf>
    <xf numFmtId="0" fontId="7" fillId="5" borderId="0" applyAlignment="1" pivotButton="0" quotePrefix="0" xfId="0">
      <alignment horizontal="right" vertical="center" wrapText="1" indent="1" readingOrder="2"/>
    </xf>
    <xf numFmtId="0" fontId="4" fillId="11" borderId="0" applyAlignment="1" pivotButton="0" quotePrefix="0" xfId="0">
      <alignment horizontal="center" vertical="center" wrapText="1" readingOrder="2"/>
    </xf>
    <xf numFmtId="0" fontId="0" fillId="11" borderId="0" pivotButton="0" quotePrefix="0" xfId="0"/>
    <xf numFmtId="1" fontId="5" fillId="4" borderId="3" applyAlignment="1" pivotButton="0" quotePrefix="0" xfId="0">
      <alignment horizontal="center" vertical="center" wrapText="1" readingOrder="2"/>
    </xf>
    <xf numFmtId="165" fontId="5" fillId="7" borderId="3" applyAlignment="1" pivotButton="0" quotePrefix="0" xfId="0">
      <alignment horizontal="center" vertical="center" wrapText="1" readingOrder="2"/>
    </xf>
    <xf numFmtId="165" fontId="45" fillId="4" borderId="2" applyAlignment="1" pivotButton="0" quotePrefix="0" xfId="0">
      <alignment horizontal="center" vertical="center" wrapText="1" readingOrder="2"/>
    </xf>
    <xf numFmtId="0" fontId="0" fillId="4" borderId="2" pivotButton="0" quotePrefix="0" xfId="0"/>
    <xf numFmtId="165" fontId="46" fillId="5" borderId="4" applyAlignment="1" pivotButton="0" quotePrefix="0" xfId="0">
      <alignment horizontal="center" vertical="center" wrapText="1" readingOrder="2"/>
    </xf>
    <xf numFmtId="0" fontId="0" fillId="5" borderId="4" pivotButton="0" quotePrefix="0" xfId="0"/>
    <xf numFmtId="9" fontId="47" fillId="11" borderId="11" applyAlignment="1" pivotButton="0" quotePrefix="0" xfId="0">
      <alignment horizontal="center" vertical="center" wrapText="1" readingOrder="2"/>
    </xf>
    <xf numFmtId="0" fontId="0" fillId="11" borderId="11" pivotButton="0" quotePrefix="0" xfId="0"/>
    <xf numFmtId="0" fontId="44" fillId="4" borderId="0" applyAlignment="1" pivotButton="0" quotePrefix="0" xfId="0">
      <alignment horizontal="center" vertical="center" wrapText="1" readingOrder="2"/>
    </xf>
    <xf numFmtId="0" fontId="44" fillId="5" borderId="0" applyAlignment="1" pivotButton="0" quotePrefix="0" xfId="0">
      <alignment horizontal="center" vertical="center" wrapText="1" readingOrder="2"/>
    </xf>
    <xf numFmtId="0" fontId="44" fillId="7" borderId="0" applyAlignment="1" pivotButton="0" quotePrefix="0" xfId="0">
      <alignment horizontal="center" vertical="center" wrapText="1" readingOrder="2"/>
    </xf>
    <xf numFmtId="0" fontId="44" fillId="10" borderId="0" applyAlignment="1" pivotButton="0" quotePrefix="0" xfId="0">
      <alignment horizontal="center" vertical="center" wrapText="1" readingOrder="2"/>
    </xf>
    <xf numFmtId="0" fontId="44" fillId="11" borderId="0" applyAlignment="1" pivotButton="0" quotePrefix="0" xfId="0">
      <alignment horizontal="center" vertical="center" wrapText="1" readingOrder="2"/>
    </xf>
    <xf numFmtId="0" fontId="48" fillId="2" borderId="0" applyAlignment="1" pivotButton="0" quotePrefix="0" xfId="0">
      <alignment horizontal="center" vertical="center" wrapText="1" readingOrder="2"/>
    </xf>
    <xf numFmtId="0" fontId="9" fillId="6" borderId="5" applyAlignment="1" pivotButton="0" quotePrefix="0" xfId="0">
      <alignment horizontal="right" vertical="center" wrapText="1" indent="1" readingOrder="2"/>
    </xf>
    <xf numFmtId="1" fontId="26" fillId="6" borderId="5" applyAlignment="1" pivotButton="0" quotePrefix="0" xfId="0">
      <alignment horizontal="center" vertical="center" wrapText="1" readingOrder="2"/>
    </xf>
    <xf numFmtId="1" fontId="30" fillId="6" borderId="5" applyAlignment="1" pivotButton="0" quotePrefix="0" xfId="0">
      <alignment horizontal="center" vertical="center" wrapText="1" readingOrder="2"/>
    </xf>
    <xf numFmtId="0" fontId="49" fillId="6" borderId="5" applyAlignment="1" pivotButton="0" quotePrefix="0" xfId="0">
      <alignment horizontal="center" vertical="center" wrapText="1" readingOrder="2"/>
    </xf>
    <xf numFmtId="0" fontId="9" fillId="7" borderId="5" applyAlignment="1" pivotButton="0" quotePrefix="0" xfId="0">
      <alignment horizontal="right" vertical="center" wrapText="1" indent="1" readingOrder="2"/>
    </xf>
    <xf numFmtId="1" fontId="26" fillId="7" borderId="5" applyAlignment="1" pivotButton="0" quotePrefix="0" xfId="0">
      <alignment horizontal="center" vertical="center" wrapText="1" readingOrder="2"/>
    </xf>
    <xf numFmtId="1" fontId="30" fillId="7" borderId="5" applyAlignment="1" pivotButton="0" quotePrefix="0" xfId="0">
      <alignment horizontal="center" vertical="center" wrapText="1" readingOrder="2"/>
    </xf>
    <xf numFmtId="0" fontId="49" fillId="7" borderId="5" applyAlignment="1" pivotButton="0" quotePrefix="0" xfId="0">
      <alignment horizontal="center" vertical="center" wrapText="1" readingOrder="2"/>
    </xf>
    <xf numFmtId="3" fontId="26" fillId="7" borderId="5" applyAlignment="1" pivotButton="0" quotePrefix="0" xfId="0">
      <alignment horizontal="center" vertical="center" wrapText="1" readingOrder="2"/>
    </xf>
    <xf numFmtId="3" fontId="26" fillId="6" borderId="5" applyAlignment="1" pivotButton="0" quotePrefix="0" xfId="0">
      <alignment horizontal="center" vertical="center" wrapText="1" readingOrder="2"/>
    </xf>
    <xf numFmtId="169" fontId="0" fillId="6" borderId="5" applyAlignment="1" pivotButton="0" quotePrefix="0" xfId="0">
      <alignment horizontal="center" vertical="center" wrapText="1" readingOrder="2"/>
    </xf>
    <xf numFmtId="1" fontId="0" fillId="6" borderId="5" applyAlignment="1" pivotButton="0" quotePrefix="0" xfId="0">
      <alignment horizontal="center" vertical="center" wrapText="1" readingOrder="2"/>
    </xf>
    <xf numFmtId="0" fontId="37" fillId="6" borderId="5" applyAlignment="1" pivotButton="0" quotePrefix="0" xfId="0">
      <alignment horizontal="center" vertical="center" wrapText="1" readingOrder="2"/>
    </xf>
    <xf numFmtId="169" fontId="0" fillId="7" borderId="5" applyAlignment="1" pivotButton="0" quotePrefix="0" xfId="0">
      <alignment horizontal="center" vertical="center" wrapText="1" readingOrder="2"/>
    </xf>
    <xf numFmtId="1" fontId="0" fillId="7" borderId="5" applyAlignment="1" pivotButton="0" quotePrefix="0" xfId="0">
      <alignment horizontal="center" vertical="center" wrapText="1" readingOrder="2"/>
    </xf>
    <xf numFmtId="0" fontId="37" fillId="7" borderId="5" applyAlignment="1" pivotButton="0" quotePrefix="0" xfId="0">
      <alignment horizontal="center" vertical="center" wrapText="1" readingOrder="2"/>
    </xf>
  </cellXfs>
  <cellStyles count="1">
    <cellStyle name="Normal" xfId="0" builtinId="0" hidden="0"/>
  </cellStyles>
  <dxfs count="17">
    <dxf>
      <font>
        <name val="Tahoma"/>
        <strike val="0"/>
        <color rgb="00B03A2E"/>
        <sz val="9.5"/>
      </font>
      <fill>
        <patternFill patternType="solid">
          <fgColor rgb="00FBEAE8"/>
          <bgColor rgb="00FBEAE8"/>
        </patternFill>
      </fill>
    </dxf>
    <dxf>
      <font>
        <name val="Tahoma"/>
        <i val="1"/>
        <strike val="0"/>
        <color rgb="0064748B"/>
        <sz val="10"/>
      </font>
    </dxf>
    <dxf>
      <fill>
        <patternFill patternType="solid">
          <fgColor rgb="00F5F8FB"/>
          <bgColor rgb="00F5F8FB"/>
        </patternFill>
      </fill>
    </dxf>
    <dxf>
      <font>
        <name val="Tahoma"/>
        <i val="1"/>
        <strike val="1"/>
        <color rgb="0064748B"/>
        <sz val="9.5"/>
      </font>
    </dxf>
    <dxf>
      <fill>
        <patternFill patternType="solid">
          <fgColor rgb="00FDF3E3"/>
          <bgColor rgb="00FDF3E3"/>
        </patternFill>
      </fill>
    </dxf>
    <dxf>
      <font>
        <name val="Tahoma"/>
        <b val="1"/>
        <strike val="0"/>
        <color rgb="00B03A2E"/>
        <sz val="9.5"/>
      </font>
      <fill>
        <patternFill patternType="solid">
          <fgColor rgb="00FBEAE8"/>
          <bgColor rgb="00FBEAE8"/>
        </patternFill>
      </fill>
    </dxf>
    <dxf>
      <font>
        <name val="Tahoma"/>
        <b val="1"/>
        <strike val="0"/>
        <color rgb="001E8449"/>
        <sz val="9.5"/>
      </font>
      <fill>
        <patternFill patternType="solid">
          <fgColor rgb="00E8F5EE"/>
          <bgColor rgb="00E8F5EE"/>
        </patternFill>
      </fill>
    </dxf>
    <dxf>
      <font>
        <name val="Tahoma"/>
        <b val="1"/>
        <strike val="0"/>
        <color rgb="00B7791F"/>
        <sz val="9.5"/>
      </font>
      <fill>
        <patternFill patternType="solid">
          <fgColor rgb="00FDF3E3"/>
          <bgColor rgb="00FDF3E3"/>
        </patternFill>
      </fill>
    </dxf>
    <dxf>
      <font>
        <name val="Tahoma"/>
        <strike val="0"/>
        <color rgb="00B7791F"/>
        <sz val="9.5"/>
      </font>
      <fill>
        <patternFill patternType="solid">
          <fgColor rgb="00FDF3E3"/>
          <bgColor rgb="00FDF3E3"/>
        </patternFill>
      </fill>
    </dxf>
    <dxf>
      <font>
        <name val="Tahoma"/>
        <b val="1"/>
        <strike val="0"/>
        <color rgb="00B7791F"/>
        <sz val="10"/>
      </font>
    </dxf>
    <dxf>
      <font>
        <name val="Tahoma"/>
        <strike val="0"/>
        <color rgb="0064748B"/>
        <sz val="9.5"/>
      </font>
      <fill>
        <patternFill patternType="solid">
          <fgColor rgb="00F5F8FB"/>
          <bgColor rgb="00F5F8FB"/>
        </patternFill>
      </fill>
    </dxf>
    <dxf>
      <font>
        <name val="Tahoma"/>
        <strike val="1"/>
        <color rgb="0064748B"/>
        <sz val="9.5"/>
      </font>
    </dxf>
    <dxf>
      <font>
        <name val="Tahoma"/>
        <strike val="0"/>
        <color rgb="0064748B"/>
        <sz val="9.5"/>
      </font>
    </dxf>
    <dxf>
      <font>
        <name val="Tahoma"/>
        <b val="1"/>
        <strike val="0"/>
        <color rgb="00B03A2E"/>
        <sz val="13"/>
      </font>
      <fill>
        <patternFill patternType="solid">
          <fgColor rgb="00FBEAE8"/>
          <bgColor rgb="00FBEAE8"/>
        </patternFill>
      </fill>
    </dxf>
    <dxf>
      <font>
        <name val="Tahoma"/>
        <b val="1"/>
        <strike val="0"/>
        <color rgb="00B7791F"/>
        <sz val="13"/>
      </font>
      <fill>
        <patternFill patternType="solid">
          <fgColor rgb="00FDF3E3"/>
          <bgColor rgb="00FDF3E3"/>
        </patternFill>
      </fill>
    </dxf>
    <dxf>
      <font>
        <name val="Tahoma"/>
        <b val="1"/>
        <strike val="0"/>
        <color rgb="001E8449"/>
        <sz val="12"/>
      </font>
      <fill>
        <patternFill patternType="solid">
          <fgColor rgb="00E8F5EE"/>
          <bgColor rgb="00E8F5EE"/>
        </patternFill>
      </fill>
    </dxf>
    <dxf>
      <font>
        <name val="Tahoma"/>
        <b val="1"/>
        <strike val="0"/>
        <color rgb="00B03A2E"/>
        <sz val="12"/>
      </font>
      <fill>
        <patternFill patternType="solid">
          <fgColor rgb="00FBEAE8"/>
          <bgColor rgb="00FBEAE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کمیسیون خالص به تفکیک عضو (ریال)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0E8C8C"/>
            </a:solidFill>
            <a:ln>
              <a:solidFill>
                <a:srgbClr val="12314F"/>
              </a:solidFill>
              <a:prstDash val="solid"/>
            </a:ln>
          </spPr>
          <cat>
            <numRef>
              <f>'گزارش‌ها'!$A$7:$A$16</f>
            </numRef>
          </cat>
          <val>
            <numRef>
              <f>'گزارش‌ها'!$E$7:$E$16</f>
            </numRef>
          </val>
        </ser>
        <dLbls>
          <showVal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/>
        </majorGridlines>
        <numFmt formatCode="#,##0&quot; ریال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روند ماهانهٔ کمیسیون خالص (ریال)</a:t>
            </a:r>
          </a:p>
        </rich>
      </tx>
    </title>
    <plotArea>
      <lineChart>
        <grouping val="standard"/>
        <ser>
          <idx val="0"/>
          <order val="0"/>
          <spPr>
            <a:ln w="28000">
              <a:solidFill>
                <a:srgbClr val="1F5C8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'گزارش‌ها'!$B$21:$B$32</f>
            </numRef>
          </cat>
          <val>
            <numRef>
              <f>'گزارش‌ها'!$F$21:$F$32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/>
        </majorGridlines>
        <numFmt formatCode="#,##0&quot; ریال&quot;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سهم انواع خدمت از کمیسیون خالص</a:t>
            </a:r>
          </a:p>
        </rich>
      </tx>
    </title>
    <plotArea>
      <doughnutChart>
        <varyColors val="1"/>
        <ser>
          <idx val="0"/>
          <order val="0"/>
          <spPr>
            <a:ln>
              <a:prstDash val="solid"/>
            </a:ln>
          </spPr>
          <dPt>
            <idx val="0"/>
            <spPr>
              <a:solidFill>
                <a:srgbClr val="12314F"/>
              </a:solidFill>
              <a:ln>
                <a:prstDash val="solid"/>
              </a:ln>
            </spPr>
          </dPt>
          <dPt>
            <idx val="1"/>
            <spPr>
              <a:solidFill>
                <a:srgbClr val="1F5C8B"/>
              </a:solidFill>
              <a:ln>
                <a:prstDash val="solid"/>
              </a:ln>
            </spPr>
          </dPt>
          <dPt>
            <idx val="2"/>
            <spPr>
              <a:solidFill>
                <a:srgbClr val="0E8C8C"/>
              </a:solidFill>
              <a:ln>
                <a:prstDash val="solid"/>
              </a:ln>
            </spPr>
          </dPt>
          <dPt>
            <idx val="3"/>
            <spPr>
              <a:solidFill>
                <a:srgbClr val="C9A227"/>
              </a:solidFill>
              <a:ln>
                <a:prstDash val="solid"/>
              </a:ln>
            </spPr>
          </dPt>
          <dPt>
            <idx val="4"/>
            <spPr>
              <a:solidFill>
                <a:srgbClr val="1E8449"/>
              </a:solidFill>
              <a:ln>
                <a:prstDash val="solid"/>
              </a:ln>
            </spPr>
          </dPt>
          <dPt>
            <idx val="5"/>
            <spPr>
              <a:solidFill>
                <a:srgbClr val="B7791F"/>
              </a:solidFill>
              <a:ln>
                <a:prstDash val="solid"/>
              </a:ln>
            </spPr>
          </dPt>
          <dPt>
            <idx val="6"/>
            <spPr>
              <a:solidFill>
                <a:srgbClr val="64748B"/>
              </a:solidFill>
              <a:ln>
                <a:prstDash val="solid"/>
              </a:ln>
            </spPr>
          </dPt>
          <dPt>
            <idx val="7"/>
            <spPr>
              <a:solidFill>
                <a:srgbClr val="B03A2E"/>
              </a:solidFill>
              <a:ln>
                <a:prstDash val="solid"/>
              </a:ln>
            </spPr>
          </dPt>
          <cat>
            <numRef>
              <f>'گزارش‌ها'!$A$37:$A$44</f>
            </numRef>
          </cat>
          <val>
            <numRef>
              <f>'گزارش‌ها'!$G$37:$G$44</f>
            </numRef>
          </val>
        </ser>
        <dLbls>
          <showCatName val="0"/>
          <showPercent val="1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تعداد پرونده در برابر کمیسیون خالص (ماهانه)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DCE9F5"/>
            </a:solidFill>
            <a:ln>
              <a:solidFill>
                <a:srgbClr val="1F5C8B"/>
              </a:solidFill>
              <a:prstDash val="solid"/>
            </a:ln>
          </spPr>
          <cat>
            <numRef>
              <f>'گزارش‌ها'!$B$21:$B$32</f>
            </numRef>
          </cat>
          <val>
            <numRef>
              <f>'گزارش‌ها'!$C$21:$C$32</f>
            </numRef>
          </val>
        </ser>
        <gapWidth val="55"/>
        <axId val="10"/>
        <axId val="100"/>
      </barChart>
      <lineChart>
        <grouping val="standard"/>
        <ser>
          <idx val="1"/>
          <order val="1"/>
          <spPr>
            <a:ln w="30000">
              <a:solidFill>
                <a:srgbClr val="C9A22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'گزارش‌ها'!$F$21:$F$32</f>
            </numRef>
          </val>
        </ser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تعداد پرونده</a:t>
                </a:r>
              </a:p>
            </rich>
          </tx>
        </title>
        <numFmt formatCode="0" sourceLinked="0"/>
        <majorTickMark val="none"/>
        <minorTickMark val="none"/>
        <crossAx val="10"/>
      </valAx>
      <valAx>
        <axId val="20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کمیسیون خالص (ریال)</a:t>
                </a:r>
              </a:p>
            </rich>
          </tx>
        </title>
        <numFmt formatCode="#,##0&quot; ریال&quot;" sourceLinked="0"/>
        <majorTickMark val="none"/>
        <minorTickMark val="none"/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5580000" cy="295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9</row>
      <rowOff>0</rowOff>
    </from>
    <ext cx="5580000" cy="295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26</row>
      <rowOff>0</rowOff>
    </from>
    <ext cx="5580000" cy="2951999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26</row>
      <rowOff>0</rowOff>
    </from>
    <ext cx="5580000" cy="2951999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Services" displayName="T_Services" ref="A5:C13" headerRowCount="1" totalsRowShown="0">
  <autoFilter ref="A5:C13"/>
  <tableColumns count="3">
    <tableColumn id="1" name="نوع خدمت"/>
    <tableColumn id="2" name="نرخ پایه"/>
    <tableColumn id="3" name="دستهٔ خدمت"/>
  </tableColumns>
</table>
</file>

<file path=xl/tables/table2.xml><?xml version="1.0" encoding="utf-8"?>
<table xmlns="http://schemas.openxmlformats.org/spreadsheetml/2006/main" id="2" name="T_Status" displayName="T_Status" ref="A18:B25" headerRowCount="1" totalsRowShown="0">
  <autoFilter ref="A18:B25"/>
  <tableColumns count="2">
    <tableColumn id="1" name="وضعیت"/>
    <tableColumn id="2" name="گروه"/>
  </tableColumns>
</table>
</file>

<file path=xl/tables/table3.xml><?xml version="1.0" encoding="utf-8"?>
<table xmlns="http://schemas.openxmlformats.org/spreadsheetml/2006/main" id="3" name="T_Contractors" displayName="T_Contractors" ref="A30:B38" headerRowCount="1" totalsRowShown="0">
  <autoFilter ref="A30:B38"/>
  <tableColumns count="2">
    <tableColumn id="1" name="کارفرما"/>
    <tableColumn id="2" name="شهر"/>
  </tableColumns>
</table>
</file>

<file path=xl/tables/table4.xml><?xml version="1.0" encoding="utf-8"?>
<table xmlns="http://schemas.openxmlformats.org/spreadsheetml/2006/main" id="4" name="T_Categories" displayName="T_Categories" ref="A43:A49" headerRowCount="1" totalsRowShown="0">
  <autoFilter ref="A43:A49"/>
  <tableColumns count="1">
    <tableColumn id="1" name="دستهٔ خدمت"/>
  </tableColumns>
</table>
</file>

<file path=xl/tables/table5.xml><?xml version="1.0" encoding="utf-8"?>
<table xmlns="http://schemas.openxmlformats.org/spreadsheetml/2006/main" id="5" name="T_Roles" displayName="T_Roles" ref="A54:A60" headerRowCount="1" totalsRowShown="0">
  <autoFilter ref="A54:A60"/>
  <tableColumns count="1">
    <tableColumn id="1" name="نقش"/>
  </tableColumns>
</table>
</file>

<file path=xl/tables/table6.xml><?xml version="1.0" encoding="utf-8"?>
<table xmlns="http://schemas.openxmlformats.org/spreadsheetml/2006/main" id="6" name="T_YesNo" displayName="T_YesNo" ref="A65:A68" headerRowCount="1" totalsRowShown="0">
  <autoFilter ref="A65:A68"/>
  <tableColumns count="1">
    <tableColumn id="1" name="مقدار"/>
  </tableColumns>
</table>
</file>

<file path=xl/tables/table7.xml><?xml version="1.0" encoding="utf-8"?>
<table xmlns="http://schemas.openxmlformats.org/spreadsheetml/2006/main" id="7" name="T_TierMode" displayName="T_TierMode" ref="A73:A75" headerRowCount="1" totalsRowShown="0">
  <autoFilter ref="A73:A75"/>
  <tableColumns count="1">
    <tableColumn id="1" name="حالت"/>
  </tableColumns>
</table>
</file>

<file path=xl/tables/table8.xml><?xml version="1.0" encoding="utf-8"?>
<table xmlns="http://schemas.openxmlformats.org/spreadsheetml/2006/main" id="8" name="T_Members" displayName="T_Members" ref="A5:J15" headerRowCount="1" totalsRowShown="0">
  <autoFilter ref="A5:J15"/>
  <tableColumns count="10">
    <tableColumn id="1" name="نام و نام خانوادگی"/>
    <tableColumn id="2" name="نقش"/>
    <tableColumn id="3" name="سهم پیش‌فرض"/>
    <tableColumn id="4" name="فعال"/>
    <tableColumn id="5" name="تعداد پرونده"/>
    <tableColumn id="6" name="مبلغ کارشناسی"/>
    <tableColumn id="7" name="کمیسیون خام"/>
    <tableColumn id="8" name="سهم عضو"/>
    <tableColumn id="9" name="سهم شرکت"/>
    <tableColumn id="10" name="آخرین فعالیت"/>
  </tableColumns>
</table>
</file>

<file path=xl/tables/table9.xml><?xml version="1.0" encoding="utf-8"?>
<table xmlns="http://schemas.openxmlformats.org/spreadsheetml/2006/main" id="9" name="tbl_TX" displayName="tbl_TX" ref="A5:Z305" headerRowCount="1" totalsRowShown="0">
  <autoFilter ref="A5:Z305"/>
  <tableColumns count="26">
    <tableColumn id="1" name="شمارهٔ پرونده"/>
    <tableColumn id="2" name="تاریخ"/>
    <tableColumn id="3" name="عضو"/>
    <tableColumn id="4" name="نوع خدمت"/>
    <tableColumn id="5" name="کارفرما"/>
    <tableColumn id="6" name="مبلغ کارشناسی"/>
    <tableColumn id="7" name="ضریب خدمت"/>
    <tableColumn id="8" name="سهم عضو بازنویسی"/>
    <tableColumn id="9" name="وضعیت"/>
    <tableColumn id="10" name="یادداشت"/>
    <tableColumn id="11" name="مبلغ مبنا"/>
    <tableColumn id="12" name="نرخ پایه"/>
    <tableColumn id="13" name="نرخ مؤثر"/>
    <tableColumn id="14" name="کمیسیون خام"/>
    <tableColumn id="15" name="کمیسیون پس از کف و سقف"/>
    <tableColumn id="16" name="مالیات و عوارض"/>
    <tableColumn id="17" name="جمع با مالیات"/>
    <tableColumn id="18" name="درصد نهایی سهم"/>
    <tableColumn id="19" name="مبلغ سهم عضو"/>
    <tableColumn id="20" name="سهم شرکت"/>
    <tableColumn id="21" name="سال شمسی"/>
    <tableColumn id="22" name="ماه شمسی"/>
    <tableColumn id="23" name="کلید دوره"/>
    <tableColumn id="24" name="فصل"/>
    <tableColumn id="25" name="مهلت پرداخت"/>
    <tableColumn id="26" name="سرسید سپری شده"/>
  </tableColumns>
</table>
</file>

<file path=xl/tables/table10.xml><?xml version="1.0" encoding="utf-8"?>
<table xmlns="http://schemas.openxmlformats.org/spreadsheetml/2006/main" id="10" name="T_Calendar" displayName="T_Calendar" ref="A5:J5119" headerRowCount="1" totalsRowShown="0">
  <autoFilter ref="A5:J5119"/>
  <tableColumns count="10">
    <tableColumn id="1" name="تاریخ میلادی"/>
    <tableColumn id="2" name="سری"/>
    <tableColumn id="3" name="سال شمسی"/>
    <tableColumn id="4" name="ماه شمسی"/>
    <tableColumn id="5" name="متن تاریخ شمسی"/>
    <tableColumn id="6" name="کلید سال/ماه"/>
    <tableColumn id="7" name="نام ماه"/>
    <tableColumn id="8" name="فصل"/>
    <tableColumn id="9" name="روز هفته"/>
    <tableColumn id="10" name="روز کاری؟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585;&#1575;&#1607;&#1606;&#1605;&#1575;'!A1" TargetMode="External" Id="rId1" /><Relationship Type="http://schemas.openxmlformats.org/officeDocument/2006/relationships/hyperlink" Target="#'&#1578;&#1606;&#1592;&#1740;&#1605;&#1575;&#1578;'!A1" TargetMode="External" Id="rId2" /><Relationship Type="http://schemas.openxmlformats.org/officeDocument/2006/relationships/hyperlink" Target="#'&#1601;&#1607;&#1585;&#1587;&#1578;&#8204;&#1607;&#1575;'!A1" TargetMode="External" Id="rId3" /><Relationship Type="http://schemas.openxmlformats.org/officeDocument/2006/relationships/hyperlink" Target="#'&#1575;&#1593;&#1590;&#1575;'!A1" TargetMode="External" Id="rId4" /><Relationship Type="http://schemas.openxmlformats.org/officeDocument/2006/relationships/hyperlink" Target="#'&#1578;&#1585;&#1575;&#1705;&#1606;&#1588;&#8204;&#1607;&#1575;'!A1" TargetMode="External" Id="rId5" /><Relationship Type="http://schemas.openxmlformats.org/officeDocument/2006/relationships/hyperlink" Target="#'&#1605;&#1575;&#1588;&#1740;&#1606;&#8204;&#1581;&#1587;&#1575;&#1576;'!A1" TargetMode="External" Id="rId6" /><Relationship Type="http://schemas.openxmlformats.org/officeDocument/2006/relationships/hyperlink" Target="#'&#1711;&#1586;&#1575;&#1585;&#1588;&#8204;&#1607;&#1575;'!A1" TargetMode="External" Id="rId7" /><Relationship Type="http://schemas.openxmlformats.org/officeDocument/2006/relationships/hyperlink" Target="#'&#1583;&#1575;&#1588;&#1576;&#1608;&#1585;&#1583;'!A1" TargetMode="External" Id="rId8" /><Relationship Type="http://schemas.openxmlformats.org/officeDocument/2006/relationships/hyperlink" Target="#'&#1705;&#1606;&#1578;&#1585;&#1604; &#1705;&#1740;&#1601;&#1740;&#1578;'!A1" TargetMode="External" Id="rId9" /><Relationship Type="http://schemas.openxmlformats.org/officeDocument/2006/relationships/hyperlink" Target="#'&#1578;&#1602;&#1608;&#1740;&#1605;'!A1" TargetMode="External" Id="rId10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Relationship Type="http://schemas.openxmlformats.org/officeDocument/2006/relationships/table" Target="/xl/tables/table6.xml" Id="rId6" /><Relationship Type="http://schemas.openxmlformats.org/officeDocument/2006/relationships/table" Target="/xl/tables/table7.xml" Id="rId7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H40"/>
  <sheetViews>
    <sheetView showGridLines="0" rightToLeft="1" tabSelected="1" zoomScale="11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36" customHeight="1">
      <c r="A1" s="1" t="inlineStr">
        <is>
          <t>کارپوشهٔ جامع کمیسیون فنی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راهنمای استفاده، نقشهٔ شیت‌ها و وضعیت زندهٔ کارپوشه — نسخهٔ ۲٫۰ بازطراحی‌شده</t>
        </is>
      </c>
      <c r="B2" s="4" t="n"/>
      <c r="C2" s="4" t="n"/>
      <c r="D2" s="4" t="n"/>
      <c r="E2" s="4" t="n"/>
      <c r="F2" s="4" t="n"/>
      <c r="G2" s="4" t="n"/>
      <c r="H2" s="4" t="n"/>
    </row>
    <row r="4" ht="26" customHeight="1">
      <c r="A4" s="5" t="inlineStr">
        <is>
          <t>وضعیت زندهٔ کارپوشه</t>
        </is>
      </c>
      <c r="B4" s="6" t="n"/>
      <c r="C4" s="6" t="n"/>
      <c r="D4" s="6" t="n"/>
      <c r="E4" s="6" t="n"/>
      <c r="F4" s="6" t="n"/>
      <c r="G4" s="6" t="n"/>
      <c r="H4" s="6" t="n"/>
    </row>
    <row r="5" ht="20" customHeight="1">
      <c r="A5" s="7" t="inlineStr">
        <is>
          <t>تعداد پرونده‌ها</t>
        </is>
      </c>
      <c r="B5" s="8" t="n"/>
      <c r="C5" s="9" t="inlineStr">
        <is>
          <t>مبلغ کل کارشناسی</t>
        </is>
      </c>
      <c r="D5" s="10" t="n"/>
      <c r="E5" s="7" t="inlineStr">
        <is>
          <t>کمیسیون خالص (با مالیات)</t>
        </is>
      </c>
      <c r="F5" s="8" t="n"/>
      <c r="G5" s="9" t="inlineStr">
        <is>
          <t>سال گزارش</t>
        </is>
      </c>
      <c r="H5" s="10" t="n"/>
    </row>
    <row r="6" ht="28" customHeight="1">
      <c r="A6" s="11">
        <f>COUNTIF('تراکنش‌ها'!$F$6:$F$305,"&gt;0")</f>
        <v/>
      </c>
      <c r="B6" s="12" t="n"/>
      <c r="C6" s="13">
        <f>SUM('تراکنش‌ها'!$F$6:$F$305)</f>
        <v/>
      </c>
      <c r="D6" s="14" t="n"/>
      <c r="E6" s="15">
        <f>SUM('تراکنش‌ها'!$Q$6:$Q$305)</f>
        <v/>
      </c>
      <c r="F6" s="12" t="n"/>
      <c r="G6" s="16">
        <f>p_Year</f>
        <v/>
      </c>
      <c r="H6" s="14" t="n"/>
    </row>
    <row r="8" ht="26" customHeight="1">
      <c r="A8" s="5" t="inlineStr">
        <is>
          <t>نقشهٔ کارپوشه — هر شیت یک وظیفهٔ روشن</t>
        </is>
      </c>
      <c r="B8" s="6" t="n"/>
      <c r="C8" s="6" t="n"/>
      <c r="D8" s="6" t="n"/>
      <c r="E8" s="6" t="n"/>
      <c r="F8" s="6" t="n"/>
      <c r="G8" s="6" t="n"/>
      <c r="H8" s="6" t="n"/>
    </row>
    <row r="9" ht="26" customHeight="1">
      <c r="A9" s="17" t="inlineStr">
        <is>
          <t>#</t>
        </is>
      </c>
      <c r="B9" s="17" t="inlineStr">
        <is>
          <t>شیت</t>
        </is>
      </c>
      <c r="C9" s="17" t="inlineStr">
        <is>
          <t>وظیفه</t>
        </is>
      </c>
      <c r="D9" s="17" t="inlineStr">
        <is>
          <t>نوع محتوا</t>
        </is>
      </c>
    </row>
    <row r="10">
      <c r="A10" s="18" t="n">
        <v>1</v>
      </c>
      <c r="B10" s="19" t="inlineStr">
        <is>
          <t>راهنما</t>
        </is>
      </c>
      <c r="C10" s="20" t="inlineStr">
        <is>
          <t>صفحهٔ خانه: نقشهٔ شیت‌ها، راهنمای رنگ‌ها و گام‌های استفاده</t>
        </is>
      </c>
      <c r="D10" s="21" t="inlineStr">
        <is>
          <t>راهنما</t>
        </is>
      </c>
    </row>
    <row r="11">
      <c r="A11" s="22" t="n">
        <v>2</v>
      </c>
      <c r="B11" s="23" t="inlineStr">
        <is>
          <t>تنظیمات</t>
        </is>
      </c>
      <c r="C11" s="24" t="inlineStr">
        <is>
          <t>تنها منبع حقیقت برای مالیات، کف و سقف، مهلت پرداخت و پله‌های نرخ</t>
        </is>
      </c>
      <c r="D11" s="25" t="inlineStr">
        <is>
          <t>ورودی</t>
        </is>
      </c>
    </row>
    <row r="12">
      <c r="A12" s="18" t="n">
        <v>3</v>
      </c>
      <c r="B12" s="19" t="inlineStr">
        <is>
          <t>فهرست‌ها</t>
        </is>
      </c>
      <c r="C12" s="20" t="inlineStr">
        <is>
          <t>بانک گزینه‌های کشویی: خدمات، وضعیت‌ها، کارفرمایان، دسته‌ها</t>
        </is>
      </c>
      <c r="D12" s="21" t="inlineStr">
        <is>
          <t>ورودی</t>
        </is>
      </c>
    </row>
    <row r="13">
      <c r="A13" s="22" t="n">
        <v>4</v>
      </c>
      <c r="B13" s="23" t="inlineStr">
        <is>
          <t>اعضا</t>
        </is>
      </c>
      <c r="C13" s="24" t="inlineStr">
        <is>
          <t>اطلاعات پایهٔ اعضا و بازرسان + عملکرد زندهٔ هر نفر</t>
        </is>
      </c>
      <c r="D13" s="25" t="inlineStr">
        <is>
          <t>ورودی/محاسبه</t>
        </is>
      </c>
    </row>
    <row r="14">
      <c r="A14" s="18" t="n">
        <v>5</v>
      </c>
      <c r="B14" s="19" t="inlineStr">
        <is>
          <t>تراکنش‌ها</t>
        </is>
      </c>
      <c r="C14" s="20" t="inlineStr">
        <is>
          <t>قلب کارپوشه: ثبت هر پرونده و محاسبهٔ خودکار کمیسیون</t>
        </is>
      </c>
      <c r="D14" s="21" t="inlineStr">
        <is>
          <t>ورودی/محاسبه</t>
        </is>
      </c>
    </row>
    <row r="15">
      <c r="A15" s="22" t="n">
        <v>6</v>
      </c>
      <c r="B15" s="23" t="inlineStr">
        <is>
          <t>ماشین‌حساب</t>
        </is>
      </c>
      <c r="C15" s="24" t="inlineStr">
        <is>
          <t>سناریوسازی یک‌موردی بدون ایجاد رکورد واقعی</t>
        </is>
      </c>
      <c r="D15" s="25" t="inlineStr">
        <is>
          <t>محاسبه</t>
        </is>
      </c>
    </row>
    <row r="16">
      <c r="A16" s="18" t="n">
        <v>7</v>
      </c>
      <c r="B16" s="19" t="inlineStr">
        <is>
          <t>گزارش‌ها</t>
        </is>
      </c>
      <c r="C16" s="20" t="inlineStr">
        <is>
          <t>تجمیع بر پایهٔ اعضا، ماه، نوع خدمت و وضعیت</t>
        </is>
      </c>
      <c r="D16" s="21" t="inlineStr">
        <is>
          <t>گزارش</t>
        </is>
      </c>
    </row>
    <row r="17">
      <c r="A17" s="22" t="n">
        <v>8</v>
      </c>
      <c r="B17" s="23" t="inlineStr">
        <is>
          <t>داشبورد</t>
        </is>
      </c>
      <c r="C17" s="24" t="inlineStr">
        <is>
          <t>شاخص‌های کلیدی و چهار نمودار مدیریتی</t>
        </is>
      </c>
      <c r="D17" s="25" t="inlineStr">
        <is>
          <t>نمایش</t>
        </is>
      </c>
    </row>
    <row r="18">
      <c r="A18" s="18" t="n">
        <v>9</v>
      </c>
      <c r="B18" s="19" t="inlineStr">
        <is>
          <t>کنترل کیفیت</t>
        </is>
      </c>
      <c r="C18" s="20" t="inlineStr">
        <is>
          <t>آزمون‌های خودکار صحت داده و تطبیق جمع‌ها</t>
        </is>
      </c>
      <c r="D18" s="21" t="inlineStr">
        <is>
          <t>کنترل</t>
        </is>
      </c>
    </row>
    <row r="19">
      <c r="A19" s="22" t="n">
        <v>10</v>
      </c>
      <c r="B19" s="23" t="inlineStr">
        <is>
          <t>تقویم</t>
        </is>
      </c>
      <c r="C19" s="24" t="inlineStr">
        <is>
          <t>پل تبدیل تاریخ میلادی به شمسی (پشتیبان محاسبات دوره‌ای)</t>
        </is>
      </c>
      <c r="D19" s="25" t="inlineStr">
        <is>
          <t>مرجع</t>
        </is>
      </c>
    </row>
    <row r="21" ht="26" customHeight="1">
      <c r="A21" s="5" t="inlineStr">
        <is>
          <t>گام‌های استفاده (به همین ترتیب)</t>
        </is>
      </c>
      <c r="B21" s="6" t="n"/>
      <c r="C21" s="6" t="n"/>
      <c r="D21" s="6" t="n"/>
      <c r="E21" s="6" t="n"/>
      <c r="F21" s="6" t="n"/>
      <c r="G21" s="6" t="n"/>
      <c r="H21" s="6" t="n"/>
    </row>
    <row r="22" ht="19" customHeight="1">
      <c r="A22" s="26" t="inlineStr">
        <is>
          <t>۱. شیت «تنظیمات» را باز کنید و مالیات، کف/سقف کمیسیون، مهلت پرداخت و پله‌های نرخ را با سیاست شرکت خود تطبیق دهید.</t>
        </is>
      </c>
    </row>
    <row r="23" ht="19" customHeight="1">
      <c r="A23" s="26" t="inlineStr">
        <is>
          <t>۲. در شیت «فهرست‌ها»، انواع خدمت و نرخ پایهٔ هر خدمت را ویرایش کنید (منبع همهٔ فهرست‌های کشویی همین‌جاست).</t>
        </is>
      </c>
    </row>
    <row r="24" ht="19" customHeight="1">
      <c r="A24" s="26" t="inlineStr">
        <is>
          <t>۳. در شیت «اعضا»، نام و سهم پیش‌فرض هر عضو را وارد کنید؛ ستون‌های عملکرد به‌صورت خودکار پر می‌شوند.</t>
        </is>
      </c>
    </row>
    <row r="25" ht="19" customHeight="1">
      <c r="A25" s="26" t="inlineStr">
        <is>
          <t>۴. از شیت «تراکنش‌ها» رکوردهای واقعی را ثبت کنید. فقط ستون‌های آبی ورودی‌اند؛ ستون‌های محاسباتی خودکار پر می‌شوند.</t>
        </is>
      </c>
    </row>
    <row r="26" ht="19" customHeight="1">
      <c r="A26" s="26" t="inlineStr">
        <is>
          <t>۵. برای بررسی یک پروندهٔ فرضی پیش از ثبت، از «ماشین‌حساب» استفاده کنید.</t>
        </is>
      </c>
    </row>
    <row r="27" ht="19" customHeight="1">
      <c r="A27" s="26" t="inlineStr">
        <is>
          <t>۶. «داشبورد» و «گزارش‌ها» نمودارها و تجمیع‌ها را به‌صورت زنده نشان می‌دهند (نمودارها با F9 یا بازکردن فایل به‌روز می‌شوند؛ Alt+F5 برای بازمحاسبهٔ اجباری).</t>
        </is>
      </c>
    </row>
    <row r="28" ht="19" customHeight="1">
      <c r="A28" s="26" t="inlineStr">
        <is>
          <t>۷. پیش از گزارش‌گیری، شیت «کنترل کیفیت» را ببینید؛ تا وقتی همهٔ آزمون‌ها ✅ نشده‌اند، اعداد را قطعی ندانید.</t>
        </is>
      </c>
    </row>
    <row r="30" ht="26" customHeight="1">
      <c r="A30" s="5" t="inlineStr">
        <is>
          <t>راهنمای رنگ‌ها و نمادها</t>
        </is>
      </c>
      <c r="B30" s="6" t="n"/>
      <c r="C30" s="6" t="n"/>
      <c r="D30" s="6" t="n"/>
      <c r="E30" s="6" t="n"/>
      <c r="F30" s="6" t="n"/>
      <c r="G30" s="6" t="n"/>
      <c r="H30" s="6" t="n"/>
    </row>
    <row r="31" ht="26" customHeight="1">
      <c r="A31" s="17" t="inlineStr">
        <is>
          <t>#</t>
        </is>
      </c>
      <c r="B31" s="17" t="inlineStr">
        <is>
          <t>برچسب</t>
        </is>
      </c>
      <c r="C31" s="17" t="inlineStr">
        <is>
          <t>توضیح</t>
        </is>
      </c>
      <c r="D31" s="17" t="inlineStr">
        <is>
          <t>نمونه</t>
        </is>
      </c>
    </row>
    <row r="32" ht="22" customHeight="1">
      <c r="A32" s="18" t="n">
        <v>1</v>
      </c>
      <c r="B32" s="27" t="inlineStr">
        <is>
          <t>سلول ورودی</t>
        </is>
      </c>
      <c r="C32" s="20" t="inlineStr">
        <is>
          <t>پس‌زمینهٔ آبی روشن — فقط این سلول‌ها را پر یا ویرایش کنید</t>
        </is>
      </c>
      <c r="D32" s="28" t="inlineStr">
        <is>
          <t>■</t>
        </is>
      </c>
    </row>
    <row r="33" ht="22" customHeight="1">
      <c r="A33" s="22" t="n">
        <v>2</v>
      </c>
      <c r="B33" s="29" t="inlineStr">
        <is>
          <t>سلول محاسباتی</t>
        </is>
      </c>
      <c r="C33" s="24" t="inlineStr">
        <is>
          <t>پس‌زمینهٔ سفید — فرمول دارد؛ دست نزنید</t>
        </is>
      </c>
      <c r="D33" s="30" t="inlineStr">
        <is>
          <t>■</t>
        </is>
      </c>
    </row>
    <row r="34" ht="22" customHeight="1">
      <c r="A34" s="18" t="n">
        <v>3</v>
      </c>
      <c r="B34" s="27" t="inlineStr">
        <is>
          <t>ردیف راه‌راه</t>
        </is>
      </c>
      <c r="C34" s="20" t="inlineStr">
        <is>
          <t>خطوط فقط افقی و نازک؛ ستون‌ها برای خوانایی راه‌راه شده‌اند</t>
        </is>
      </c>
      <c r="D34" s="30" t="inlineStr">
        <is>
          <t>■</t>
        </is>
      </c>
    </row>
    <row r="35" ht="22" customHeight="1">
      <c r="A35" s="22" t="n">
        <v>4</v>
      </c>
      <c r="B35" s="31" t="inlineStr">
        <is>
          <t>وضعیت موفق</t>
        </is>
      </c>
      <c r="C35" s="24" t="inlineStr">
        <is>
          <t>پرداخت‌شده، تأییدشدهٔ نهایی، آزمون موفق</t>
        </is>
      </c>
      <c r="D35" s="32" t="inlineStr">
        <is>
          <t>■</t>
        </is>
      </c>
    </row>
    <row r="36" ht="22" customHeight="1">
      <c r="A36" s="18" t="n">
        <v>5</v>
      </c>
      <c r="B36" s="33" t="inlineStr">
        <is>
          <t>وضعیت هشدار</t>
        </is>
      </c>
      <c r="C36" s="20" t="inlineStr">
        <is>
          <t>در انتظار پرداخت، معوق، در حال بررسی</t>
        </is>
      </c>
      <c r="D36" s="34" t="inlineStr">
        <is>
          <t>■</t>
        </is>
      </c>
    </row>
    <row r="37" ht="22" customHeight="1">
      <c r="A37" s="22" t="n">
        <v>6</v>
      </c>
      <c r="B37" s="35" t="inlineStr">
        <is>
          <t>وضعیت خطر</t>
        </is>
      </c>
      <c r="C37" s="24" t="inlineStr">
        <is>
          <t>ابطال، رکورد ناقص، آزمون ناموفق</t>
        </is>
      </c>
      <c r="D37" s="36" t="inlineStr">
        <is>
          <t>■</t>
        </is>
      </c>
    </row>
    <row r="38" ht="22" customHeight="1">
      <c r="A38" s="18" t="n">
        <v>7</v>
      </c>
      <c r="B38" s="37" t="inlineStr">
        <is>
          <t>نوار طلایی</t>
        </is>
      </c>
      <c r="C38" s="20" t="inlineStr">
        <is>
          <t>خط تأکید زیر عنوان هر شیت — امضای بصری کارپوشه</t>
        </is>
      </c>
      <c r="D38" s="38" t="inlineStr">
        <is>
          <t>■</t>
        </is>
      </c>
    </row>
    <row r="40" ht="30" customHeight="1">
      <c r="A40" s="39" t="inlineStr">
        <is>
          <t>نکتهٔ فنی: این کارپوشه همهٔ محاسبات را با فرمول زنده انجام می‌دهد؛ اگر اعداد پس از باز کردن فایل به‌روز نبودند، در اکسل کلید F9 و در برخی نسخه‌ها Ctrl+Alt+F9 را بزنید.</t>
        </is>
      </c>
      <c r="B40" s="10" t="n"/>
      <c r="C40" s="10" t="n"/>
      <c r="D40" s="10" t="n"/>
      <c r="E40" s="10" t="n"/>
      <c r="F40" s="10" t="n"/>
      <c r="G40" s="10" t="n"/>
      <c r="H40" s="40" t="n"/>
    </row>
  </sheetData>
  <mergeCells count="29">
    <mergeCell ref="D35:H35"/>
    <mergeCell ref="A30:H30"/>
    <mergeCell ref="C6:D6"/>
    <mergeCell ref="D34:H34"/>
    <mergeCell ref="A24:H24"/>
    <mergeCell ref="C5:D5"/>
    <mergeCell ref="E5:F5"/>
    <mergeCell ref="A1:H1"/>
    <mergeCell ref="A6:B6"/>
    <mergeCell ref="D36:H36"/>
    <mergeCell ref="A25:H25"/>
    <mergeCell ref="G6:H6"/>
    <mergeCell ref="D32:H32"/>
    <mergeCell ref="A27:H27"/>
    <mergeCell ref="A26:H26"/>
    <mergeCell ref="E6:F6"/>
    <mergeCell ref="A21:H21"/>
    <mergeCell ref="A2:H2"/>
    <mergeCell ref="A5:B5"/>
    <mergeCell ref="G5:H5"/>
    <mergeCell ref="D37:H37"/>
    <mergeCell ref="A23:H23"/>
    <mergeCell ref="A8:H8"/>
    <mergeCell ref="A22:H22"/>
    <mergeCell ref="A4:H4"/>
    <mergeCell ref="D33:H33"/>
    <mergeCell ref="A28:H28"/>
    <mergeCell ref="D38:H38"/>
    <mergeCell ref="A40:H40"/>
  </mergeCells>
  <hyperlinks>
    <hyperlink xmlns:r="http://schemas.openxmlformats.org/officeDocument/2006/relationships" ref="B10" r:id="rId1"/>
    <hyperlink xmlns:r="http://schemas.openxmlformats.org/officeDocument/2006/relationships" ref="B11" r:id="rId2"/>
    <hyperlink xmlns:r="http://schemas.openxmlformats.org/officeDocument/2006/relationships" ref="B12" r:id="rId3"/>
    <hyperlink xmlns:r="http://schemas.openxmlformats.org/officeDocument/2006/relationships" ref="B13" r:id="rId4"/>
    <hyperlink xmlns:r="http://schemas.openxmlformats.org/officeDocument/2006/relationships" ref="B14" r:id="rId5"/>
    <hyperlink xmlns:r="http://schemas.openxmlformats.org/officeDocument/2006/relationships" ref="B15" r:id="rId6"/>
    <hyperlink xmlns:r="http://schemas.openxmlformats.org/officeDocument/2006/relationships" ref="B16" r:id="rId7"/>
    <hyperlink xmlns:r="http://schemas.openxmlformats.org/officeDocument/2006/relationships" ref="B17" r:id="rId8"/>
    <hyperlink xmlns:r="http://schemas.openxmlformats.org/officeDocument/2006/relationships" ref="B18" r:id="rId9"/>
    <hyperlink xmlns:r="http://schemas.openxmlformats.org/officeDocument/2006/relationships" ref="B19" r:id="rId10"/>
  </hyperlinks>
  <printOptions horizontalCentered="1"/>
  <pageMargins left="0.75" right="0.75" top="1" bottom="1" header="0.5" footer="0.5"/>
  <pageSetup orientation="portrait" paperSize="9" fitToHeight="0" fitToWidth="1"/>
  <headerFooter>
    <oddHeader/>
    <oddFooter>&amp;C&amp;8 &amp;K64748B&amp;A — صفحهٔ &amp;P از &amp;N</oddFooter>
    <evenHeader/>
    <evenFooter>&amp;C&amp;A — صفحهٔ &amp;P از &amp;N</evenFooter>
    <firstHeader/>
    <firstFooter/>
  </headerFooter>
</worksheet>
</file>

<file path=xl/worksheets/sheet2.xml><?xml version="1.0" encoding="utf-8"?>
<worksheet xmlns="http://schemas.openxmlformats.org/spreadsheetml/2006/main">
  <sheetPr>
    <tabColor rgb="000B2438"/>
    <outlinePr summaryBelow="1" summaryRight="1"/>
    <pageSetUpPr fitToPage="1"/>
  </sheetPr>
  <dimension ref="A1:C31"/>
  <sheetViews>
    <sheetView showGridLines="0" rightToLeft="1" tabSelected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2" customWidth="1" min="3" max="3"/>
    <col width="3" customWidth="1" min="4" max="4"/>
  </cols>
  <sheetData>
    <row r="1" ht="36" customHeight="1">
      <c r="A1" s="1" t="inlineStr">
        <is>
          <t>تنظیمات و سیاست‌های محاسباتی</t>
        </is>
      </c>
      <c r="B1" s="2" t="n"/>
      <c r="C1" s="2" t="n"/>
    </row>
    <row r="2" ht="22" customHeight="1">
      <c r="A2" s="3" t="inlineStr">
        <is>
          <t>تنها منبع حقیقت: هر عددی که در فرمول‌ها استفاده می‌شود، از همین شیت خوانده می‌شود</t>
        </is>
      </c>
      <c r="B2" s="4" t="n"/>
      <c r="C2" s="4" t="n"/>
    </row>
    <row r="4" ht="26" customHeight="1">
      <c r="A4" s="5" t="inlineStr">
        <is>
          <t>پارامترهای عمومی</t>
        </is>
      </c>
      <c r="B4" s="6" t="n"/>
      <c r="C4" s="6" t="n"/>
    </row>
    <row r="5" ht="26" customHeight="1">
      <c r="A5" s="17" t="inlineStr">
        <is>
          <t>پارامتر</t>
        </is>
      </c>
      <c r="B5" s="17" t="inlineStr">
        <is>
          <t>مقدار</t>
        </is>
      </c>
      <c r="C5" s="17" t="inlineStr">
        <is>
          <t>توضیح / اثر در محاسبات</t>
        </is>
      </c>
    </row>
    <row r="6" ht="21" customHeight="1">
      <c r="A6" s="41" t="inlineStr">
        <is>
          <t>نام شرکت / کارپوشه</t>
        </is>
      </c>
      <c r="B6" s="42" t="inlineStr">
        <is>
          <t>شرکت مهندسی و بازرسی فنی نمونه</t>
        </is>
      </c>
      <c r="C6" s="43" t="inlineStr">
        <is>
          <t>در سربرگ‌ها و گزارش‌های چاپی استفاده می‌شود</t>
        </is>
      </c>
    </row>
    <row r="7" ht="21" customHeight="1">
      <c r="A7" s="44" t="inlineStr">
        <is>
          <t>واحد پول</t>
        </is>
      </c>
      <c r="B7" s="45" t="inlineStr">
        <is>
          <t>ریال</t>
        </is>
      </c>
      <c r="C7" s="46" t="inlineStr">
        <is>
          <t>فقط برچسب نمایشی اعداد است</t>
        </is>
      </c>
    </row>
    <row r="8" ht="21" customHeight="1">
      <c r="A8" s="41" t="inlineStr">
        <is>
          <t>سال گزارش</t>
        </is>
      </c>
      <c r="B8" s="47" t="n">
        <v>1405</v>
      </c>
      <c r="C8" s="43" t="inlineStr">
        <is>
          <t>مبنای تجمیع در شیت «گزارش‌ها»</t>
        </is>
      </c>
    </row>
    <row r="9" ht="21" customHeight="1">
      <c r="A9" s="44" t="inlineStr">
        <is>
          <t>مالیات و عوارض (نرخ)</t>
        </is>
      </c>
      <c r="B9" s="48" t="n">
        <v>0.1</v>
      </c>
      <c r="C9" s="46" t="inlineStr">
        <is>
          <t>ضرب در کمیسیون پس از کف/سقف</t>
        </is>
      </c>
    </row>
    <row r="10" ht="21" customHeight="1">
      <c r="A10" s="41" t="inlineStr">
        <is>
          <t>کف کمیسیون هر پرونده</t>
        </is>
      </c>
      <c r="B10" s="49" t="n">
        <v>5000000</v>
      </c>
      <c r="C10" s="43" t="inlineStr">
        <is>
          <t>حداقل مبلغ کمیسیون (تعدیل رو به بالا)</t>
        </is>
      </c>
    </row>
    <row r="11" ht="21" customHeight="1">
      <c r="A11" s="44" t="inlineStr">
        <is>
          <t>سقف کمیسیون هر پرونده</t>
        </is>
      </c>
      <c r="B11" s="50" t="n">
        <v>500000000</v>
      </c>
      <c r="C11" s="46" t="inlineStr">
        <is>
          <t>حداکثر مبلغ کمیسیون (تعدیل رو به پایین)</t>
        </is>
      </c>
    </row>
    <row r="12" ht="21" customHeight="1">
      <c r="A12" s="41" t="inlineStr">
        <is>
          <t>مهلت پرداخت (روز)</t>
        </is>
      </c>
      <c r="B12" s="47" t="n">
        <v>30</v>
      </c>
      <c r="C12" s="43" t="inlineStr">
        <is>
          <t>مبنای محاسبهٔ تاریخ سرسید در شیت تراکنش‌ها</t>
        </is>
      </c>
    </row>
    <row r="13" ht="21" customHeight="1">
      <c r="A13" s="44" t="inlineStr">
        <is>
          <t>حالت اعمال ضریب پله‌ای</t>
        </is>
      </c>
      <c r="B13" s="45" t="inlineStr">
        <is>
          <t>پلکانی</t>
        </is>
      </c>
      <c r="C13" s="46" t="inlineStr">
        <is>
          <t>«پلکانی» = استفاده از جدول پله‌ها · «ثابت» = ضریب ۱</t>
        </is>
      </c>
    </row>
    <row r="14" ht="21" customHeight="1">
      <c r="A14" s="41" t="inlineStr">
        <is>
          <t>درصد سهم پیش‌فرض عضو</t>
        </is>
      </c>
      <c r="B14" s="51" t="n">
        <v>0.15</v>
      </c>
      <c r="C14" s="43" t="inlineStr">
        <is>
          <t>اگر عضو سهم اختصاصی نداشته باشد</t>
        </is>
      </c>
    </row>
    <row r="15" ht="21" customHeight="1">
      <c r="A15" s="44" t="inlineStr">
        <is>
          <t>آستانهٔ کم‌فعالی (تعداد پرونده)</t>
        </is>
      </c>
      <c r="B15" s="52" t="n">
        <v>3</v>
      </c>
      <c r="C15" s="46" t="inlineStr">
        <is>
          <t>مبنای برچسب «کم‌فعال» در شیت اعضا</t>
        </is>
      </c>
    </row>
    <row r="16" ht="21" customHeight="1">
      <c r="A16" s="41" t="inlineStr">
        <is>
          <t>هدف کمیسیون خالص سالانه</t>
        </is>
      </c>
      <c r="B16" s="49" t="n">
        <v>3000000000</v>
      </c>
      <c r="C16" s="43" t="inlineStr">
        <is>
          <t>مبنای درصد تحقق هدف در داشبورد</t>
        </is>
      </c>
    </row>
    <row r="18" ht="26" customHeight="1">
      <c r="A18" s="5" t="inlineStr">
        <is>
          <t>پله‌های ضریب نرخ (بر پایهٔ مبلغ مبنا)</t>
        </is>
      </c>
      <c r="B18" s="6" t="n"/>
      <c r="C18" s="6" t="n"/>
    </row>
    <row r="19" ht="26" customHeight="1">
      <c r="A19" s="17" t="inlineStr">
        <is>
          <t>ردیف پله</t>
        </is>
      </c>
      <c r="B19" s="17" t="inlineStr">
        <is>
          <t>از مبلغ مبنا (ریال)</t>
        </is>
      </c>
      <c r="C19" s="17" t="inlineStr">
        <is>
          <t>ضریب نرخ</t>
        </is>
      </c>
    </row>
    <row r="20" ht="21" customHeight="1">
      <c r="A20" s="53" t="inlineStr">
        <is>
          <t>پلهٔ 1</t>
        </is>
      </c>
      <c r="B20" s="54" t="n">
        <v>0</v>
      </c>
      <c r="C20" s="55" t="n">
        <v>1</v>
      </c>
    </row>
    <row r="21" ht="21" customHeight="1">
      <c r="A21" s="53" t="inlineStr">
        <is>
          <t>پلهٔ 2</t>
        </is>
      </c>
      <c r="B21" s="54" t="n">
        <v>200000000</v>
      </c>
      <c r="C21" s="55" t="n">
        <v>0.95</v>
      </c>
    </row>
    <row r="22" ht="21" customHeight="1">
      <c r="A22" s="53" t="inlineStr">
        <is>
          <t>پلهٔ 3</t>
        </is>
      </c>
      <c r="B22" s="54" t="n">
        <v>1000000000</v>
      </c>
      <c r="C22" s="55" t="n">
        <v>0.9</v>
      </c>
    </row>
    <row r="23" ht="21" customHeight="1">
      <c r="A23" s="53" t="inlineStr">
        <is>
          <t>پلهٔ 4</t>
        </is>
      </c>
      <c r="B23" s="54" t="n">
        <v>5000000000</v>
      </c>
      <c r="C23" s="55" t="n">
        <v>0.85</v>
      </c>
    </row>
    <row r="24" ht="20" customHeight="1">
      <c r="A24" s="39" t="inlineStr">
        <is>
          <t>پله‌ها باید از کوچک به بزرگ مرتب باشند؛ ضریب نرخ روی «نرخ پایه» خدمت اعمال می‌شود (نرخ مؤثر).</t>
        </is>
      </c>
      <c r="B24" s="10" t="n"/>
      <c r="C24" s="40" t="n"/>
    </row>
    <row r="27" ht="26" customHeight="1">
      <c r="A27" s="5" t="inlineStr">
        <is>
          <t>یادداشت‌های سیاست‌گذاری</t>
        </is>
      </c>
      <c r="B27" s="6" t="n"/>
      <c r="C27" s="6" t="n"/>
    </row>
    <row r="28" ht="19" customHeight="1">
      <c r="A28" s="26" t="inlineStr">
        <is>
          <t>۱. اگر «کف» را صفر بگذارید، هیچ حداقلی اعمال نمی‌شود؛ برای غیرفعال‌کردن سقف، عددی بزرگ (مثلاً ۹۹۹٫۹۹۹٫۹۹۹٫۹۹۹) وارد کنید.</t>
        </is>
      </c>
    </row>
    <row r="29" ht="19" customHeight="1">
      <c r="A29" s="26" t="inlineStr">
        <is>
          <t>۲. کف و سقف روی «کمیسیون خام» اعمال می‌شوند و قبل از محاسبهٔ مالیات اتفاق می‌افتند.</t>
        </is>
      </c>
    </row>
    <row r="30" ht="19" customHeight="1">
      <c r="A30" s="26" t="inlineStr">
        <is>
          <t>۳. ضریب خدمت (ستون G تراکنش‌ها) برای شرایطی است که یک پرونده چند برابر عملیات داشته باشد؛ مقدار پیش‌فرض ۱ است.</t>
        </is>
      </c>
    </row>
    <row r="31" ht="19" customHeight="1">
      <c r="A31" s="26" t="inlineStr">
        <is>
          <t>۴. هر تغییری در این شیت، فوراً روی کل کارپوشه اثر می‌گذارد؛ آرشیوی از مقادیر قبلی نگه دارید.</t>
        </is>
      </c>
    </row>
  </sheetData>
  <mergeCells count="10">
    <mergeCell ref="A28:C28"/>
    <mergeCell ref="A1:C1"/>
    <mergeCell ref="A31:C31"/>
    <mergeCell ref="A18:C18"/>
    <mergeCell ref="A27:C27"/>
    <mergeCell ref="A30:C30"/>
    <mergeCell ref="A29:C29"/>
    <mergeCell ref="A4:C4"/>
    <mergeCell ref="A24:C24"/>
    <mergeCell ref="A2:C2"/>
  </mergeCells>
  <printOptions horizontalCentered="1"/>
  <pageMargins left="0.75" right="0.75" top="1" bottom="1" header="0.5" footer="0.5"/>
  <pageSetup orientation="portrait" paperSize="9" fitToHeight="0" fitToWidth="1"/>
  <headerFooter>
    <oddHeader/>
    <oddFooter>&amp;C&amp;8 &amp;K64748B&amp;A — صفحهٔ &amp;P از &amp;N</oddFooter>
    <evenHeader/>
    <evenFooter>&amp;C&amp;A — صفحهٔ &amp;P از &amp;N</evenFooter>
    <firstHeader/>
    <firstFooter/>
  </headerFooter>
</worksheet>
</file>

<file path=xl/worksheets/sheet3.xml><?xml version="1.0" encoding="utf-8"?>
<worksheet xmlns="http://schemas.openxmlformats.org/spreadsheetml/2006/main">
  <sheetPr>
    <tabColor rgb="001F5C8B"/>
    <outlinePr summaryBelow="1" summaryRight="1"/>
    <pageSetUpPr fitToPage="1"/>
  </sheetPr>
  <dimension ref="A1:C80"/>
  <sheetViews>
    <sheetView showGridLines="0" rightToLeft="1" tabSelected="0" zoomScale="11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3" customWidth="1" min="4" max="4"/>
  </cols>
  <sheetData>
    <row r="1" ht="36" customHeight="1">
      <c r="A1" s="1" t="inlineStr">
        <is>
          <t>فهرست‌های مرجع</t>
        </is>
      </c>
      <c r="B1" s="2" t="n"/>
      <c r="C1" s="2" t="n"/>
    </row>
    <row r="2" ht="22" customHeight="1">
      <c r="A2" s="3" t="inlineStr">
        <is>
          <t>بانک گزینه‌های کشویی؛ افزودن یا ویرایش هر ردیف، بلافاصله در همهٔ شیت‌ها فعال می‌شود</t>
        </is>
      </c>
      <c r="B2" s="4" t="n"/>
      <c r="C2" s="4" t="n"/>
    </row>
    <row r="4" ht="26" customHeight="1">
      <c r="A4" s="5" t="inlineStr">
        <is>
          <t>۱) انواع خدمات و نرخ پایهٔ کمیسیون</t>
        </is>
      </c>
      <c r="B4" s="6" t="n"/>
      <c r="C4" s="6" t="n"/>
    </row>
    <row r="5" ht="24" customHeight="1">
      <c r="A5" s="17" t="inlineStr">
        <is>
          <t>نوع خدمت</t>
        </is>
      </c>
      <c r="B5" s="17" t="inlineStr">
        <is>
          <t>نرخ پایه</t>
        </is>
      </c>
      <c r="C5" s="17" t="inlineStr">
        <is>
          <t>دستهٔ خدمت</t>
        </is>
      </c>
    </row>
    <row r="6" ht="20" customHeight="1">
      <c r="A6" s="56" t="inlineStr">
        <is>
          <t>بازرسی جوش و اتصالات</t>
        </is>
      </c>
      <c r="B6" s="57" t="n">
        <v>0.05</v>
      </c>
      <c r="C6" s="58" t="inlineStr">
        <is>
          <t>بازرسی</t>
        </is>
      </c>
    </row>
    <row r="7" ht="20" customHeight="1">
      <c r="A7" s="59" t="inlineStr">
        <is>
          <t>تست فشار و نشتی‌یابی</t>
        </is>
      </c>
      <c r="B7" s="60" t="n">
        <v>0.045</v>
      </c>
      <c r="C7" s="61" t="inlineStr">
        <is>
          <t>آزمایشگاه</t>
        </is>
      </c>
    </row>
    <row r="8" ht="20" customHeight="1">
      <c r="A8" s="56" t="inlineStr">
        <is>
          <t>بازرسی ابعادی و نصب</t>
        </is>
      </c>
      <c r="B8" s="57" t="n">
        <v>0.035</v>
      </c>
      <c r="C8" s="58" t="inlineStr">
        <is>
          <t>بازرسی</t>
        </is>
      </c>
    </row>
    <row r="9" ht="20" customHeight="1">
      <c r="A9" s="59" t="inlineStr">
        <is>
          <t>کنترل کیفیت خط تولید</t>
        </is>
      </c>
      <c r="B9" s="60" t="n">
        <v>0.03</v>
      </c>
      <c r="C9" s="61" t="inlineStr">
        <is>
          <t>بازرسی</t>
        </is>
      </c>
    </row>
    <row r="10" ht="20" customHeight="1">
      <c r="A10" s="56" t="inlineStr">
        <is>
          <t>تأییدیهٔ مهندسی و امضا</t>
        </is>
      </c>
      <c r="B10" s="57" t="n">
        <v>0.06</v>
      </c>
      <c r="C10" s="58" t="inlineStr">
        <is>
          <t>تأییدیه</t>
        </is>
      </c>
    </row>
    <row r="11" ht="20" customHeight="1">
      <c r="A11" s="59" t="inlineStr">
        <is>
          <t>آموزش و ارتقای فنی</t>
        </is>
      </c>
      <c r="B11" s="60" t="n">
        <v>0.025</v>
      </c>
      <c r="C11" s="61" t="inlineStr">
        <is>
          <t>آموزش</t>
        </is>
      </c>
    </row>
    <row r="12" ht="20" customHeight="1">
      <c r="A12" s="56" t="inlineStr">
        <is>
          <t>مشاورهٔ سیستم مدیریت</t>
        </is>
      </c>
      <c r="B12" s="57" t="n">
        <v>0.04</v>
      </c>
      <c r="C12" s="58" t="inlineStr">
        <is>
          <t>مشاوره</t>
        </is>
      </c>
    </row>
    <row r="13" ht="20" customHeight="1">
      <c r="A13" s="59" t="inlineStr">
        <is>
          <t>کالیبراسیون تجهیزات</t>
        </is>
      </c>
      <c r="B13" s="60" t="n">
        <v>0.032</v>
      </c>
      <c r="C13" s="61" t="inlineStr">
        <is>
          <t>آزمایشگاه</t>
        </is>
      </c>
    </row>
    <row r="17" ht="26" customHeight="1">
      <c r="A17" s="5" t="inlineStr">
        <is>
          <t>۲) وضعیت پرونده‌ها</t>
        </is>
      </c>
      <c r="B17" s="6" t="n"/>
      <c r="C17" s="6" t="n"/>
    </row>
    <row r="18" ht="24" customHeight="1">
      <c r="A18" s="17" t="inlineStr">
        <is>
          <t>وضعیت</t>
        </is>
      </c>
      <c r="B18" s="17" t="inlineStr">
        <is>
          <t>گروه</t>
        </is>
      </c>
    </row>
    <row r="19" ht="20" customHeight="1">
      <c r="A19" s="56" t="inlineStr">
        <is>
          <t>ثبت‌شده</t>
        </is>
      </c>
      <c r="B19" s="58" t="inlineStr">
        <is>
          <t>جاری</t>
        </is>
      </c>
    </row>
    <row r="20" ht="20" customHeight="1">
      <c r="A20" s="59" t="inlineStr">
        <is>
          <t>در حال بررسی</t>
        </is>
      </c>
      <c r="B20" s="61" t="inlineStr">
        <is>
          <t>جاری</t>
        </is>
      </c>
    </row>
    <row r="21" ht="20" customHeight="1">
      <c r="A21" s="56" t="inlineStr">
        <is>
          <t>تأییدشده</t>
        </is>
      </c>
      <c r="B21" s="58" t="inlineStr">
        <is>
          <t>جاری</t>
        </is>
      </c>
    </row>
    <row r="22" ht="20" customHeight="1">
      <c r="A22" s="59" t="inlineStr">
        <is>
          <t>در انتظار پرداخت</t>
        </is>
      </c>
      <c r="B22" s="61" t="inlineStr">
        <is>
          <t>جاری</t>
        </is>
      </c>
    </row>
    <row r="23" ht="20" customHeight="1">
      <c r="A23" s="56" t="inlineStr">
        <is>
          <t>پرداخت‌شده</t>
        </is>
      </c>
      <c r="B23" s="58" t="inlineStr">
        <is>
          <t>پایانی</t>
        </is>
      </c>
    </row>
    <row r="24" ht="20" customHeight="1">
      <c r="A24" s="59" t="inlineStr">
        <is>
          <t>معوق</t>
        </is>
      </c>
      <c r="B24" s="61" t="inlineStr">
        <is>
          <t>منفی</t>
        </is>
      </c>
    </row>
    <row r="25" ht="20" customHeight="1">
      <c r="A25" s="56" t="inlineStr">
        <is>
          <t>ابطال</t>
        </is>
      </c>
      <c r="B25" s="58" t="inlineStr">
        <is>
          <t>منفی</t>
        </is>
      </c>
    </row>
    <row r="29" ht="26" customHeight="1">
      <c r="A29" s="5" t="inlineStr">
        <is>
          <t>۳) کارفرمایان / طرف‌های قرارداد</t>
        </is>
      </c>
      <c r="B29" s="6" t="n"/>
      <c r="C29" s="6" t="n"/>
    </row>
    <row r="30" ht="24" customHeight="1">
      <c r="A30" s="17" t="inlineStr">
        <is>
          <t>کارفرما</t>
        </is>
      </c>
      <c r="B30" s="17" t="inlineStr">
        <is>
          <t>شهر</t>
        </is>
      </c>
    </row>
    <row r="31" ht="20" customHeight="1">
      <c r="A31" s="56" t="inlineStr">
        <is>
          <t>پالایشگاه نمونهٔ جنوب</t>
        </is>
      </c>
      <c r="B31" s="58" t="inlineStr">
        <is>
          <t>بوشهر</t>
        </is>
      </c>
    </row>
    <row r="32" ht="20" customHeight="1">
      <c r="A32" s="59" t="inlineStr">
        <is>
          <t>پتروشیمی نمونهٔ خلیج</t>
        </is>
      </c>
      <c r="B32" s="61" t="inlineStr">
        <is>
          <t>عسلویه</t>
        </is>
      </c>
    </row>
    <row r="33" ht="20" customHeight="1">
      <c r="A33" s="56" t="inlineStr">
        <is>
          <t>نیروگاه نمونهٔ شرق</t>
        </is>
      </c>
      <c r="B33" s="58" t="inlineStr">
        <is>
          <t>کرمان</t>
        </is>
      </c>
    </row>
    <row r="34" ht="20" customHeight="1">
      <c r="A34" s="59" t="inlineStr">
        <is>
          <t>سیمان نمونهٔ مرکزی</t>
        </is>
      </c>
      <c r="B34" s="61" t="inlineStr">
        <is>
          <t>اصفهان</t>
        </is>
      </c>
    </row>
    <row r="35" ht="20" customHeight="1">
      <c r="A35" s="56" t="inlineStr">
        <is>
          <t>فولاد نمونهٔ سپاهان</t>
        </is>
      </c>
      <c r="B35" s="58" t="inlineStr">
        <is>
          <t>اصفهان</t>
        </is>
      </c>
    </row>
    <row r="36" ht="20" customHeight="1">
      <c r="A36" s="59" t="inlineStr">
        <is>
          <t>شرکت آب و فاضلاب نمونه</t>
        </is>
      </c>
      <c r="B36" s="61" t="inlineStr">
        <is>
          <t>تهران</t>
        </is>
      </c>
    </row>
    <row r="37" ht="20" customHeight="1">
      <c r="A37" s="56" t="inlineStr">
        <is>
          <t>پیمانکار نمونهٔ ساختمانی</t>
        </is>
      </c>
      <c r="B37" s="58" t="inlineStr">
        <is>
          <t>تهران</t>
        </is>
      </c>
    </row>
    <row r="38" ht="20" customHeight="1">
      <c r="A38" s="59" t="inlineStr">
        <is>
          <t>صنایع غذایی نمونهٔ شمال</t>
        </is>
      </c>
      <c r="B38" s="61" t="inlineStr">
        <is>
          <t>رشت</t>
        </is>
      </c>
    </row>
    <row r="42" ht="26" customHeight="1">
      <c r="A42" s="5" t="inlineStr">
        <is>
          <t>۴) دسته‌بندی خدمات</t>
        </is>
      </c>
      <c r="B42" s="6" t="n"/>
      <c r="C42" s="6" t="n"/>
    </row>
    <row r="43" ht="24" customHeight="1">
      <c r="A43" s="17" t="inlineStr">
        <is>
          <t>دستهٔ خدمت</t>
        </is>
      </c>
    </row>
    <row r="44" ht="20" customHeight="1">
      <c r="A44" s="56" t="inlineStr">
        <is>
          <t>بازرسی</t>
        </is>
      </c>
    </row>
    <row r="45" ht="20" customHeight="1">
      <c r="A45" s="59" t="inlineStr">
        <is>
          <t>آزمایشگاه</t>
        </is>
      </c>
    </row>
    <row r="46" ht="20" customHeight="1">
      <c r="A46" s="56" t="inlineStr">
        <is>
          <t>تأییدیه</t>
        </is>
      </c>
    </row>
    <row r="47" ht="20" customHeight="1">
      <c r="A47" s="59" t="inlineStr">
        <is>
          <t>مشاوره</t>
        </is>
      </c>
    </row>
    <row r="48" ht="20" customHeight="1">
      <c r="A48" s="56" t="inlineStr">
        <is>
          <t>آموزش</t>
        </is>
      </c>
    </row>
    <row r="49" ht="20" customHeight="1">
      <c r="A49" s="59" t="inlineStr">
        <is>
          <t>سایر</t>
        </is>
      </c>
    </row>
    <row r="53" ht="26" customHeight="1">
      <c r="A53" s="5" t="inlineStr">
        <is>
          <t>۵) نقش‌های سازمانی</t>
        </is>
      </c>
      <c r="B53" s="6" t="n"/>
      <c r="C53" s="6" t="n"/>
    </row>
    <row r="54" ht="24" customHeight="1">
      <c r="A54" s="17" t="inlineStr">
        <is>
          <t>نقش</t>
        </is>
      </c>
    </row>
    <row r="55" ht="20" customHeight="1">
      <c r="A55" s="56" t="inlineStr">
        <is>
          <t>سرپرست فنی</t>
        </is>
      </c>
    </row>
    <row r="56" ht="20" customHeight="1">
      <c r="A56" s="59" t="inlineStr">
        <is>
          <t>بازرس ارشد</t>
        </is>
      </c>
    </row>
    <row r="57" ht="20" customHeight="1">
      <c r="A57" s="56" t="inlineStr">
        <is>
          <t>بازرس</t>
        </is>
      </c>
    </row>
    <row r="58" ht="20" customHeight="1">
      <c r="A58" s="59" t="inlineStr">
        <is>
          <t>کارشناس</t>
        </is>
      </c>
    </row>
    <row r="59" ht="20" customHeight="1">
      <c r="A59" s="56" t="inlineStr">
        <is>
          <t>کارآموز</t>
        </is>
      </c>
    </row>
    <row r="60" ht="20" customHeight="1">
      <c r="A60" s="59" t="inlineStr">
        <is>
          <t>مدیر پروژه</t>
        </is>
      </c>
    </row>
    <row r="64" ht="26" customHeight="1">
      <c r="A64" s="5" t="inlineStr">
        <is>
          <t>۶) مقادیر بله / خیر</t>
        </is>
      </c>
      <c r="B64" s="6" t="n"/>
      <c r="C64" s="6" t="n"/>
    </row>
    <row r="65" ht="24" customHeight="1">
      <c r="A65" s="17" t="inlineStr">
        <is>
          <t>مقدار</t>
        </is>
      </c>
    </row>
    <row r="66" ht="20" customHeight="1">
      <c r="A66" s="56" t="inlineStr">
        <is>
          <t>بله</t>
        </is>
      </c>
    </row>
    <row r="67" ht="20" customHeight="1">
      <c r="A67" s="59" t="inlineStr">
        <is>
          <t>خیر</t>
        </is>
      </c>
    </row>
    <row r="68" ht="20" customHeight="1">
      <c r="A68" s="56" t="inlineStr">
        <is>
          <t>نامشخص</t>
        </is>
      </c>
    </row>
    <row r="72" ht="26" customHeight="1">
      <c r="A72" s="5" t="inlineStr">
        <is>
          <t>۷) حالت‌های اعمال ضریب نرخ</t>
        </is>
      </c>
      <c r="B72" s="6" t="n"/>
      <c r="C72" s="6" t="n"/>
    </row>
    <row r="73" ht="24" customHeight="1">
      <c r="A73" s="17" t="inlineStr">
        <is>
          <t>حالت</t>
        </is>
      </c>
    </row>
    <row r="74" ht="20" customHeight="1">
      <c r="A74" s="56" t="inlineStr">
        <is>
          <t>پلکانی</t>
        </is>
      </c>
    </row>
    <row r="75" ht="20" customHeight="1">
      <c r="A75" s="59" t="inlineStr">
        <is>
          <t>ثابت</t>
        </is>
      </c>
    </row>
    <row r="79" ht="20" customHeight="1">
      <c r="A79" s="39" t="inlineStr">
        <is>
          <t>افزودن گزینهٔ جدید: کافی است در یکی از ردیف‌های یدکی زیر هر جدول تایپ کنید. محدوده‌های نام‌گذاری‌شده پویا هستند و گزینهٔ تازه بلافاصله در کشویی‌های کل کارپوشه ظاهر می‌شود.</t>
        </is>
      </c>
      <c r="B79" s="10" t="n"/>
      <c r="C79" s="40" t="n"/>
    </row>
    <row r="80" ht="20" customHeight="1">
      <c r="A80" s="39" t="inlineStr">
        <is>
          <t>این شیت هیچ فرمولی ندارد؛ اما مقصدِ نام‌گذاری محدوده‌ها است و ستون‌های کشویی همهٔ شیت‌ها از آن تغذیه می‌کنند.</t>
        </is>
      </c>
      <c r="B80" s="10" t="n"/>
      <c r="C80" s="40" t="n"/>
    </row>
  </sheetData>
  <mergeCells count="11">
    <mergeCell ref="A42:C42"/>
    <mergeCell ref="A1:C1"/>
    <mergeCell ref="A80:C80"/>
    <mergeCell ref="A79:C79"/>
    <mergeCell ref="A17:C17"/>
    <mergeCell ref="A53:C53"/>
    <mergeCell ref="A29:C29"/>
    <mergeCell ref="A4:C4"/>
    <mergeCell ref="A2:C2"/>
    <mergeCell ref="A72:C72"/>
    <mergeCell ref="A64:C64"/>
  </mergeCells>
  <printOptions horizontalCentered="1"/>
  <pageMargins left="0.75" right="0.75" top="1" bottom="1" header="0.5" footer="0.5"/>
  <pageSetup orientation="portrait" paperSize="9" fitToHeight="0" fitToWidth="1"/>
  <headerFooter>
    <oddHeader/>
    <oddFooter>&amp;C&amp;8 &amp;K64748B&amp;A — صفحهٔ &amp;P از &amp;N</oddFooter>
    <evenHeader/>
    <evenFooter>&amp;C&amp;A — صفحهٔ &amp;P از &amp;N</evenFooter>
    <firstHeader/>
    <firstFooter/>
  </headerFooter>
  <tableParts count="7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</tableParts>
</worksheet>
</file>

<file path=xl/worksheets/sheet4.xml><?xml version="1.0" encoding="utf-8"?>
<worksheet xmlns="http://schemas.openxmlformats.org/spreadsheetml/2006/main">
  <sheetPr>
    <tabColor rgb="001F5C8B"/>
    <outlinePr summaryBelow="1" summaryRight="1"/>
    <pageSetUpPr fitToPage="1"/>
  </sheetPr>
  <dimension ref="A1:J22"/>
  <sheetViews>
    <sheetView showGridLines="0" rightToLeft="1" tabSelected="0" zoomScale="11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3" customWidth="1" min="3" max="3"/>
    <col width="9" customWidth="1" min="4" max="4"/>
    <col width="11" customWidth="1" min="5" max="5"/>
    <col width="17" customWidth="1" min="6" max="6"/>
    <col width="17" customWidth="1" min="7" max="7"/>
    <col width="17" customWidth="1" min="8" max="8"/>
    <col width="17" customWidth="1" min="9" max="9"/>
    <col width="13" customWidth="1" min="10" max="10"/>
  </cols>
  <sheetData>
    <row r="1" ht="36" customHeight="1">
      <c r="A1" s="1" t="inlineStr">
        <is>
          <t>اعضا و بازرسان فنی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اطلاعات پایهٔ پرسنل + عملکرد زندهٔ هر نفر؛ ستون‌های E تا J خودکار محاسبه می‌شوند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6" customHeight="1">
      <c r="A4" s="5" t="inlineStr">
        <is>
          <t>اطلاعات پایه و عملکرد تجمیعی از دفتر تراکنش‌ها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30" customHeight="1">
      <c r="A5" s="17" t="inlineStr">
        <is>
          <t>نام و نام خانوادگی</t>
        </is>
      </c>
      <c r="B5" s="17" t="inlineStr">
        <is>
          <t>نقش</t>
        </is>
      </c>
      <c r="C5" s="17" t="inlineStr">
        <is>
          <t>سهم پیش‌فرض</t>
        </is>
      </c>
      <c r="D5" s="17" t="inlineStr">
        <is>
          <t>فعال</t>
        </is>
      </c>
      <c r="E5" s="17" t="inlineStr">
        <is>
          <t>تعداد پرونده</t>
        </is>
      </c>
      <c r="F5" s="17" t="inlineStr">
        <is>
          <t>مبلغ کارشناسی</t>
        </is>
      </c>
      <c r="G5" s="17" t="inlineStr">
        <is>
          <t>کمیسیون خام</t>
        </is>
      </c>
      <c r="H5" s="17" t="inlineStr">
        <is>
          <t>سهم عضو</t>
        </is>
      </c>
      <c r="I5" s="17" t="inlineStr">
        <is>
          <t>سهم شرکت</t>
        </is>
      </c>
      <c r="J5" s="17" t="inlineStr">
        <is>
          <t>آخرین فعالیت</t>
        </is>
      </c>
    </row>
    <row r="6" ht="21" customHeight="1">
      <c r="A6" s="62" t="inlineStr">
        <is>
          <t>مهندس آرش رحیمی</t>
        </is>
      </c>
      <c r="B6" s="58" t="inlineStr">
        <is>
          <t>سرپرست فنی</t>
        </is>
      </c>
      <c r="C6" s="63" t="n">
        <v>0.25</v>
      </c>
      <c r="D6" s="58" t="inlineStr">
        <is>
          <t>بله</t>
        </is>
      </c>
      <c r="E6" s="64">
        <f>COUNTIFS(tbl_TX[عضو],$A6,tbl_TX[وضعیت],"&lt;&gt;ابطال")</f>
        <v/>
      </c>
      <c r="F6" s="65">
        <f>SUMIFS(tbl_TX[مبلغ کارشناسی],tbl_TX[عضو],$A6,tbl_TX[وضعیت],"&lt;&gt;ابطال")</f>
        <v/>
      </c>
      <c r="G6" s="65">
        <f>SUMIFS(tbl_TX[کمیسیون خام],tbl_TX[عضو],$A6,tbl_TX[وضعیت],"&lt;&gt;ابطال")</f>
        <v/>
      </c>
      <c r="H6" s="66">
        <f>SUMIFS(tbl_TX[مبلغ سهم عضو],tbl_TX[عضو],$A6,tbl_TX[وضعیت],"&lt;&gt;ابطال")</f>
        <v/>
      </c>
      <c r="I6" s="65">
        <f>SUMIFS(tbl_TX[سهم شرکت],tbl_TX[عضو],$A6,tbl_TX[وضعیت],"&lt;&gt;ابطال")</f>
        <v/>
      </c>
      <c r="J6" s="67">
        <f>IFERROR(LOOKUP(2,1/(tbl_TX[عضو]=$A6),tbl_TX[تاریخ]),"—")</f>
        <v/>
      </c>
    </row>
    <row r="7" ht="21" customHeight="1">
      <c r="A7" s="68" t="inlineStr">
        <is>
          <t>مهندس سحر نیکنام</t>
        </is>
      </c>
      <c r="B7" s="61" t="inlineStr">
        <is>
          <t>بازرس ارشد</t>
        </is>
      </c>
      <c r="C7" s="69" t="n">
        <v>0.22</v>
      </c>
      <c r="D7" s="61" t="inlineStr">
        <is>
          <t>بله</t>
        </is>
      </c>
      <c r="E7" s="70">
        <f>COUNTIFS(tbl_TX[عضو],$A7,tbl_TX[وضعیت],"&lt;&gt;ابطال")</f>
        <v/>
      </c>
      <c r="F7" s="71">
        <f>SUMIFS(tbl_TX[مبلغ کارشناسی],tbl_TX[عضو],$A7,tbl_TX[وضعیت],"&lt;&gt;ابطال")</f>
        <v/>
      </c>
      <c r="G7" s="71">
        <f>SUMIFS(tbl_TX[کمیسیون خام],tbl_TX[عضو],$A7,tbl_TX[وضعیت],"&lt;&gt;ابطال")</f>
        <v/>
      </c>
      <c r="H7" s="72">
        <f>SUMIFS(tbl_TX[مبلغ سهم عضو],tbl_TX[عضو],$A7,tbl_TX[وضعیت],"&lt;&gt;ابطال")</f>
        <v/>
      </c>
      <c r="I7" s="71">
        <f>SUMIFS(tbl_TX[سهم شرکت],tbl_TX[عضو],$A7,tbl_TX[وضعیت],"&lt;&gt;ابطال")</f>
        <v/>
      </c>
      <c r="J7" s="73">
        <f>IFERROR(LOOKUP(2,1/(tbl_TX[عضو]=$A7),tbl_TX[تاریخ]),"—")</f>
        <v/>
      </c>
    </row>
    <row r="8" ht="21" customHeight="1">
      <c r="A8" s="62" t="inlineStr">
        <is>
          <t>مهندس کامران دهقان</t>
        </is>
      </c>
      <c r="B8" s="58" t="inlineStr">
        <is>
          <t>بازرس ارشد</t>
        </is>
      </c>
      <c r="C8" s="63" t="n">
        <v>0.2</v>
      </c>
      <c r="D8" s="58" t="inlineStr">
        <is>
          <t>بله</t>
        </is>
      </c>
      <c r="E8" s="64">
        <f>COUNTIFS(tbl_TX[عضو],$A8,tbl_TX[وضعیت],"&lt;&gt;ابطال")</f>
        <v/>
      </c>
      <c r="F8" s="65">
        <f>SUMIFS(tbl_TX[مبلغ کارشناسی],tbl_TX[عضو],$A8,tbl_TX[وضعیت],"&lt;&gt;ابطال")</f>
        <v/>
      </c>
      <c r="G8" s="65">
        <f>SUMIFS(tbl_TX[کمیسیون خام],tbl_TX[عضو],$A8,tbl_TX[وضعیت],"&lt;&gt;ابطال")</f>
        <v/>
      </c>
      <c r="H8" s="66">
        <f>SUMIFS(tbl_TX[مبلغ سهم عضو],tbl_TX[عضو],$A8,tbl_TX[وضعیت],"&lt;&gt;ابطال")</f>
        <v/>
      </c>
      <c r="I8" s="65">
        <f>SUMIFS(tbl_TX[سهم شرکت],tbl_TX[عضو],$A8,tbl_TX[وضعیت],"&lt;&gt;ابطال")</f>
        <v/>
      </c>
      <c r="J8" s="67">
        <f>IFERROR(LOOKUP(2,1/(tbl_TX[عضو]=$A8),tbl_TX[تاریخ]),"—")</f>
        <v/>
      </c>
    </row>
    <row r="9" ht="21" customHeight="1">
      <c r="A9" s="68" t="inlineStr">
        <is>
          <t>مهندس نیلوفر موسوی</t>
        </is>
      </c>
      <c r="B9" s="61" t="inlineStr">
        <is>
          <t>بازرس</t>
        </is>
      </c>
      <c r="C9" s="69" t="n">
        <v>0.18</v>
      </c>
      <c r="D9" s="61" t="inlineStr">
        <is>
          <t>بله</t>
        </is>
      </c>
      <c r="E9" s="70">
        <f>COUNTIFS(tbl_TX[عضو],$A9,tbl_TX[وضعیت],"&lt;&gt;ابطال")</f>
        <v/>
      </c>
      <c r="F9" s="71">
        <f>SUMIFS(tbl_TX[مبلغ کارشناسی],tbl_TX[عضو],$A9,tbl_TX[وضعیت],"&lt;&gt;ابطال")</f>
        <v/>
      </c>
      <c r="G9" s="71">
        <f>SUMIFS(tbl_TX[کمیسیون خام],tbl_TX[عضو],$A9,tbl_TX[وضعیت],"&lt;&gt;ابطال")</f>
        <v/>
      </c>
      <c r="H9" s="72">
        <f>SUMIFS(tbl_TX[مبلغ سهم عضو],tbl_TX[عضو],$A9,tbl_TX[وضعیت],"&lt;&gt;ابطال")</f>
        <v/>
      </c>
      <c r="I9" s="71">
        <f>SUMIFS(tbl_TX[سهم شرکت],tbl_TX[عضو],$A9,tbl_TX[وضعیت],"&lt;&gt;ابطال")</f>
        <v/>
      </c>
      <c r="J9" s="73">
        <f>IFERROR(LOOKUP(2,1/(tbl_TX[عضو]=$A9),tbl_TX[تاریخ]),"—")</f>
        <v/>
      </c>
    </row>
    <row r="10" ht="21" customHeight="1">
      <c r="A10" s="62" t="inlineStr">
        <is>
          <t>مهندس بهنام کاظمی</t>
        </is>
      </c>
      <c r="B10" s="58" t="inlineStr">
        <is>
          <t>کارشناس</t>
        </is>
      </c>
      <c r="C10" s="63" t="n">
        <v>0.15</v>
      </c>
      <c r="D10" s="58" t="inlineStr">
        <is>
          <t>بله</t>
        </is>
      </c>
      <c r="E10" s="64">
        <f>COUNTIFS(tbl_TX[عضو],$A10,tbl_TX[وضعیت],"&lt;&gt;ابطال")</f>
        <v/>
      </c>
      <c r="F10" s="65">
        <f>SUMIFS(tbl_TX[مبلغ کارشناسی],tbl_TX[عضو],$A10,tbl_TX[وضعیت],"&lt;&gt;ابطال")</f>
        <v/>
      </c>
      <c r="G10" s="65">
        <f>SUMIFS(tbl_TX[کمیسیون خام],tbl_TX[عضو],$A10,tbl_TX[وضعیت],"&lt;&gt;ابطال")</f>
        <v/>
      </c>
      <c r="H10" s="66">
        <f>SUMIFS(tbl_TX[مبلغ سهم عضو],tbl_TX[عضو],$A10,tbl_TX[وضعیت],"&lt;&gt;ابطال")</f>
        <v/>
      </c>
      <c r="I10" s="65">
        <f>SUMIFS(tbl_TX[سهم شرکت],tbl_TX[عضو],$A10,tbl_TX[وضعیت],"&lt;&gt;ابطال")</f>
        <v/>
      </c>
      <c r="J10" s="67">
        <f>IFERROR(LOOKUP(2,1/(tbl_TX[عضو]=$A10),tbl_TX[تاریخ]),"—")</f>
        <v/>
      </c>
    </row>
    <row r="11" ht="21" customHeight="1">
      <c r="A11" s="68" t="inlineStr">
        <is>
          <t>مهندس مریم اسدی</t>
        </is>
      </c>
      <c r="B11" s="61" t="inlineStr">
        <is>
          <t>کارشناس</t>
        </is>
      </c>
      <c r="C11" s="69" t="n">
        <v>0.13</v>
      </c>
      <c r="D11" s="61" t="inlineStr">
        <is>
          <t>بله</t>
        </is>
      </c>
      <c r="E11" s="70">
        <f>COUNTIFS(tbl_TX[عضو],$A11,tbl_TX[وضعیت],"&lt;&gt;ابطال")</f>
        <v/>
      </c>
      <c r="F11" s="71">
        <f>SUMIFS(tbl_TX[مبلغ کارشناسی],tbl_TX[عضو],$A11,tbl_TX[وضعیت],"&lt;&gt;ابطال")</f>
        <v/>
      </c>
      <c r="G11" s="71">
        <f>SUMIFS(tbl_TX[کمیسیون خام],tbl_TX[عضو],$A11,tbl_TX[وضعیت],"&lt;&gt;ابطال")</f>
        <v/>
      </c>
      <c r="H11" s="72">
        <f>SUMIFS(tbl_TX[مبلغ سهم عضو],tbl_TX[عضو],$A11,tbl_TX[وضعیت],"&lt;&gt;ابطال")</f>
        <v/>
      </c>
      <c r="I11" s="71">
        <f>SUMIFS(tbl_TX[سهم شرکت],tbl_TX[عضو],$A11,tbl_TX[وضعیت],"&lt;&gt;ابطال")</f>
        <v/>
      </c>
      <c r="J11" s="73">
        <f>IFERROR(LOOKUP(2,1/(tbl_TX[عضو]=$A11),tbl_TX[تاریخ]),"—")</f>
        <v/>
      </c>
    </row>
    <row r="12" ht="21" customHeight="1">
      <c r="A12" s="62" t="inlineStr">
        <is>
          <t>مهندس رضا شریفی</t>
        </is>
      </c>
      <c r="B12" s="58" t="inlineStr">
        <is>
          <t>مدیر پروژه</t>
        </is>
      </c>
      <c r="C12" s="63" t="n">
        <v>0.17</v>
      </c>
      <c r="D12" s="58" t="inlineStr">
        <is>
          <t>بله</t>
        </is>
      </c>
      <c r="E12" s="64">
        <f>COUNTIFS(tbl_TX[عضو],$A12,tbl_TX[وضعیت],"&lt;&gt;ابطال")</f>
        <v/>
      </c>
      <c r="F12" s="65">
        <f>SUMIFS(tbl_TX[مبلغ کارشناسی],tbl_TX[عضو],$A12,tbl_TX[وضعیت],"&lt;&gt;ابطال")</f>
        <v/>
      </c>
      <c r="G12" s="65">
        <f>SUMIFS(tbl_TX[کمیسیون خام],tbl_TX[عضو],$A12,tbl_TX[وضعیت],"&lt;&gt;ابطال")</f>
        <v/>
      </c>
      <c r="H12" s="66">
        <f>SUMIFS(tbl_TX[مبلغ سهم عضو],tbl_TX[عضو],$A12,tbl_TX[وضعیت],"&lt;&gt;ابطال")</f>
        <v/>
      </c>
      <c r="I12" s="65">
        <f>SUMIFS(tbl_TX[سهم شرکت],tbl_TX[عضو],$A12,tbl_TX[وضعیت],"&lt;&gt;ابطال")</f>
        <v/>
      </c>
      <c r="J12" s="67">
        <f>IFERROR(LOOKUP(2,1/(tbl_TX[عضو]=$A12),tbl_TX[تاریخ]),"—")</f>
        <v/>
      </c>
    </row>
    <row r="13" ht="21" customHeight="1">
      <c r="A13" s="68" t="inlineStr">
        <is>
          <t>مهندس لیلا فرهادی</t>
        </is>
      </c>
      <c r="B13" s="61" t="inlineStr">
        <is>
          <t>بازرس</t>
        </is>
      </c>
      <c r="C13" s="69" t="n">
        <v>0.16</v>
      </c>
      <c r="D13" s="61" t="inlineStr">
        <is>
          <t>بله</t>
        </is>
      </c>
      <c r="E13" s="70">
        <f>COUNTIFS(tbl_TX[عضو],$A13,tbl_TX[وضعیت],"&lt;&gt;ابطال")</f>
        <v/>
      </c>
      <c r="F13" s="71">
        <f>SUMIFS(tbl_TX[مبلغ کارشناسی],tbl_TX[عضو],$A13,tbl_TX[وضعیت],"&lt;&gt;ابطال")</f>
        <v/>
      </c>
      <c r="G13" s="71">
        <f>SUMIFS(tbl_TX[کمیسیون خام],tbl_TX[عضو],$A13,tbl_TX[وضعیت],"&lt;&gt;ابطال")</f>
        <v/>
      </c>
      <c r="H13" s="72">
        <f>SUMIFS(tbl_TX[مبلغ سهم عضو],tbl_TX[عضو],$A13,tbl_TX[وضعیت],"&lt;&gt;ابطال")</f>
        <v/>
      </c>
      <c r="I13" s="71">
        <f>SUMIFS(tbl_TX[سهم شرکت],tbl_TX[عضو],$A13,tbl_TX[وضعیت],"&lt;&gt;ابطال")</f>
        <v/>
      </c>
      <c r="J13" s="73">
        <f>IFERROR(LOOKUP(2,1/(tbl_TX[عضو]=$A13),tbl_TX[تاریخ]),"—")</f>
        <v/>
      </c>
    </row>
    <row r="14" ht="21" customHeight="1">
      <c r="A14" s="62" t="inlineStr">
        <is>
          <t>مهندس وحید تهرانی</t>
        </is>
      </c>
      <c r="B14" s="58" t="inlineStr">
        <is>
          <t>کارشناس</t>
        </is>
      </c>
      <c r="C14" s="63" t="n">
        <v>0.12</v>
      </c>
      <c r="D14" s="58" t="inlineStr">
        <is>
          <t>بله</t>
        </is>
      </c>
      <c r="E14" s="64">
        <f>COUNTIFS(tbl_TX[عضو],$A14,tbl_TX[وضعیت],"&lt;&gt;ابطال")</f>
        <v/>
      </c>
      <c r="F14" s="65">
        <f>SUMIFS(tbl_TX[مبلغ کارشناسی],tbl_TX[عضو],$A14,tbl_TX[وضعیت],"&lt;&gt;ابطال")</f>
        <v/>
      </c>
      <c r="G14" s="65">
        <f>SUMIFS(tbl_TX[کمیسیون خام],tbl_TX[عضو],$A14,tbl_TX[وضعیت],"&lt;&gt;ابطال")</f>
        <v/>
      </c>
      <c r="H14" s="66">
        <f>SUMIFS(tbl_TX[مبلغ سهم عضو],tbl_TX[عضو],$A14,tbl_TX[وضعیت],"&lt;&gt;ابطال")</f>
        <v/>
      </c>
      <c r="I14" s="65">
        <f>SUMIFS(tbl_TX[سهم شرکت],tbl_TX[عضو],$A14,tbl_TX[وضعیت],"&lt;&gt;ابطال")</f>
        <v/>
      </c>
      <c r="J14" s="67">
        <f>IFERROR(LOOKUP(2,1/(tbl_TX[عضو]=$A14),tbl_TX[تاریخ]),"—")</f>
        <v/>
      </c>
    </row>
    <row r="15" ht="21" customHeight="1">
      <c r="A15" s="68" t="inlineStr">
        <is>
          <t>مهندس سمیرا یزدانی</t>
        </is>
      </c>
      <c r="B15" s="61" t="inlineStr">
        <is>
          <t>کارآموز</t>
        </is>
      </c>
      <c r="C15" s="69" t="n">
        <v>0.08</v>
      </c>
      <c r="D15" s="61" t="inlineStr">
        <is>
          <t>خیر</t>
        </is>
      </c>
      <c r="E15" s="70">
        <f>COUNTIFS(tbl_TX[عضو],$A15,tbl_TX[وضعیت],"&lt;&gt;ابطال")</f>
        <v/>
      </c>
      <c r="F15" s="71">
        <f>SUMIFS(tbl_TX[مبلغ کارشناسی],tbl_TX[عضو],$A15,tbl_TX[وضعیت],"&lt;&gt;ابطال")</f>
        <v/>
      </c>
      <c r="G15" s="71">
        <f>SUMIFS(tbl_TX[کمیسیون خام],tbl_TX[عضو],$A15,tbl_TX[وضعیت],"&lt;&gt;ابطال")</f>
        <v/>
      </c>
      <c r="H15" s="72">
        <f>SUMIFS(tbl_TX[مبلغ سهم عضو],tbl_TX[عضو],$A15,tbl_TX[وضعیت],"&lt;&gt;ابطال")</f>
        <v/>
      </c>
      <c r="I15" s="71">
        <f>SUMIFS(tbl_TX[سهم شرکت],tbl_TX[عضو],$A15,tbl_TX[وضعیت],"&lt;&gt;ابطال")</f>
        <v/>
      </c>
      <c r="J15" s="73">
        <f>IFERROR(LOOKUP(2,1/(tbl_TX[عضو]=$A15),tbl_TX[تاریخ]),"—")</f>
        <v/>
      </c>
    </row>
    <row r="16" ht="20" customHeight="1">
      <c r="A16" s="74" t="inlineStr">
        <is>
          <t>— ردیف یدکی برای عضو جدید —</t>
        </is>
      </c>
      <c r="B16" s="75" t="n"/>
      <c r="C16" s="76" t="n"/>
      <c r="D16" s="75" t="n"/>
    </row>
    <row r="17" ht="20" customHeight="1">
      <c r="A17" s="74" t="n"/>
      <c r="B17" s="75" t="n"/>
      <c r="C17" s="76" t="n"/>
      <c r="D17" s="75" t="n"/>
    </row>
    <row r="18" ht="20" customHeight="1">
      <c r="A18" s="74" t="n"/>
      <c r="B18" s="75" t="n"/>
      <c r="C18" s="76" t="n"/>
      <c r="D18" s="75" t="n"/>
    </row>
    <row r="20" ht="24" customHeight="1">
      <c r="A20" s="77" t="inlineStr">
        <is>
          <t>جمع کل</t>
        </is>
      </c>
      <c r="B20" s="2" t="n"/>
      <c r="C20" s="2" t="n"/>
      <c r="D20" s="2" t="n"/>
      <c r="E20" s="78">
        <f>SUM(E6:E15)</f>
        <v/>
      </c>
      <c r="F20" s="79">
        <f>SUM(F6:F15)</f>
        <v/>
      </c>
      <c r="G20" s="79">
        <f>SUM(G6:G15)</f>
        <v/>
      </c>
      <c r="H20" s="79">
        <f>SUM(H6:H15)</f>
        <v/>
      </c>
      <c r="I20" s="79">
        <f>SUM(I6:I15)</f>
        <v/>
      </c>
      <c r="J20" s="80">
        <f>TEXT(TODAY(),"yyyy/mm/dd")</f>
        <v/>
      </c>
    </row>
    <row r="21" ht="20" customHeight="1">
      <c r="A21" s="39" t="inlineStr">
        <is>
          <t>افزودن عضو جدید: نام و سهم را در یکی از ردیف‌های یدکی (۱۶ تا ۱۸) وارد کنید؛ محدودهٔ نام‌گذاری‌شدهٔ پویا آن را بلافاصله به کشویی‌های تراکنش‌ها و گزارش‌ها اضافه می‌کند.</t>
        </is>
      </c>
      <c r="B21" s="10" t="n"/>
      <c r="C21" s="10" t="n"/>
      <c r="D21" s="10" t="n"/>
      <c r="E21" s="10" t="n"/>
      <c r="F21" s="10" t="n"/>
      <c r="G21" s="10" t="n"/>
      <c r="H21" s="10" t="n"/>
      <c r="I21" s="10" t="n"/>
      <c r="J21" s="40" t="n"/>
    </row>
    <row r="22" ht="20" customHeight="1">
      <c r="A22" s="39" t="inlineStr">
        <is>
          <t>سهم پیش‌فرض هر عضو مبنای محاسبه است، مگر آنکه برای پروندهٔ خاصی در ستون H شیت تراکنش‌ها بازنویسی شود.</t>
        </is>
      </c>
      <c r="B22" s="10" t="n"/>
      <c r="C22" s="10" t="n"/>
      <c r="D22" s="10" t="n"/>
      <c r="E22" s="10" t="n"/>
      <c r="F22" s="10" t="n"/>
      <c r="G22" s="10" t="n"/>
      <c r="H22" s="10" t="n"/>
      <c r="I22" s="10" t="n"/>
      <c r="J22" s="40" t="n"/>
    </row>
  </sheetData>
  <mergeCells count="5">
    <mergeCell ref="A1:J1"/>
    <mergeCell ref="A22:J22"/>
    <mergeCell ref="A21:J21"/>
    <mergeCell ref="A4:J4"/>
    <mergeCell ref="A2:J2"/>
  </mergeCells>
  <conditionalFormatting sqref="D6:D15">
    <cfRule type="expression" priority="1" dxfId="0" stopIfTrue="0">
      <formula>$D6="خیر"</formula>
    </cfRule>
  </conditionalFormatting>
  <conditionalFormatting sqref="E6:E15">
    <cfRule type="dataBar" priority="2">
      <dataBar showValue="1">
        <cfvo type="num" val="0"/>
        <cfvo type="max"/>
        <color rgb="000E8C8C"/>
      </dataBar>
    </cfRule>
  </conditionalFormatting>
  <conditionalFormatting sqref="H6:H15">
    <cfRule type="dataBar" priority="3">
      <dataBar showValue="1">
        <cfvo type="num" val="0"/>
        <cfvo type="max"/>
        <color rgb="001E8449"/>
      </dataBar>
    </cfRule>
  </conditionalFormatting>
  <conditionalFormatting sqref="A6:J15">
    <cfRule type="expression" priority="4" dxfId="1" stopIfTrue="0">
      <formula>AND($D6="خیر",$A6&lt;&gt;"")</formula>
    </cfRule>
  </conditionalFormatting>
  <printOptions horizontalCentered="1"/>
  <pageMargins left="0.75" right="0.75" top="1" bottom="1" header="0.5" footer="0.5"/>
  <pageSetup orientation="portrait" paperSize="9" fitToHeight="0" fitToWidth="1"/>
  <headerFooter>
    <oddHeader/>
    <oddFooter>&amp;C&amp;8 &amp;K64748B&amp;A — صفحهٔ &amp;P از &amp;N</oddFooter>
    <evenHeader/>
    <evenFooter>&amp;C&amp;A — صفحهٔ &amp;P از &amp;N</evenFooter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E8C8C"/>
    <outlinePr summaryBelow="1" summaryRight="1"/>
    <pageSetUpPr fitToPage="1"/>
  </sheetPr>
  <dimension ref="A1:Z305"/>
  <sheetViews>
    <sheetView showGridLines="0" rightToLeft="1" tabSelected="0" zoomScale="95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22" customWidth="1" min="4" max="4"/>
    <col width="24" customWidth="1" min="5" max="5"/>
    <col width="18" customWidth="1" min="6" max="6"/>
    <col width="10" customWidth="1" min="7" max="7"/>
    <col width="15" customWidth="1" min="8" max="8"/>
    <col width="15" customWidth="1" min="9" max="9"/>
    <col width="22" customWidth="1" min="10" max="10"/>
    <col width="17" customWidth="1" min="11" max="11"/>
    <col width="10" customWidth="1" min="12" max="12"/>
    <col width="10" customWidth="1" min="13" max="13"/>
    <col width="17" customWidth="1" min="14" max="14"/>
    <col width="19" customWidth="1" min="15" max="15"/>
    <col width="15" customWidth="1" min="16" max="16"/>
    <col width="17" customWidth="1" min="17" max="17"/>
    <col width="12" customWidth="1" min="18" max="18"/>
    <col width="16" customWidth="1" min="19" max="19"/>
    <col width="16" customWidth="1" min="20" max="20"/>
    <col width="9" customWidth="1" min="21" max="21"/>
    <col width="9" customWidth="1" min="22" max="22"/>
    <col width="11" customWidth="1" min="23" max="23"/>
    <col width="10" customWidth="1" min="24" max="24"/>
    <col width="12" customWidth="1" min="25" max="25"/>
    <col width="13" customWidth="1" min="26" max="26"/>
  </cols>
  <sheetData>
    <row r="1" ht="36" customHeight="1">
      <c r="A1" s="1" t="inlineStr">
        <is>
          <t>دفتر تراکنش‌ها — ثبت و محاسبهٔ زندهٔ کمیسیون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22" customHeight="1">
      <c r="A2" s="3" t="inlineStr">
        <is>
          <t>ستون‌های آبی (A تا J) ورودی شما هستند؛ ستون‌های K تا Z خودکار محاسبه می‌شوند. یک ردیف خالی هم لازم نیست بسازید: کافی است در ردیف بعدی جدول تایپ کنید.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20" customHeight="1">
      <c r="A3" s="39" t="inlineStr">
        <is>
          <t>راهنمای سریع: تاریخ را به شکل 1405/07/22 وارد کنید · شرح خدمات را از فهرست کشویی انتخاب کنید · مبلغ کارشناسی را بدون کاما بنویسید (کاما خودش نمایش داده می‌شود) · ستون H را فقط وقتی پر کنید که سهم این پرونده با سهم پیش‌فرض عضو تفاوت دارد.</t>
        </is>
      </c>
      <c r="B3" s="10" t="n"/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40" t="n"/>
    </row>
    <row r="4" ht="18" customHeight="1">
      <c r="B4" s="81" t="inlineStr">
        <is>
          <t>▼ ورودی کاربر (آبی) — فقط این ستون‌ها را پر کنید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82" t="inlineStr">
        <is>
          <t>▼ محاسبهٔ خودکار (فرمول زنده) — دست نزنید</t>
        </is>
      </c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</row>
    <row r="5" ht="34" customHeight="1">
      <c r="A5" s="83" t="inlineStr">
        <is>
          <t>شمارهٔ پرونده</t>
        </is>
      </c>
      <c r="B5" s="83" t="inlineStr">
        <is>
          <t>تاریخ</t>
        </is>
      </c>
      <c r="C5" s="83" t="inlineStr">
        <is>
          <t>عضو</t>
        </is>
      </c>
      <c r="D5" s="83" t="inlineStr">
        <is>
          <t>نوع خدمت</t>
        </is>
      </c>
      <c r="E5" s="83" t="inlineStr">
        <is>
          <t>کارفرما</t>
        </is>
      </c>
      <c r="F5" s="83" t="inlineStr">
        <is>
          <t>مبلغ کارشناسی</t>
        </is>
      </c>
      <c r="G5" s="83" t="inlineStr">
        <is>
          <t>ضریب خدمت</t>
        </is>
      </c>
      <c r="H5" s="83" t="inlineStr">
        <is>
          <t>سهم عضو بازنویسی</t>
        </is>
      </c>
      <c r="I5" s="83" t="inlineStr">
        <is>
          <t>وضعیت</t>
        </is>
      </c>
      <c r="J5" s="83" t="inlineStr">
        <is>
          <t>یادداشت</t>
        </is>
      </c>
      <c r="K5" s="84" t="inlineStr">
        <is>
          <t>مبلغ مبنا</t>
        </is>
      </c>
      <c r="L5" s="84" t="inlineStr">
        <is>
          <t>نرخ پایه</t>
        </is>
      </c>
      <c r="M5" s="84" t="inlineStr">
        <is>
          <t>نرخ مؤثر</t>
        </is>
      </c>
      <c r="N5" s="84" t="inlineStr">
        <is>
          <t>کمیسیون خام</t>
        </is>
      </c>
      <c r="O5" s="84" t="inlineStr">
        <is>
          <t>کمیسیون پس از کف و سقف</t>
        </is>
      </c>
      <c r="P5" s="84" t="inlineStr">
        <is>
          <t>مالیات و عوارض</t>
        </is>
      </c>
      <c r="Q5" s="84" t="inlineStr">
        <is>
          <t>جمع با مالیات</t>
        </is>
      </c>
      <c r="R5" s="84" t="inlineStr">
        <is>
          <t>درصد نهایی سهم</t>
        </is>
      </c>
      <c r="S5" s="84" t="inlineStr">
        <is>
          <t>مبلغ سهم عضو</t>
        </is>
      </c>
      <c r="T5" s="84" t="inlineStr">
        <is>
          <t>سهم شرکت</t>
        </is>
      </c>
      <c r="U5" s="84" t="inlineStr">
        <is>
          <t>سال شمسی</t>
        </is>
      </c>
      <c r="V5" s="84" t="inlineStr">
        <is>
          <t>ماه شمسی</t>
        </is>
      </c>
      <c r="W5" s="84" t="inlineStr">
        <is>
          <t>کلید دوره</t>
        </is>
      </c>
      <c r="X5" s="84" t="inlineStr">
        <is>
          <t>فصل</t>
        </is>
      </c>
      <c r="Y5" s="84" t="inlineStr">
        <is>
          <t>مهلت پرداخت</t>
        </is>
      </c>
      <c r="Z5" s="84" t="inlineStr">
        <is>
          <t>سرسید سپری شده</t>
        </is>
      </c>
    </row>
    <row r="6" ht="20" customHeight="1">
      <c r="A6" s="85" t="inlineStr">
        <is>
          <t>F-1405-001</t>
        </is>
      </c>
      <c r="B6" s="86" t="inlineStr">
        <is>
          <t>1405/01/18</t>
        </is>
      </c>
      <c r="C6" s="87" t="inlineStr">
        <is>
          <t>مهندس آرش رحیمی</t>
        </is>
      </c>
      <c r="D6" s="87" t="inlineStr">
        <is>
          <t>بازرسی جوش و اتصالات</t>
        </is>
      </c>
      <c r="E6" s="87" t="inlineStr">
        <is>
          <t>پالایشگاه نمونهٔ جنوب</t>
        </is>
      </c>
      <c r="F6" s="88" t="n">
        <v>850000000</v>
      </c>
      <c r="G6" s="89" t="n">
        <v>1.2</v>
      </c>
      <c r="H6" s="90" t="n">
        <v>0.25</v>
      </c>
      <c r="I6" s="86" t="inlineStr">
        <is>
          <t>پرداخت‌شده</t>
        </is>
      </c>
      <c r="J6" s="87" t="inlineStr"/>
      <c r="K6" s="91">
        <f>IF($F6="","",$F6*IF($G6="",1,$G6))</f>
        <v/>
      </c>
      <c r="L6" s="92">
        <f>IFERROR(IF($D6="","",INDEX(t_Svc_Rate,MATCH($D6,lst_Service,0))),"")</f>
        <v/>
      </c>
      <c r="M6" s="92">
        <f>IF($L6="","",$L6*IF(p_TierMode="پلکانی",LOOKUP($K6,t_Tier_From,t_Tier_Rate),1))</f>
        <v/>
      </c>
      <c r="N6" s="91">
        <f>IF($K6="","",$K6*$M6)</f>
        <v/>
      </c>
      <c r="O6" s="91">
        <f>IF($N6="","",IF($I6="ابطال",0,MAX(p_Min,MIN(p_Max,$N6))))</f>
        <v/>
      </c>
      <c r="P6" s="91">
        <f>IF($O6="","",ROUND($O6*p_Tax,0))</f>
        <v/>
      </c>
      <c r="Q6" s="91">
        <f>IF($O6="","",$O6+$P6)</f>
        <v/>
      </c>
      <c r="R6" s="92">
        <f>IF($A6="","",IF($H6&lt;&gt;"",$H6,IFERROR(INDEX(t_Member_Share,MATCH($C6,t_Members,0)),p_DefaultShare)))</f>
        <v/>
      </c>
      <c r="S6" s="91">
        <f>IF(OR($Q6="",$R6=""),"",ROUND($Q6*$R6,0))</f>
        <v/>
      </c>
      <c r="T6" s="91">
        <f>IF(OR($Q6="",$S6=""),"",$Q6-$S6)</f>
        <v/>
      </c>
      <c r="U6" s="93">
        <f>IF($B6="","",IFERROR(INDEX(cal_JYear,MATCH($B6,cal_Key,0)),""))</f>
        <v/>
      </c>
      <c r="V6" s="93">
        <f>IF($B6="","",IFERROR(INDEX(cal_JMonth,MATCH($B6,cal_Key,0)),""))</f>
        <v/>
      </c>
      <c r="W6" s="94">
        <f>IF($B6="","",IFERROR(INDEX(cal_YM,MATCH($B6,cal_Key,0)),""))</f>
        <v/>
      </c>
      <c r="X6" s="94">
        <f>IF($B6="","",IFERROR(INDEX(cal_Season,MATCH($B6,cal_Key,0)),""))</f>
        <v/>
      </c>
      <c r="Y6" s="94">
        <f>IF($B6="","",IFERROR(INDEX(cal_Key,MATCH(INDEX(cal_Serial,MATCH($B6,cal_Key,0))+p_Due,cal_Serial,0)),""))</f>
        <v/>
      </c>
      <c r="Z6" s="95">
        <f>IF($B6="","",IF(OR($I6="پرداخت‌شده",$I6="ابطال"),"—",IFERROR(IF(INDEX(cal_Serial,MATCH($B6,cal_Key,0))+p_Due&lt;TODAY(),"بله","خیر"),"تاریخ نامعتبر")))</f>
        <v/>
      </c>
    </row>
    <row r="7" ht="20" customHeight="1">
      <c r="A7" s="85" t="inlineStr">
        <is>
          <t>F-1405-002</t>
        </is>
      </c>
      <c r="B7" s="86" t="inlineStr">
        <is>
          <t>1405/01/27</t>
        </is>
      </c>
      <c r="C7" s="87" t="inlineStr">
        <is>
          <t>مهندس سحر نیکنام</t>
        </is>
      </c>
      <c r="D7" s="87" t="inlineStr">
        <is>
          <t>تست فشار و نشتی‌یابی</t>
        </is>
      </c>
      <c r="E7" s="87" t="inlineStr">
        <is>
          <t>پتروشیمی نمونهٔ خلیج</t>
        </is>
      </c>
      <c r="F7" s="88" t="n">
        <v>1450000000</v>
      </c>
      <c r="G7" s="89" t="n">
        <v>1.1</v>
      </c>
      <c r="H7" s="90" t="n">
        <v>0.22</v>
      </c>
      <c r="I7" s="86" t="inlineStr">
        <is>
          <t>پرداخت‌شده</t>
        </is>
      </c>
      <c r="J7" s="87" t="inlineStr"/>
      <c r="K7" s="91">
        <f>IF($F7="","",$F7*IF($G7="",1,$G7))</f>
        <v/>
      </c>
      <c r="L7" s="92">
        <f>IFERROR(IF($D7="","",INDEX(t_Svc_Rate,MATCH($D7,lst_Service,0))),"")</f>
        <v/>
      </c>
      <c r="M7" s="92">
        <f>IF($L7="","",$L7*IF(p_TierMode="پلکانی",LOOKUP($K7,t_Tier_From,t_Tier_Rate),1))</f>
        <v/>
      </c>
      <c r="N7" s="91">
        <f>IF($K7="","",$K7*$M7)</f>
        <v/>
      </c>
      <c r="O7" s="91">
        <f>IF($N7="","",IF($I7="ابطال",0,MAX(p_Min,MIN(p_Max,$N7))))</f>
        <v/>
      </c>
      <c r="P7" s="91">
        <f>IF($O7="","",ROUND($O7*p_Tax,0))</f>
        <v/>
      </c>
      <c r="Q7" s="91">
        <f>IF($O7="","",$O7+$P7)</f>
        <v/>
      </c>
      <c r="R7" s="92">
        <f>IF($A7="","",IF($H7&lt;&gt;"",$H7,IFERROR(INDEX(t_Member_Share,MATCH($C7,t_Members,0)),p_DefaultShare)))</f>
        <v/>
      </c>
      <c r="S7" s="91">
        <f>IF(OR($Q7="",$R7=""),"",ROUND($Q7*$R7,0))</f>
        <v/>
      </c>
      <c r="T7" s="91">
        <f>IF(OR($Q7="",$S7=""),"",$Q7-$S7)</f>
        <v/>
      </c>
      <c r="U7" s="93">
        <f>IF($B7="","",IFERROR(INDEX(cal_JYear,MATCH($B7,cal_Key,0)),""))</f>
        <v/>
      </c>
      <c r="V7" s="93">
        <f>IF($B7="","",IFERROR(INDEX(cal_JMonth,MATCH($B7,cal_Key,0)),""))</f>
        <v/>
      </c>
      <c r="W7" s="94">
        <f>IF($B7="","",IFERROR(INDEX(cal_YM,MATCH($B7,cal_Key,0)),""))</f>
        <v/>
      </c>
      <c r="X7" s="94">
        <f>IF($B7="","",IFERROR(INDEX(cal_Season,MATCH($B7,cal_Key,0)),""))</f>
        <v/>
      </c>
      <c r="Y7" s="94">
        <f>IF($B7="","",IFERROR(INDEX(cal_Key,MATCH(INDEX(cal_Serial,MATCH($B7,cal_Key,0))+p_Due,cal_Serial,0)),""))</f>
        <v/>
      </c>
      <c r="Z7" s="95">
        <f>IF($B7="","",IF(OR($I7="پرداخت‌شده",$I7="ابطال"),"—",IFERROR(IF(INDEX(cal_Serial,MATCH($B7,cal_Key,0))+p_Due&lt;TODAY(),"بله","خیر"),"تاریخ نامعتبر")))</f>
        <v/>
      </c>
    </row>
    <row r="8" ht="20" customHeight="1">
      <c r="A8" s="85" t="inlineStr">
        <is>
          <t>F-1405-003</t>
        </is>
      </c>
      <c r="B8" s="86" t="inlineStr">
        <is>
          <t>1405/02/09</t>
        </is>
      </c>
      <c r="C8" s="87" t="inlineStr">
        <is>
          <t>مهندس کامران دهقان</t>
        </is>
      </c>
      <c r="D8" s="87" t="inlineStr">
        <is>
          <t>بازرسی ابعادی و نصب</t>
        </is>
      </c>
      <c r="E8" s="87" t="inlineStr">
        <is>
          <t>نیروگاه نمونهٔ شرق</t>
        </is>
      </c>
      <c r="F8" s="88" t="n">
        <v>620000000</v>
      </c>
      <c r="G8" s="89" t="n">
        <v>1</v>
      </c>
      <c r="H8" s="90" t="n"/>
      <c r="I8" s="86" t="inlineStr">
        <is>
          <t>پرداخت‌شده</t>
        </is>
      </c>
      <c r="J8" s="87" t="inlineStr"/>
      <c r="K8" s="91">
        <f>IF($F8="","",$F8*IF($G8="",1,$G8))</f>
        <v/>
      </c>
      <c r="L8" s="92">
        <f>IFERROR(IF($D8="","",INDEX(t_Svc_Rate,MATCH($D8,lst_Service,0))),"")</f>
        <v/>
      </c>
      <c r="M8" s="92">
        <f>IF($L8="","",$L8*IF(p_TierMode="پلکانی",LOOKUP($K8,t_Tier_From,t_Tier_Rate),1))</f>
        <v/>
      </c>
      <c r="N8" s="91">
        <f>IF($K8="","",$K8*$M8)</f>
        <v/>
      </c>
      <c r="O8" s="91">
        <f>IF($N8="","",IF($I8="ابطال",0,MAX(p_Min,MIN(p_Max,$N8))))</f>
        <v/>
      </c>
      <c r="P8" s="91">
        <f>IF($O8="","",ROUND($O8*p_Tax,0))</f>
        <v/>
      </c>
      <c r="Q8" s="91">
        <f>IF($O8="","",$O8+$P8)</f>
        <v/>
      </c>
      <c r="R8" s="92">
        <f>IF($A8="","",IF($H8&lt;&gt;"",$H8,IFERROR(INDEX(t_Member_Share,MATCH($C8,t_Members,0)),p_DefaultShare)))</f>
        <v/>
      </c>
      <c r="S8" s="91">
        <f>IF(OR($Q8="",$R8=""),"",ROUND($Q8*$R8,0))</f>
        <v/>
      </c>
      <c r="T8" s="91">
        <f>IF(OR($Q8="",$S8=""),"",$Q8-$S8)</f>
        <v/>
      </c>
      <c r="U8" s="93">
        <f>IF($B8="","",IFERROR(INDEX(cal_JYear,MATCH($B8,cal_Key,0)),""))</f>
        <v/>
      </c>
      <c r="V8" s="93">
        <f>IF($B8="","",IFERROR(INDEX(cal_JMonth,MATCH($B8,cal_Key,0)),""))</f>
        <v/>
      </c>
      <c r="W8" s="94">
        <f>IF($B8="","",IFERROR(INDEX(cal_YM,MATCH($B8,cal_Key,0)),""))</f>
        <v/>
      </c>
      <c r="X8" s="94">
        <f>IF($B8="","",IFERROR(INDEX(cal_Season,MATCH($B8,cal_Key,0)),""))</f>
        <v/>
      </c>
      <c r="Y8" s="94">
        <f>IF($B8="","",IFERROR(INDEX(cal_Key,MATCH(INDEX(cal_Serial,MATCH($B8,cal_Key,0))+p_Due,cal_Serial,0)),""))</f>
        <v/>
      </c>
      <c r="Z8" s="95">
        <f>IF($B8="","",IF(OR($I8="پرداخت‌شده",$I8="ابطال"),"—",IFERROR(IF(INDEX(cal_Serial,MATCH($B8,cal_Key,0))+p_Due&lt;TODAY(),"بله","خیر"),"تاریخ نامعتبر")))</f>
        <v/>
      </c>
    </row>
    <row r="9" ht="20" customHeight="1">
      <c r="A9" s="85" t="inlineStr">
        <is>
          <t>F-1405-004</t>
        </is>
      </c>
      <c r="B9" s="86" t="inlineStr">
        <is>
          <t>1405/02/24</t>
        </is>
      </c>
      <c r="C9" s="87" t="inlineStr">
        <is>
          <t>مهندس نیلوفر موسوی</t>
        </is>
      </c>
      <c r="D9" s="87" t="inlineStr">
        <is>
          <t>کنترل کیفیت خط تولید</t>
        </is>
      </c>
      <c r="E9" s="87" t="inlineStr">
        <is>
          <t>سیمان نمونهٔ مرکزی</t>
        </is>
      </c>
      <c r="F9" s="88" t="n">
        <v>2300000000</v>
      </c>
      <c r="G9" s="89" t="n">
        <v>1.15</v>
      </c>
      <c r="H9" s="90" t="n">
        <v>0.19</v>
      </c>
      <c r="I9" s="86" t="inlineStr">
        <is>
          <t>تأییدشده</t>
        </is>
      </c>
      <c r="J9" s="87" t="inlineStr"/>
      <c r="K9" s="91">
        <f>IF($F9="","",$F9*IF($G9="",1,$G9))</f>
        <v/>
      </c>
      <c r="L9" s="92">
        <f>IFERROR(IF($D9="","",INDEX(t_Svc_Rate,MATCH($D9,lst_Service,0))),"")</f>
        <v/>
      </c>
      <c r="M9" s="92">
        <f>IF($L9="","",$L9*IF(p_TierMode="پلکانی",LOOKUP($K9,t_Tier_From,t_Tier_Rate),1))</f>
        <v/>
      </c>
      <c r="N9" s="91">
        <f>IF($K9="","",$K9*$M9)</f>
        <v/>
      </c>
      <c r="O9" s="91">
        <f>IF($N9="","",IF($I9="ابطال",0,MAX(p_Min,MIN(p_Max,$N9))))</f>
        <v/>
      </c>
      <c r="P9" s="91">
        <f>IF($O9="","",ROUND($O9*p_Tax,0))</f>
        <v/>
      </c>
      <c r="Q9" s="91">
        <f>IF($O9="","",$O9+$P9)</f>
        <v/>
      </c>
      <c r="R9" s="92">
        <f>IF($A9="","",IF($H9&lt;&gt;"",$H9,IFERROR(INDEX(t_Member_Share,MATCH($C9,t_Members,0)),p_DefaultShare)))</f>
        <v/>
      </c>
      <c r="S9" s="91">
        <f>IF(OR($Q9="",$R9=""),"",ROUND($Q9*$R9,0))</f>
        <v/>
      </c>
      <c r="T9" s="91">
        <f>IF(OR($Q9="",$S9=""),"",$Q9-$S9)</f>
        <v/>
      </c>
      <c r="U9" s="93">
        <f>IF($B9="","",IFERROR(INDEX(cal_JYear,MATCH($B9,cal_Key,0)),""))</f>
        <v/>
      </c>
      <c r="V9" s="93">
        <f>IF($B9="","",IFERROR(INDEX(cal_JMonth,MATCH($B9,cal_Key,0)),""))</f>
        <v/>
      </c>
      <c r="W9" s="94">
        <f>IF($B9="","",IFERROR(INDEX(cal_YM,MATCH($B9,cal_Key,0)),""))</f>
        <v/>
      </c>
      <c r="X9" s="94">
        <f>IF($B9="","",IFERROR(INDEX(cal_Season,MATCH($B9,cal_Key,0)),""))</f>
        <v/>
      </c>
      <c r="Y9" s="94">
        <f>IF($B9="","",IFERROR(INDEX(cal_Key,MATCH(INDEX(cal_Serial,MATCH($B9,cal_Key,0))+p_Due,cal_Serial,0)),""))</f>
        <v/>
      </c>
      <c r="Z9" s="95">
        <f>IF($B9="","",IF(OR($I9="پرداخت‌شده",$I9="ابطال"),"—",IFERROR(IF(INDEX(cal_Serial,MATCH($B9,cal_Key,0))+p_Due&lt;TODAY(),"بله","خیر"),"تاریخ نامعتبر")))</f>
        <v/>
      </c>
    </row>
    <row r="10" ht="20" customHeight="1">
      <c r="A10" s="85" t="inlineStr">
        <is>
          <t>F-1405-005</t>
        </is>
      </c>
      <c r="B10" s="86" t="inlineStr">
        <is>
          <t>1405/03/11</t>
        </is>
      </c>
      <c r="C10" s="87" t="inlineStr">
        <is>
          <t>مهندس بهنام کاظمی</t>
        </is>
      </c>
      <c r="D10" s="87" t="inlineStr">
        <is>
          <t>کالیبراسیون تجهیزات</t>
        </is>
      </c>
      <c r="E10" s="87" t="inlineStr">
        <is>
          <t>فولاد نمونهٔ سپاهان</t>
        </is>
      </c>
      <c r="F10" s="88" t="n">
        <v>480000000</v>
      </c>
      <c r="G10" s="89" t="n">
        <v>1</v>
      </c>
      <c r="H10" s="90" t="n"/>
      <c r="I10" s="86" t="inlineStr">
        <is>
          <t>پرداخت‌شده</t>
        </is>
      </c>
      <c r="J10" s="87" t="inlineStr"/>
      <c r="K10" s="91">
        <f>IF($F10="","",$F10*IF($G10="",1,$G10))</f>
        <v/>
      </c>
      <c r="L10" s="92">
        <f>IFERROR(IF($D10="","",INDEX(t_Svc_Rate,MATCH($D10,lst_Service,0))),"")</f>
        <v/>
      </c>
      <c r="M10" s="92">
        <f>IF($L10="","",$L10*IF(p_TierMode="پلکانی",LOOKUP($K10,t_Tier_From,t_Tier_Rate),1))</f>
        <v/>
      </c>
      <c r="N10" s="91">
        <f>IF($K10="","",$K10*$M10)</f>
        <v/>
      </c>
      <c r="O10" s="91">
        <f>IF($N10="","",IF($I10="ابطال",0,MAX(p_Min,MIN(p_Max,$N10))))</f>
        <v/>
      </c>
      <c r="P10" s="91">
        <f>IF($O10="","",ROUND($O10*p_Tax,0))</f>
        <v/>
      </c>
      <c r="Q10" s="91">
        <f>IF($O10="","",$O10+$P10)</f>
        <v/>
      </c>
      <c r="R10" s="92">
        <f>IF($A10="","",IF($H10&lt;&gt;"",$H10,IFERROR(INDEX(t_Member_Share,MATCH($C10,t_Members,0)),p_DefaultShare)))</f>
        <v/>
      </c>
      <c r="S10" s="91">
        <f>IF(OR($Q10="",$R10=""),"",ROUND($Q10*$R10,0))</f>
        <v/>
      </c>
      <c r="T10" s="91">
        <f>IF(OR($Q10="",$S10=""),"",$Q10-$S10)</f>
        <v/>
      </c>
      <c r="U10" s="93">
        <f>IF($B10="","",IFERROR(INDEX(cal_JYear,MATCH($B10,cal_Key,0)),""))</f>
        <v/>
      </c>
      <c r="V10" s="93">
        <f>IF($B10="","",IFERROR(INDEX(cal_JMonth,MATCH($B10,cal_Key,0)),""))</f>
        <v/>
      </c>
      <c r="W10" s="94">
        <f>IF($B10="","",IFERROR(INDEX(cal_YM,MATCH($B10,cal_Key,0)),""))</f>
        <v/>
      </c>
      <c r="X10" s="94">
        <f>IF($B10="","",IFERROR(INDEX(cal_Season,MATCH($B10,cal_Key,0)),""))</f>
        <v/>
      </c>
      <c r="Y10" s="94">
        <f>IF($B10="","",IFERROR(INDEX(cal_Key,MATCH(INDEX(cal_Serial,MATCH($B10,cal_Key,0))+p_Due,cal_Serial,0)),""))</f>
        <v/>
      </c>
      <c r="Z10" s="95">
        <f>IF($B10="","",IF(OR($I10="پرداخت‌شده",$I10="ابطال"),"—",IFERROR(IF(INDEX(cal_Serial,MATCH($B10,cal_Key,0))+p_Due&lt;TODAY(),"بله","خیر"),"تاریخ نامعتبر")))</f>
        <v/>
      </c>
    </row>
    <row r="11" ht="20" customHeight="1">
      <c r="A11" s="85" t="inlineStr">
        <is>
          <t>F-1405-006</t>
        </is>
      </c>
      <c r="B11" s="86" t="inlineStr">
        <is>
          <t>1405/03/29</t>
        </is>
      </c>
      <c r="C11" s="87" t="inlineStr">
        <is>
          <t>مهندس آرش رحیمی</t>
        </is>
      </c>
      <c r="D11" s="87" t="inlineStr">
        <is>
          <t>تأییدیهٔ مهندسی و امضا</t>
        </is>
      </c>
      <c r="E11" s="87" t="inlineStr">
        <is>
          <t>شرکت آب و فاضلاب نمونه</t>
        </is>
      </c>
      <c r="F11" s="88" t="n">
        <v>3100000000</v>
      </c>
      <c r="G11" s="89" t="n">
        <v>1.25</v>
      </c>
      <c r="H11" s="90" t="n">
        <v>0.24</v>
      </c>
      <c r="I11" s="86" t="inlineStr">
        <is>
          <t>در انتظار پرداخت</t>
        </is>
      </c>
      <c r="J11" s="87" t="inlineStr"/>
      <c r="K11" s="91">
        <f>IF($F11="","",$F11*IF($G11="",1,$G11))</f>
        <v/>
      </c>
      <c r="L11" s="92">
        <f>IFERROR(IF($D11="","",INDEX(t_Svc_Rate,MATCH($D11,lst_Service,0))),"")</f>
        <v/>
      </c>
      <c r="M11" s="92">
        <f>IF($L11="","",$L11*IF(p_TierMode="پلکانی",LOOKUP($K11,t_Tier_From,t_Tier_Rate),1))</f>
        <v/>
      </c>
      <c r="N11" s="91">
        <f>IF($K11="","",$K11*$M11)</f>
        <v/>
      </c>
      <c r="O11" s="91">
        <f>IF($N11="","",IF($I11="ابطال",0,MAX(p_Min,MIN(p_Max,$N11))))</f>
        <v/>
      </c>
      <c r="P11" s="91">
        <f>IF($O11="","",ROUND($O11*p_Tax,0))</f>
        <v/>
      </c>
      <c r="Q11" s="91">
        <f>IF($O11="","",$O11+$P11)</f>
        <v/>
      </c>
      <c r="R11" s="92">
        <f>IF($A11="","",IF($H11&lt;&gt;"",$H11,IFERROR(INDEX(t_Member_Share,MATCH($C11,t_Members,0)),p_DefaultShare)))</f>
        <v/>
      </c>
      <c r="S11" s="91">
        <f>IF(OR($Q11="",$R11=""),"",ROUND($Q11*$R11,0))</f>
        <v/>
      </c>
      <c r="T11" s="91">
        <f>IF(OR($Q11="",$S11=""),"",$Q11-$S11)</f>
        <v/>
      </c>
      <c r="U11" s="93">
        <f>IF($B11="","",IFERROR(INDEX(cal_JYear,MATCH($B11,cal_Key,0)),""))</f>
        <v/>
      </c>
      <c r="V11" s="93">
        <f>IF($B11="","",IFERROR(INDEX(cal_JMonth,MATCH($B11,cal_Key,0)),""))</f>
        <v/>
      </c>
      <c r="W11" s="94">
        <f>IF($B11="","",IFERROR(INDEX(cal_YM,MATCH($B11,cal_Key,0)),""))</f>
        <v/>
      </c>
      <c r="X11" s="94">
        <f>IF($B11="","",IFERROR(INDEX(cal_Season,MATCH($B11,cal_Key,0)),""))</f>
        <v/>
      </c>
      <c r="Y11" s="94">
        <f>IF($B11="","",IFERROR(INDEX(cal_Key,MATCH(INDEX(cal_Serial,MATCH($B11,cal_Key,0))+p_Due,cal_Serial,0)),""))</f>
        <v/>
      </c>
      <c r="Z11" s="95">
        <f>IF($B11="","",IF(OR($I11="پرداخت‌شده",$I11="ابطال"),"—",IFERROR(IF(INDEX(cal_Serial,MATCH($B11,cal_Key,0))+p_Due&lt;TODAY(),"بله","خیر"),"تاریخ نامعتبر")))</f>
        <v/>
      </c>
    </row>
    <row r="12" ht="20" customHeight="1">
      <c r="A12" s="85" t="inlineStr">
        <is>
          <t>F-1405-007</t>
        </is>
      </c>
      <c r="B12" s="86" t="inlineStr">
        <is>
          <t>1405/04/14</t>
        </is>
      </c>
      <c r="C12" s="87" t="inlineStr">
        <is>
          <t>مهندس مریم اسدی</t>
        </is>
      </c>
      <c r="D12" s="87" t="inlineStr">
        <is>
          <t>آموزش و ارتقای فنی</t>
        </is>
      </c>
      <c r="E12" s="87" t="inlineStr">
        <is>
          <t>صنایع غذایی نمونهٔ شمال</t>
        </is>
      </c>
      <c r="F12" s="88" t="n">
        <v>260000000</v>
      </c>
      <c r="G12" s="89" t="n">
        <v>1</v>
      </c>
      <c r="H12" s="90" t="n"/>
      <c r="I12" s="86" t="inlineStr">
        <is>
          <t>پرداخت‌شده</t>
        </is>
      </c>
      <c r="J12" s="87" t="inlineStr"/>
      <c r="K12" s="91">
        <f>IF($F12="","",$F12*IF($G12="",1,$G12))</f>
        <v/>
      </c>
      <c r="L12" s="92">
        <f>IFERROR(IF($D12="","",INDEX(t_Svc_Rate,MATCH($D12,lst_Service,0))),"")</f>
        <v/>
      </c>
      <c r="M12" s="92">
        <f>IF($L12="","",$L12*IF(p_TierMode="پلکانی",LOOKUP($K12,t_Tier_From,t_Tier_Rate),1))</f>
        <v/>
      </c>
      <c r="N12" s="91">
        <f>IF($K12="","",$K12*$M12)</f>
        <v/>
      </c>
      <c r="O12" s="91">
        <f>IF($N12="","",IF($I12="ابطال",0,MAX(p_Min,MIN(p_Max,$N12))))</f>
        <v/>
      </c>
      <c r="P12" s="91">
        <f>IF($O12="","",ROUND($O12*p_Tax,0))</f>
        <v/>
      </c>
      <c r="Q12" s="91">
        <f>IF($O12="","",$O12+$P12)</f>
        <v/>
      </c>
      <c r="R12" s="92">
        <f>IF($A12="","",IF($H12&lt;&gt;"",$H12,IFERROR(INDEX(t_Member_Share,MATCH($C12,t_Members,0)),p_DefaultShare)))</f>
        <v/>
      </c>
      <c r="S12" s="91">
        <f>IF(OR($Q12="",$R12=""),"",ROUND($Q12*$R12,0))</f>
        <v/>
      </c>
      <c r="T12" s="91">
        <f>IF(OR($Q12="",$S12=""),"",$Q12-$S12)</f>
        <v/>
      </c>
      <c r="U12" s="93">
        <f>IF($B12="","",IFERROR(INDEX(cal_JYear,MATCH($B12,cal_Key,0)),""))</f>
        <v/>
      </c>
      <c r="V12" s="93">
        <f>IF($B12="","",IFERROR(INDEX(cal_JMonth,MATCH($B12,cal_Key,0)),""))</f>
        <v/>
      </c>
      <c r="W12" s="94">
        <f>IF($B12="","",IFERROR(INDEX(cal_YM,MATCH($B12,cal_Key,0)),""))</f>
        <v/>
      </c>
      <c r="X12" s="94">
        <f>IF($B12="","",IFERROR(INDEX(cal_Season,MATCH($B12,cal_Key,0)),""))</f>
        <v/>
      </c>
      <c r="Y12" s="94">
        <f>IF($B12="","",IFERROR(INDEX(cal_Key,MATCH(INDEX(cal_Serial,MATCH($B12,cal_Key,0))+p_Due,cal_Serial,0)),""))</f>
        <v/>
      </c>
      <c r="Z12" s="95">
        <f>IF($B12="","",IF(OR($I12="پرداخت‌شده",$I12="ابطال"),"—",IFERROR(IF(INDEX(cal_Serial,MATCH($B12,cal_Key,0))+p_Due&lt;TODAY(),"بله","خیر"),"تاریخ نامعتبر")))</f>
        <v/>
      </c>
    </row>
    <row r="13" ht="20" customHeight="1">
      <c r="A13" s="85" t="inlineStr">
        <is>
          <t>F-1405-008</t>
        </is>
      </c>
      <c r="B13" s="86" t="inlineStr">
        <is>
          <t>1405/04/26</t>
        </is>
      </c>
      <c r="C13" s="87" t="inlineStr">
        <is>
          <t>مهندس رضا شریفی</t>
        </is>
      </c>
      <c r="D13" s="87" t="inlineStr">
        <is>
          <t>مشاورهٔ سیستم مدیریت</t>
        </is>
      </c>
      <c r="E13" s="87" t="inlineStr">
        <is>
          <t>پیمانکار نمونهٔ ساختمانی</t>
        </is>
      </c>
      <c r="F13" s="88" t="n">
        <v>740000000</v>
      </c>
      <c r="G13" s="89" t="n">
        <v>1.05</v>
      </c>
      <c r="H13" s="90" t="n">
        <v>0.17</v>
      </c>
      <c r="I13" s="86" t="inlineStr">
        <is>
          <t>ثبت‌شده</t>
        </is>
      </c>
      <c r="J13" s="87" t="inlineStr"/>
      <c r="K13" s="91">
        <f>IF($F13="","",$F13*IF($G13="",1,$G13))</f>
        <v/>
      </c>
      <c r="L13" s="92">
        <f>IFERROR(IF($D13="","",INDEX(t_Svc_Rate,MATCH($D13,lst_Service,0))),"")</f>
        <v/>
      </c>
      <c r="M13" s="92">
        <f>IF($L13="","",$L13*IF(p_TierMode="پلکانی",LOOKUP($K13,t_Tier_From,t_Tier_Rate),1))</f>
        <v/>
      </c>
      <c r="N13" s="91">
        <f>IF($K13="","",$K13*$M13)</f>
        <v/>
      </c>
      <c r="O13" s="91">
        <f>IF($N13="","",IF($I13="ابطال",0,MAX(p_Min,MIN(p_Max,$N13))))</f>
        <v/>
      </c>
      <c r="P13" s="91">
        <f>IF($O13="","",ROUND($O13*p_Tax,0))</f>
        <v/>
      </c>
      <c r="Q13" s="91">
        <f>IF($O13="","",$O13+$P13)</f>
        <v/>
      </c>
      <c r="R13" s="92">
        <f>IF($A13="","",IF($H13&lt;&gt;"",$H13,IFERROR(INDEX(t_Member_Share,MATCH($C13,t_Members,0)),p_DefaultShare)))</f>
        <v/>
      </c>
      <c r="S13" s="91">
        <f>IF(OR($Q13="",$R13=""),"",ROUND($Q13*$R13,0))</f>
        <v/>
      </c>
      <c r="T13" s="91">
        <f>IF(OR($Q13="",$S13=""),"",$Q13-$S13)</f>
        <v/>
      </c>
      <c r="U13" s="93">
        <f>IF($B13="","",IFERROR(INDEX(cal_JYear,MATCH($B13,cal_Key,0)),""))</f>
        <v/>
      </c>
      <c r="V13" s="93">
        <f>IF($B13="","",IFERROR(INDEX(cal_JMonth,MATCH($B13,cal_Key,0)),""))</f>
        <v/>
      </c>
      <c r="W13" s="94">
        <f>IF($B13="","",IFERROR(INDEX(cal_YM,MATCH($B13,cal_Key,0)),""))</f>
        <v/>
      </c>
      <c r="X13" s="94">
        <f>IF($B13="","",IFERROR(INDEX(cal_Season,MATCH($B13,cal_Key,0)),""))</f>
        <v/>
      </c>
      <c r="Y13" s="94">
        <f>IF($B13="","",IFERROR(INDEX(cal_Key,MATCH(INDEX(cal_Serial,MATCH($B13,cal_Key,0))+p_Due,cal_Serial,0)),""))</f>
        <v/>
      </c>
      <c r="Z13" s="95">
        <f>IF($B13="","",IF(OR($I13="پرداخت‌شده",$I13="ابطال"),"—",IFERROR(IF(INDEX(cal_Serial,MATCH($B13,cal_Key,0))+p_Due&lt;TODAY(),"بله","خیر"),"تاریخ نامعتبر")))</f>
        <v/>
      </c>
    </row>
    <row r="14" ht="20" customHeight="1">
      <c r="A14" s="85" t="inlineStr">
        <is>
          <t>F-1405-009</t>
        </is>
      </c>
      <c r="B14" s="86" t="inlineStr">
        <is>
          <t>1405/05/07</t>
        </is>
      </c>
      <c r="C14" s="87" t="inlineStr">
        <is>
          <t>مهندس سحر نیکنام</t>
        </is>
      </c>
      <c r="D14" s="87" t="inlineStr">
        <is>
          <t>بازرسی جوش و اتصالات</t>
        </is>
      </c>
      <c r="E14" s="87" t="inlineStr">
        <is>
          <t>پالایشگاه نمونهٔ جنوب</t>
        </is>
      </c>
      <c r="F14" s="88" t="n">
        <v>1980000000</v>
      </c>
      <c r="G14" s="89" t="n">
        <v>1.3</v>
      </c>
      <c r="H14" s="90" t="n">
        <v>0.23</v>
      </c>
      <c r="I14" s="86" t="inlineStr">
        <is>
          <t>تأییدشده</t>
        </is>
      </c>
      <c r="J14" s="87" t="inlineStr"/>
      <c r="K14" s="91">
        <f>IF($F14="","",$F14*IF($G14="",1,$G14))</f>
        <v/>
      </c>
      <c r="L14" s="92">
        <f>IFERROR(IF($D14="","",INDEX(t_Svc_Rate,MATCH($D14,lst_Service,0))),"")</f>
        <v/>
      </c>
      <c r="M14" s="92">
        <f>IF($L14="","",$L14*IF(p_TierMode="پلکانی",LOOKUP($K14,t_Tier_From,t_Tier_Rate),1))</f>
        <v/>
      </c>
      <c r="N14" s="91">
        <f>IF($K14="","",$K14*$M14)</f>
        <v/>
      </c>
      <c r="O14" s="91">
        <f>IF($N14="","",IF($I14="ابطال",0,MAX(p_Min,MIN(p_Max,$N14))))</f>
        <v/>
      </c>
      <c r="P14" s="91">
        <f>IF($O14="","",ROUND($O14*p_Tax,0))</f>
        <v/>
      </c>
      <c r="Q14" s="91">
        <f>IF($O14="","",$O14+$P14)</f>
        <v/>
      </c>
      <c r="R14" s="92">
        <f>IF($A14="","",IF($H14&lt;&gt;"",$H14,IFERROR(INDEX(t_Member_Share,MATCH($C14,t_Members,0)),p_DefaultShare)))</f>
        <v/>
      </c>
      <c r="S14" s="91">
        <f>IF(OR($Q14="",$R14=""),"",ROUND($Q14*$R14,0))</f>
        <v/>
      </c>
      <c r="T14" s="91">
        <f>IF(OR($Q14="",$S14=""),"",$Q14-$S14)</f>
        <v/>
      </c>
      <c r="U14" s="93">
        <f>IF($B14="","",IFERROR(INDEX(cal_JYear,MATCH($B14,cal_Key,0)),""))</f>
        <v/>
      </c>
      <c r="V14" s="93">
        <f>IF($B14="","",IFERROR(INDEX(cal_JMonth,MATCH($B14,cal_Key,0)),""))</f>
        <v/>
      </c>
      <c r="W14" s="94">
        <f>IF($B14="","",IFERROR(INDEX(cal_YM,MATCH($B14,cal_Key,0)),""))</f>
        <v/>
      </c>
      <c r="X14" s="94">
        <f>IF($B14="","",IFERROR(INDEX(cal_Season,MATCH($B14,cal_Key,0)),""))</f>
        <v/>
      </c>
      <c r="Y14" s="94">
        <f>IF($B14="","",IFERROR(INDEX(cal_Key,MATCH(INDEX(cal_Serial,MATCH($B14,cal_Key,0))+p_Due,cal_Serial,0)),""))</f>
        <v/>
      </c>
      <c r="Z14" s="95">
        <f>IF($B14="","",IF(OR($I14="پرداخت‌شده",$I14="ابطال"),"—",IFERROR(IF(INDEX(cal_Serial,MATCH($B14,cal_Key,0))+p_Due&lt;TODAY(),"بله","خیر"),"تاریخ نامعتبر")))</f>
        <v/>
      </c>
    </row>
    <row r="15" ht="20" customHeight="1">
      <c r="A15" s="85" t="inlineStr">
        <is>
          <t>F-1405-010</t>
        </is>
      </c>
      <c r="B15" s="86" t="inlineStr">
        <is>
          <t>1405/05/21</t>
        </is>
      </c>
      <c r="C15" s="87" t="inlineStr">
        <is>
          <t>مهندس لیلا فرهادی</t>
        </is>
      </c>
      <c r="D15" s="87" t="inlineStr">
        <is>
          <t>تست فشار و نشتی‌یابی</t>
        </is>
      </c>
      <c r="E15" s="87" t="inlineStr">
        <is>
          <t>پتروشیمی نمونهٔ خلیج</t>
        </is>
      </c>
      <c r="F15" s="88" t="n">
        <v>5600000000</v>
      </c>
      <c r="G15" s="89" t="n">
        <v>1.1</v>
      </c>
      <c r="H15" s="90" t="n">
        <v>0.165</v>
      </c>
      <c r="I15" s="86" t="inlineStr">
        <is>
          <t>در حال بررسی</t>
        </is>
      </c>
      <c r="J15" s="87" t="inlineStr"/>
      <c r="K15" s="91">
        <f>IF($F15="","",$F15*IF($G15="",1,$G15))</f>
        <v/>
      </c>
      <c r="L15" s="92">
        <f>IFERROR(IF($D15="","",INDEX(t_Svc_Rate,MATCH($D15,lst_Service,0))),"")</f>
        <v/>
      </c>
      <c r="M15" s="92">
        <f>IF($L15="","",$L15*IF(p_TierMode="پلکانی",LOOKUP($K15,t_Tier_From,t_Tier_Rate),1))</f>
        <v/>
      </c>
      <c r="N15" s="91">
        <f>IF($K15="","",$K15*$M15)</f>
        <v/>
      </c>
      <c r="O15" s="91">
        <f>IF($N15="","",IF($I15="ابطال",0,MAX(p_Min,MIN(p_Max,$N15))))</f>
        <v/>
      </c>
      <c r="P15" s="91">
        <f>IF($O15="","",ROUND($O15*p_Tax,0))</f>
        <v/>
      </c>
      <c r="Q15" s="91">
        <f>IF($O15="","",$O15+$P15)</f>
        <v/>
      </c>
      <c r="R15" s="92">
        <f>IF($A15="","",IF($H15&lt;&gt;"",$H15,IFERROR(INDEX(t_Member_Share,MATCH($C15,t_Members,0)),p_DefaultShare)))</f>
        <v/>
      </c>
      <c r="S15" s="91">
        <f>IF(OR($Q15="",$R15=""),"",ROUND($Q15*$R15,0))</f>
        <v/>
      </c>
      <c r="T15" s="91">
        <f>IF(OR($Q15="",$S15=""),"",$Q15-$S15)</f>
        <v/>
      </c>
      <c r="U15" s="93">
        <f>IF($B15="","",IFERROR(INDEX(cal_JYear,MATCH($B15,cal_Key,0)),""))</f>
        <v/>
      </c>
      <c r="V15" s="93">
        <f>IF($B15="","",IFERROR(INDEX(cal_JMonth,MATCH($B15,cal_Key,0)),""))</f>
        <v/>
      </c>
      <c r="W15" s="94">
        <f>IF($B15="","",IFERROR(INDEX(cal_YM,MATCH($B15,cal_Key,0)),""))</f>
        <v/>
      </c>
      <c r="X15" s="94">
        <f>IF($B15="","",IFERROR(INDEX(cal_Season,MATCH($B15,cal_Key,0)),""))</f>
        <v/>
      </c>
      <c r="Y15" s="94">
        <f>IF($B15="","",IFERROR(INDEX(cal_Key,MATCH(INDEX(cal_Serial,MATCH($B15,cal_Key,0))+p_Due,cal_Serial,0)),""))</f>
        <v/>
      </c>
      <c r="Z15" s="95">
        <f>IF($B15="","",IF(OR($I15="پرداخت‌شده",$I15="ابطال"),"—",IFERROR(IF(INDEX(cal_Serial,MATCH($B15,cal_Key,0))+p_Due&lt;TODAY(),"بله","خیر"),"تاریخ نامعتبر")))</f>
        <v/>
      </c>
    </row>
    <row r="16" ht="20" customHeight="1">
      <c r="A16" s="85" t="inlineStr">
        <is>
          <t>F-1405-011</t>
        </is>
      </c>
      <c r="B16" s="86" t="inlineStr">
        <is>
          <t>1405/06/03</t>
        </is>
      </c>
      <c r="C16" s="87" t="inlineStr">
        <is>
          <t>مهندس وحید تهرانی</t>
        </is>
      </c>
      <c r="D16" s="87" t="inlineStr">
        <is>
          <t>کنترل کیفیت خط تولید</t>
        </is>
      </c>
      <c r="E16" s="87" t="inlineStr">
        <is>
          <t>سیمان نمونهٔ مرکزی</t>
        </is>
      </c>
      <c r="F16" s="88" t="n">
        <v>310000000</v>
      </c>
      <c r="G16" s="89" t="n">
        <v>1</v>
      </c>
      <c r="H16" s="90" t="n"/>
      <c r="I16" s="86" t="inlineStr">
        <is>
          <t>ابطال</t>
        </is>
      </c>
      <c r="J16" s="87" t="inlineStr"/>
      <c r="K16" s="91">
        <f>IF($F16="","",$F16*IF($G16="",1,$G16))</f>
        <v/>
      </c>
      <c r="L16" s="92">
        <f>IFERROR(IF($D16="","",INDEX(t_Svc_Rate,MATCH($D16,lst_Service,0))),"")</f>
        <v/>
      </c>
      <c r="M16" s="92">
        <f>IF($L16="","",$L16*IF(p_TierMode="پلکانی",LOOKUP($K16,t_Tier_From,t_Tier_Rate),1))</f>
        <v/>
      </c>
      <c r="N16" s="91">
        <f>IF($K16="","",$K16*$M16)</f>
        <v/>
      </c>
      <c r="O16" s="91">
        <f>IF($N16="","",IF($I16="ابطال",0,MAX(p_Min,MIN(p_Max,$N16))))</f>
        <v/>
      </c>
      <c r="P16" s="91">
        <f>IF($O16="","",ROUND($O16*p_Tax,0))</f>
        <v/>
      </c>
      <c r="Q16" s="91">
        <f>IF($O16="","",$O16+$P16)</f>
        <v/>
      </c>
      <c r="R16" s="92">
        <f>IF($A16="","",IF($H16&lt;&gt;"",$H16,IFERROR(INDEX(t_Member_Share,MATCH($C16,t_Members,0)),p_DefaultShare)))</f>
        <v/>
      </c>
      <c r="S16" s="91">
        <f>IF(OR($Q16="",$R16=""),"",ROUND($Q16*$R16,0))</f>
        <v/>
      </c>
      <c r="T16" s="91">
        <f>IF(OR($Q16="",$S16=""),"",$Q16-$S16)</f>
        <v/>
      </c>
      <c r="U16" s="93">
        <f>IF($B16="","",IFERROR(INDEX(cal_JYear,MATCH($B16,cal_Key,0)),""))</f>
        <v/>
      </c>
      <c r="V16" s="93">
        <f>IF($B16="","",IFERROR(INDEX(cal_JMonth,MATCH($B16,cal_Key,0)),""))</f>
        <v/>
      </c>
      <c r="W16" s="94">
        <f>IF($B16="","",IFERROR(INDEX(cal_YM,MATCH($B16,cal_Key,0)),""))</f>
        <v/>
      </c>
      <c r="X16" s="94">
        <f>IF($B16="","",IFERROR(INDEX(cal_Season,MATCH($B16,cal_Key,0)),""))</f>
        <v/>
      </c>
      <c r="Y16" s="94">
        <f>IF($B16="","",IFERROR(INDEX(cal_Key,MATCH(INDEX(cal_Serial,MATCH($B16,cal_Key,0))+p_Due,cal_Serial,0)),""))</f>
        <v/>
      </c>
      <c r="Z16" s="95">
        <f>IF($B16="","",IF(OR($I16="پرداخت‌شده",$I16="ابطال"),"—",IFERROR(IF(INDEX(cal_Serial,MATCH($B16,cal_Key,0))+p_Due&lt;TODAY(),"بله","خیر"),"تاریخ نامعتبر")))</f>
        <v/>
      </c>
    </row>
    <row r="17" ht="20" customHeight="1">
      <c r="A17" s="85" t="inlineStr">
        <is>
          <t>F-1405-012</t>
        </is>
      </c>
      <c r="B17" s="86" t="inlineStr">
        <is>
          <t>1405/06/19</t>
        </is>
      </c>
      <c r="C17" s="87" t="inlineStr">
        <is>
          <t>مهندس کامران دهقان</t>
        </is>
      </c>
      <c r="D17" s="87" t="inlineStr">
        <is>
          <t>بازرسی ابعادی و نصب</t>
        </is>
      </c>
      <c r="E17" s="87" t="inlineStr">
        <is>
          <t>نیروگاه نمونهٔ شرق</t>
        </is>
      </c>
      <c r="F17" s="88" t="n">
        <v>1120000000</v>
      </c>
      <c r="G17" s="89" t="n">
        <v>1.15</v>
      </c>
      <c r="H17" s="90" t="n"/>
      <c r="I17" s="86" t="inlineStr">
        <is>
          <t>در انتظار پرداخت</t>
        </is>
      </c>
      <c r="J17" s="87" t="inlineStr"/>
      <c r="K17" s="91">
        <f>IF($F17="","",$F17*IF($G17="",1,$G17))</f>
        <v/>
      </c>
      <c r="L17" s="92">
        <f>IFERROR(IF($D17="","",INDEX(t_Svc_Rate,MATCH($D17,lst_Service,0))),"")</f>
        <v/>
      </c>
      <c r="M17" s="92">
        <f>IF($L17="","",$L17*IF(p_TierMode="پلکانی",LOOKUP($K17,t_Tier_From,t_Tier_Rate),1))</f>
        <v/>
      </c>
      <c r="N17" s="91">
        <f>IF($K17="","",$K17*$M17)</f>
        <v/>
      </c>
      <c r="O17" s="91">
        <f>IF($N17="","",IF($I17="ابطال",0,MAX(p_Min,MIN(p_Max,$N17))))</f>
        <v/>
      </c>
      <c r="P17" s="91">
        <f>IF($O17="","",ROUND($O17*p_Tax,0))</f>
        <v/>
      </c>
      <c r="Q17" s="91">
        <f>IF($O17="","",$O17+$P17)</f>
        <v/>
      </c>
      <c r="R17" s="92">
        <f>IF($A17="","",IF($H17&lt;&gt;"",$H17,IFERROR(INDEX(t_Member_Share,MATCH($C17,t_Members,0)),p_DefaultShare)))</f>
        <v/>
      </c>
      <c r="S17" s="91">
        <f>IF(OR($Q17="",$R17=""),"",ROUND($Q17*$R17,0))</f>
        <v/>
      </c>
      <c r="T17" s="91">
        <f>IF(OR($Q17="",$S17=""),"",$Q17-$S17)</f>
        <v/>
      </c>
      <c r="U17" s="93">
        <f>IF($B17="","",IFERROR(INDEX(cal_JYear,MATCH($B17,cal_Key,0)),""))</f>
        <v/>
      </c>
      <c r="V17" s="93">
        <f>IF($B17="","",IFERROR(INDEX(cal_JMonth,MATCH($B17,cal_Key,0)),""))</f>
        <v/>
      </c>
      <c r="W17" s="94">
        <f>IF($B17="","",IFERROR(INDEX(cal_YM,MATCH($B17,cal_Key,0)),""))</f>
        <v/>
      </c>
      <c r="X17" s="94">
        <f>IF($B17="","",IFERROR(INDEX(cal_Season,MATCH($B17,cal_Key,0)),""))</f>
        <v/>
      </c>
      <c r="Y17" s="94">
        <f>IF($B17="","",IFERROR(INDEX(cal_Key,MATCH(INDEX(cal_Serial,MATCH($B17,cal_Key,0))+p_Due,cal_Serial,0)),""))</f>
        <v/>
      </c>
      <c r="Z17" s="95">
        <f>IF($B17="","",IF(OR($I17="پرداخت‌شده",$I17="ابطال"),"—",IFERROR(IF(INDEX(cal_Serial,MATCH($B17,cal_Key,0))+p_Due&lt;TODAY(),"بله","خیر"),"تاریخ نامعتبر")))</f>
        <v/>
      </c>
    </row>
    <row r="18" ht="20" customHeight="1">
      <c r="A18" s="85" t="inlineStr">
        <is>
          <t>F-1405-013</t>
        </is>
      </c>
      <c r="B18" s="86" t="inlineStr">
        <is>
          <t>1405/07/02</t>
        </is>
      </c>
      <c r="C18" s="87" t="inlineStr">
        <is>
          <t>مهندس مریم اسدی</t>
        </is>
      </c>
      <c r="D18" s="87" t="inlineStr">
        <is>
          <t>کالیبراسیون تجهیزات</t>
        </is>
      </c>
      <c r="E18" s="87" t="inlineStr">
        <is>
          <t>فولاد نمونهٔ سپاهان</t>
        </is>
      </c>
      <c r="F18" s="88" t="n">
        <v>890000000</v>
      </c>
      <c r="G18" s="89" t="n">
        <v>1</v>
      </c>
      <c r="H18" s="90" t="n">
        <v>0.14</v>
      </c>
      <c r="I18" s="86" t="inlineStr">
        <is>
          <t>ثبت‌شده</t>
        </is>
      </c>
      <c r="J18" s="87" t="inlineStr"/>
      <c r="K18" s="91">
        <f>IF($F18="","",$F18*IF($G18="",1,$G18))</f>
        <v/>
      </c>
      <c r="L18" s="92">
        <f>IFERROR(IF($D18="","",INDEX(t_Svc_Rate,MATCH($D18,lst_Service,0))),"")</f>
        <v/>
      </c>
      <c r="M18" s="92">
        <f>IF($L18="","",$L18*IF(p_TierMode="پلکانی",LOOKUP($K18,t_Tier_From,t_Tier_Rate),1))</f>
        <v/>
      </c>
      <c r="N18" s="91">
        <f>IF($K18="","",$K18*$M18)</f>
        <v/>
      </c>
      <c r="O18" s="91">
        <f>IF($N18="","",IF($I18="ابطال",0,MAX(p_Min,MIN(p_Max,$N18))))</f>
        <v/>
      </c>
      <c r="P18" s="91">
        <f>IF($O18="","",ROUND($O18*p_Tax,0))</f>
        <v/>
      </c>
      <c r="Q18" s="91">
        <f>IF($O18="","",$O18+$P18)</f>
        <v/>
      </c>
      <c r="R18" s="92">
        <f>IF($A18="","",IF($H18&lt;&gt;"",$H18,IFERROR(INDEX(t_Member_Share,MATCH($C18,t_Members,0)),p_DefaultShare)))</f>
        <v/>
      </c>
      <c r="S18" s="91">
        <f>IF(OR($Q18="",$R18=""),"",ROUND($Q18*$R18,0))</f>
        <v/>
      </c>
      <c r="T18" s="91">
        <f>IF(OR($Q18="",$S18=""),"",$Q18-$S18)</f>
        <v/>
      </c>
      <c r="U18" s="93">
        <f>IF($B18="","",IFERROR(INDEX(cal_JYear,MATCH($B18,cal_Key,0)),""))</f>
        <v/>
      </c>
      <c r="V18" s="93">
        <f>IF($B18="","",IFERROR(INDEX(cal_JMonth,MATCH($B18,cal_Key,0)),""))</f>
        <v/>
      </c>
      <c r="W18" s="94">
        <f>IF($B18="","",IFERROR(INDEX(cal_YM,MATCH($B18,cal_Key,0)),""))</f>
        <v/>
      </c>
      <c r="X18" s="94">
        <f>IF($B18="","",IFERROR(INDEX(cal_Season,MATCH($B18,cal_Key,0)),""))</f>
        <v/>
      </c>
      <c r="Y18" s="94">
        <f>IF($B18="","",IFERROR(INDEX(cal_Key,MATCH(INDEX(cal_Serial,MATCH($B18,cal_Key,0))+p_Due,cal_Serial,0)),""))</f>
        <v/>
      </c>
      <c r="Z18" s="95">
        <f>IF($B18="","",IF(OR($I18="پرداخت‌شده",$I18="ابطال"),"—",IFERROR(IF(INDEX(cal_Serial,MATCH($B18,cal_Key,0))+p_Due&lt;TODAY(),"بله","خیر"),"تاریخ نامعتبر")))</f>
        <v/>
      </c>
    </row>
    <row r="19" ht="20" customHeight="1">
      <c r="A19" s="85" t="inlineStr">
        <is>
          <t>F-1405-014</t>
        </is>
      </c>
      <c r="B19" s="86" t="inlineStr">
        <is>
          <t>1405/07/15</t>
        </is>
      </c>
      <c r="C19" s="87" t="inlineStr">
        <is>
          <t>مهندس آرش رحیمی</t>
        </is>
      </c>
      <c r="D19" s="87" t="inlineStr">
        <is>
          <t>بازرسی جوش و اتصالات</t>
        </is>
      </c>
      <c r="E19" s="87" t="inlineStr">
        <is>
          <t>پتروشیمی نمونهٔ خلیج</t>
        </is>
      </c>
      <c r="F19" s="88" t="n">
        <v>2750000000</v>
      </c>
      <c r="G19" s="89" t="n">
        <v>1.2</v>
      </c>
      <c r="H19" s="90" t="n">
        <v>0.25</v>
      </c>
      <c r="I19" s="86" t="inlineStr">
        <is>
          <t>در حال بررسی</t>
        </is>
      </c>
      <c r="J19" s="87" t="inlineStr"/>
      <c r="K19" s="91">
        <f>IF($F19="","",$F19*IF($G19="",1,$G19))</f>
        <v/>
      </c>
      <c r="L19" s="92">
        <f>IFERROR(IF($D19="","",INDEX(t_Svc_Rate,MATCH($D19,lst_Service,0))),"")</f>
        <v/>
      </c>
      <c r="M19" s="92">
        <f>IF($L19="","",$L19*IF(p_TierMode="پلکانی",LOOKUP($K19,t_Tier_From,t_Tier_Rate),1))</f>
        <v/>
      </c>
      <c r="N19" s="91">
        <f>IF($K19="","",$K19*$M19)</f>
        <v/>
      </c>
      <c r="O19" s="91">
        <f>IF($N19="","",IF($I19="ابطال",0,MAX(p_Min,MIN(p_Max,$N19))))</f>
        <v/>
      </c>
      <c r="P19" s="91">
        <f>IF($O19="","",ROUND($O19*p_Tax,0))</f>
        <v/>
      </c>
      <c r="Q19" s="91">
        <f>IF($O19="","",$O19+$P19)</f>
        <v/>
      </c>
      <c r="R19" s="92">
        <f>IF($A19="","",IF($H19&lt;&gt;"",$H19,IFERROR(INDEX(t_Member_Share,MATCH($C19,t_Members,0)),p_DefaultShare)))</f>
        <v/>
      </c>
      <c r="S19" s="91">
        <f>IF(OR($Q19="",$R19=""),"",ROUND($Q19*$R19,0))</f>
        <v/>
      </c>
      <c r="T19" s="91">
        <f>IF(OR($Q19="",$S19=""),"",$Q19-$S19)</f>
        <v/>
      </c>
      <c r="U19" s="93">
        <f>IF($B19="","",IFERROR(INDEX(cal_JYear,MATCH($B19,cal_Key,0)),""))</f>
        <v/>
      </c>
      <c r="V19" s="93">
        <f>IF($B19="","",IFERROR(INDEX(cal_JMonth,MATCH($B19,cal_Key,0)),""))</f>
        <v/>
      </c>
      <c r="W19" s="94">
        <f>IF($B19="","",IFERROR(INDEX(cal_YM,MATCH($B19,cal_Key,0)),""))</f>
        <v/>
      </c>
      <c r="X19" s="94">
        <f>IF($B19="","",IFERROR(INDEX(cal_Season,MATCH($B19,cal_Key,0)),""))</f>
        <v/>
      </c>
      <c r="Y19" s="94">
        <f>IF($B19="","",IFERROR(INDEX(cal_Key,MATCH(INDEX(cal_Serial,MATCH($B19,cal_Key,0))+p_Due,cal_Serial,0)),""))</f>
        <v/>
      </c>
      <c r="Z19" s="95">
        <f>IF($B19="","",IF(OR($I19="پرداخت‌شده",$I19="ابطال"),"—",IFERROR(IF(INDEX(cal_Serial,MATCH($B19,cal_Key,0))+p_Due&lt;TODAY(),"بله","خیر"),"تاریخ نامعتبر")))</f>
        <v/>
      </c>
    </row>
    <row r="20" ht="20" customHeight="1">
      <c r="A20" s="85" t="inlineStr">
        <is>
          <t>F-1405-015</t>
        </is>
      </c>
      <c r="B20" s="86" t="inlineStr">
        <is>
          <t>1405/08/04</t>
        </is>
      </c>
      <c r="C20" s="87" t="inlineStr">
        <is>
          <t>مهندس نیلوفر موسوی</t>
        </is>
      </c>
      <c r="D20" s="87" t="inlineStr">
        <is>
          <t>آموزش و ارتقای فنی</t>
        </is>
      </c>
      <c r="E20" s="87" t="inlineStr">
        <is>
          <t>شرکت آب و فاضلاب نمونه</t>
        </is>
      </c>
      <c r="F20" s="88" t="n">
        <v>180000000</v>
      </c>
      <c r="G20" s="89" t="n">
        <v>1</v>
      </c>
      <c r="H20" s="90" t="n"/>
      <c r="I20" s="86" t="inlineStr">
        <is>
          <t>پرداخت‌شده</t>
        </is>
      </c>
      <c r="J20" s="87" t="inlineStr"/>
      <c r="K20" s="91">
        <f>IF($F20="","",$F20*IF($G20="",1,$G20))</f>
        <v/>
      </c>
      <c r="L20" s="92">
        <f>IFERROR(IF($D20="","",INDEX(t_Svc_Rate,MATCH($D20,lst_Service,0))),"")</f>
        <v/>
      </c>
      <c r="M20" s="92">
        <f>IF($L20="","",$L20*IF(p_TierMode="پلکانی",LOOKUP($K20,t_Tier_From,t_Tier_Rate),1))</f>
        <v/>
      </c>
      <c r="N20" s="91">
        <f>IF($K20="","",$K20*$M20)</f>
        <v/>
      </c>
      <c r="O20" s="91">
        <f>IF($N20="","",IF($I20="ابطال",0,MAX(p_Min,MIN(p_Max,$N20))))</f>
        <v/>
      </c>
      <c r="P20" s="91">
        <f>IF($O20="","",ROUND($O20*p_Tax,0))</f>
        <v/>
      </c>
      <c r="Q20" s="91">
        <f>IF($O20="","",$O20+$P20)</f>
        <v/>
      </c>
      <c r="R20" s="92">
        <f>IF($A20="","",IF($H20&lt;&gt;"",$H20,IFERROR(INDEX(t_Member_Share,MATCH($C20,t_Members,0)),p_DefaultShare)))</f>
        <v/>
      </c>
      <c r="S20" s="91">
        <f>IF(OR($Q20="",$R20=""),"",ROUND($Q20*$R20,0))</f>
        <v/>
      </c>
      <c r="T20" s="91">
        <f>IF(OR($Q20="",$S20=""),"",$Q20-$S20)</f>
        <v/>
      </c>
      <c r="U20" s="93">
        <f>IF($B20="","",IFERROR(INDEX(cal_JYear,MATCH($B20,cal_Key,0)),""))</f>
        <v/>
      </c>
      <c r="V20" s="93">
        <f>IF($B20="","",IFERROR(INDEX(cal_JMonth,MATCH($B20,cal_Key,0)),""))</f>
        <v/>
      </c>
      <c r="W20" s="94">
        <f>IF($B20="","",IFERROR(INDEX(cal_YM,MATCH($B20,cal_Key,0)),""))</f>
        <v/>
      </c>
      <c r="X20" s="94">
        <f>IF($B20="","",IFERROR(INDEX(cal_Season,MATCH($B20,cal_Key,0)),""))</f>
        <v/>
      </c>
      <c r="Y20" s="94">
        <f>IF($B20="","",IFERROR(INDEX(cal_Key,MATCH(INDEX(cal_Serial,MATCH($B20,cal_Key,0))+p_Due,cal_Serial,0)),""))</f>
        <v/>
      </c>
      <c r="Z20" s="95">
        <f>IF($B20="","",IF(OR($I20="پرداخت‌شده",$I20="ابطال"),"—",IFERROR(IF(INDEX(cal_Serial,MATCH($B20,cal_Key,0))+p_Due&lt;TODAY(),"بله","خیر"),"تاریخ نامعتبر")))</f>
        <v/>
      </c>
    </row>
    <row r="21" ht="20" customHeight="1">
      <c r="B21" s="86" t="n"/>
      <c r="C21" s="87" t="n"/>
      <c r="D21" s="87" t="n"/>
      <c r="E21" s="87" t="n"/>
      <c r="F21" s="88" t="n"/>
      <c r="G21" s="89" t="n"/>
      <c r="H21" s="90" t="n"/>
      <c r="I21" s="86" t="n"/>
      <c r="J21" s="87" t="n"/>
      <c r="K21" s="91">
        <f>IF($F21="","",$F21*IF($G21="",1,$G21))</f>
        <v/>
      </c>
      <c r="L21" s="92">
        <f>IFERROR(IF($D21="","",INDEX(t_Svc_Rate,MATCH($D21,lst_Service,0))),"")</f>
        <v/>
      </c>
      <c r="M21" s="92">
        <f>IF($L21="","",$L21*IF(p_TierMode="پلکانی",LOOKUP($K21,t_Tier_From,t_Tier_Rate),1))</f>
        <v/>
      </c>
      <c r="N21" s="91">
        <f>IF($K21="","",$K21*$M21)</f>
        <v/>
      </c>
      <c r="O21" s="91">
        <f>IF($N21="","",IF($I21="ابطال",0,MAX(p_Min,MIN(p_Max,$N21))))</f>
        <v/>
      </c>
      <c r="P21" s="91">
        <f>IF($O21="","",ROUND($O21*p_Tax,0))</f>
        <v/>
      </c>
      <c r="Q21" s="91">
        <f>IF($O21="","",$O21+$P21)</f>
        <v/>
      </c>
      <c r="R21" s="92">
        <f>IF($A21="","",IF($H21&lt;&gt;"",$H21,IFERROR(INDEX(t_Member_Share,MATCH($C21,t_Members,0)),p_DefaultShare)))</f>
        <v/>
      </c>
      <c r="S21" s="91">
        <f>IF(OR($Q21="",$R21=""),"",ROUND($Q21*$R21,0))</f>
        <v/>
      </c>
      <c r="T21" s="91">
        <f>IF(OR($Q21="",$S21=""),"",$Q21-$S21)</f>
        <v/>
      </c>
      <c r="U21" s="93">
        <f>IF($B21="","",IFERROR(INDEX(cal_JYear,MATCH($B21,cal_Key,0)),""))</f>
        <v/>
      </c>
      <c r="V21" s="93">
        <f>IF($B21="","",IFERROR(INDEX(cal_JMonth,MATCH($B21,cal_Key,0)),""))</f>
        <v/>
      </c>
      <c r="W21" s="94">
        <f>IF($B21="","",IFERROR(INDEX(cal_YM,MATCH($B21,cal_Key,0)),""))</f>
        <v/>
      </c>
      <c r="X21" s="94">
        <f>IF($B21="","",IFERROR(INDEX(cal_Season,MATCH($B21,cal_Key,0)),""))</f>
        <v/>
      </c>
      <c r="Y21" s="94">
        <f>IF($B21="","",IFERROR(INDEX(cal_Key,MATCH(INDEX(cal_Serial,MATCH($B21,cal_Key,0))+p_Due,cal_Serial,0)),""))</f>
        <v/>
      </c>
      <c r="Z21" s="95">
        <f>IF($B21="","",IF(OR($I21="پرداخت‌شده",$I21="ابطال"),"—",IFERROR(IF(INDEX(cal_Serial,MATCH($B21,cal_Key,0))+p_Due&lt;TODAY(),"بله","خیر"),"تاریخ نامعتبر")))</f>
        <v/>
      </c>
    </row>
    <row r="22" ht="20" customHeight="1">
      <c r="B22" s="86" t="n"/>
      <c r="C22" s="87" t="n"/>
      <c r="D22" s="87" t="n"/>
      <c r="E22" s="87" t="n"/>
      <c r="F22" s="88" t="n"/>
      <c r="G22" s="89" t="n"/>
      <c r="H22" s="90" t="n"/>
      <c r="I22" s="86" t="n"/>
      <c r="J22" s="87" t="n"/>
      <c r="K22" s="91">
        <f>IF($F22="","",$F22*IF($G22="",1,$G22))</f>
        <v/>
      </c>
      <c r="L22" s="92">
        <f>IFERROR(IF($D22="","",INDEX(t_Svc_Rate,MATCH($D22,lst_Service,0))),"")</f>
        <v/>
      </c>
      <c r="M22" s="92">
        <f>IF($L22="","",$L22*IF(p_TierMode="پلکانی",LOOKUP($K22,t_Tier_From,t_Tier_Rate),1))</f>
        <v/>
      </c>
      <c r="N22" s="91">
        <f>IF($K22="","",$K22*$M22)</f>
        <v/>
      </c>
      <c r="O22" s="91">
        <f>IF($N22="","",IF($I22="ابطال",0,MAX(p_Min,MIN(p_Max,$N22))))</f>
        <v/>
      </c>
      <c r="P22" s="91">
        <f>IF($O22="","",ROUND($O22*p_Tax,0))</f>
        <v/>
      </c>
      <c r="Q22" s="91">
        <f>IF($O22="","",$O22+$P22)</f>
        <v/>
      </c>
      <c r="R22" s="92">
        <f>IF($A22="","",IF($H22&lt;&gt;"",$H22,IFERROR(INDEX(t_Member_Share,MATCH($C22,t_Members,0)),p_DefaultShare)))</f>
        <v/>
      </c>
      <c r="S22" s="91">
        <f>IF(OR($Q22="",$R22=""),"",ROUND($Q22*$R22,0))</f>
        <v/>
      </c>
      <c r="T22" s="91">
        <f>IF(OR($Q22="",$S22=""),"",$Q22-$S22)</f>
        <v/>
      </c>
      <c r="U22" s="93">
        <f>IF($B22="","",IFERROR(INDEX(cal_JYear,MATCH($B22,cal_Key,0)),""))</f>
        <v/>
      </c>
      <c r="V22" s="93">
        <f>IF($B22="","",IFERROR(INDEX(cal_JMonth,MATCH($B22,cal_Key,0)),""))</f>
        <v/>
      </c>
      <c r="W22" s="94">
        <f>IF($B22="","",IFERROR(INDEX(cal_YM,MATCH($B22,cal_Key,0)),""))</f>
        <v/>
      </c>
      <c r="X22" s="94">
        <f>IF($B22="","",IFERROR(INDEX(cal_Season,MATCH($B22,cal_Key,0)),""))</f>
        <v/>
      </c>
      <c r="Y22" s="94">
        <f>IF($B22="","",IFERROR(INDEX(cal_Key,MATCH(INDEX(cal_Serial,MATCH($B22,cal_Key,0))+p_Due,cal_Serial,0)),""))</f>
        <v/>
      </c>
      <c r="Z22" s="95">
        <f>IF($B22="","",IF(OR($I22="پرداخت‌شده",$I22="ابطال"),"—",IFERROR(IF(INDEX(cal_Serial,MATCH($B22,cal_Key,0))+p_Due&lt;TODAY(),"بله","خیر"),"تاریخ نامعتبر")))</f>
        <v/>
      </c>
    </row>
    <row r="23" ht="20" customHeight="1">
      <c r="B23" s="86" t="n"/>
      <c r="C23" s="87" t="n"/>
      <c r="D23" s="87" t="n"/>
      <c r="E23" s="87" t="n"/>
      <c r="F23" s="88" t="n"/>
      <c r="G23" s="89" t="n"/>
      <c r="H23" s="90" t="n"/>
      <c r="I23" s="86" t="n"/>
      <c r="J23" s="87" t="n"/>
      <c r="K23" s="91">
        <f>IF($F23="","",$F23*IF($G23="",1,$G23))</f>
        <v/>
      </c>
      <c r="L23" s="92">
        <f>IFERROR(IF($D23="","",INDEX(t_Svc_Rate,MATCH($D23,lst_Service,0))),"")</f>
        <v/>
      </c>
      <c r="M23" s="92">
        <f>IF($L23="","",$L23*IF(p_TierMode="پلکانی",LOOKUP($K23,t_Tier_From,t_Tier_Rate),1))</f>
        <v/>
      </c>
      <c r="N23" s="91">
        <f>IF($K23="","",$K23*$M23)</f>
        <v/>
      </c>
      <c r="O23" s="91">
        <f>IF($N23="","",IF($I23="ابطال",0,MAX(p_Min,MIN(p_Max,$N23))))</f>
        <v/>
      </c>
      <c r="P23" s="91">
        <f>IF($O23="","",ROUND($O23*p_Tax,0))</f>
        <v/>
      </c>
      <c r="Q23" s="91">
        <f>IF($O23="","",$O23+$P23)</f>
        <v/>
      </c>
      <c r="R23" s="92">
        <f>IF($A23="","",IF($H23&lt;&gt;"",$H23,IFERROR(INDEX(t_Member_Share,MATCH($C23,t_Members,0)),p_DefaultShare)))</f>
        <v/>
      </c>
      <c r="S23" s="91">
        <f>IF(OR($Q23="",$R23=""),"",ROUND($Q23*$R23,0))</f>
        <v/>
      </c>
      <c r="T23" s="91">
        <f>IF(OR($Q23="",$S23=""),"",$Q23-$S23)</f>
        <v/>
      </c>
      <c r="U23" s="93">
        <f>IF($B23="","",IFERROR(INDEX(cal_JYear,MATCH($B23,cal_Key,0)),""))</f>
        <v/>
      </c>
      <c r="V23" s="93">
        <f>IF($B23="","",IFERROR(INDEX(cal_JMonth,MATCH($B23,cal_Key,0)),""))</f>
        <v/>
      </c>
      <c r="W23" s="94">
        <f>IF($B23="","",IFERROR(INDEX(cal_YM,MATCH($B23,cal_Key,0)),""))</f>
        <v/>
      </c>
      <c r="X23" s="94">
        <f>IF($B23="","",IFERROR(INDEX(cal_Season,MATCH($B23,cal_Key,0)),""))</f>
        <v/>
      </c>
      <c r="Y23" s="94">
        <f>IF($B23="","",IFERROR(INDEX(cal_Key,MATCH(INDEX(cal_Serial,MATCH($B23,cal_Key,0))+p_Due,cal_Serial,0)),""))</f>
        <v/>
      </c>
      <c r="Z23" s="95">
        <f>IF($B23="","",IF(OR($I23="پرداخت‌شده",$I23="ابطال"),"—",IFERROR(IF(INDEX(cal_Serial,MATCH($B23,cal_Key,0))+p_Due&lt;TODAY(),"بله","خیر"),"تاریخ نامعتبر")))</f>
        <v/>
      </c>
    </row>
    <row r="24" ht="20" customHeight="1">
      <c r="B24" s="86" t="n"/>
      <c r="C24" s="87" t="n"/>
      <c r="D24" s="87" t="n"/>
      <c r="E24" s="87" t="n"/>
      <c r="F24" s="88" t="n"/>
      <c r="G24" s="89" t="n"/>
      <c r="H24" s="90" t="n"/>
      <c r="I24" s="86" t="n"/>
      <c r="J24" s="87" t="n"/>
      <c r="K24" s="91">
        <f>IF($F24="","",$F24*IF($G24="",1,$G24))</f>
        <v/>
      </c>
      <c r="L24" s="92">
        <f>IFERROR(IF($D24="","",INDEX(t_Svc_Rate,MATCH($D24,lst_Service,0))),"")</f>
        <v/>
      </c>
      <c r="M24" s="92">
        <f>IF($L24="","",$L24*IF(p_TierMode="پلکانی",LOOKUP($K24,t_Tier_From,t_Tier_Rate),1))</f>
        <v/>
      </c>
      <c r="N24" s="91">
        <f>IF($K24="","",$K24*$M24)</f>
        <v/>
      </c>
      <c r="O24" s="91">
        <f>IF($N24="","",IF($I24="ابطال",0,MAX(p_Min,MIN(p_Max,$N24))))</f>
        <v/>
      </c>
      <c r="P24" s="91">
        <f>IF($O24="","",ROUND($O24*p_Tax,0))</f>
        <v/>
      </c>
      <c r="Q24" s="91">
        <f>IF($O24="","",$O24+$P24)</f>
        <v/>
      </c>
      <c r="R24" s="92">
        <f>IF($A24="","",IF($H24&lt;&gt;"",$H24,IFERROR(INDEX(t_Member_Share,MATCH($C24,t_Members,0)),p_DefaultShare)))</f>
        <v/>
      </c>
      <c r="S24" s="91">
        <f>IF(OR($Q24="",$R24=""),"",ROUND($Q24*$R24,0))</f>
        <v/>
      </c>
      <c r="T24" s="91">
        <f>IF(OR($Q24="",$S24=""),"",$Q24-$S24)</f>
        <v/>
      </c>
      <c r="U24" s="93">
        <f>IF($B24="","",IFERROR(INDEX(cal_JYear,MATCH($B24,cal_Key,0)),""))</f>
        <v/>
      </c>
      <c r="V24" s="93">
        <f>IF($B24="","",IFERROR(INDEX(cal_JMonth,MATCH($B24,cal_Key,0)),""))</f>
        <v/>
      </c>
      <c r="W24" s="94">
        <f>IF($B24="","",IFERROR(INDEX(cal_YM,MATCH($B24,cal_Key,0)),""))</f>
        <v/>
      </c>
      <c r="X24" s="94">
        <f>IF($B24="","",IFERROR(INDEX(cal_Season,MATCH($B24,cal_Key,0)),""))</f>
        <v/>
      </c>
      <c r="Y24" s="94">
        <f>IF($B24="","",IFERROR(INDEX(cal_Key,MATCH(INDEX(cal_Serial,MATCH($B24,cal_Key,0))+p_Due,cal_Serial,0)),""))</f>
        <v/>
      </c>
      <c r="Z24" s="95">
        <f>IF($B24="","",IF(OR($I24="پرداخت‌شده",$I24="ابطال"),"—",IFERROR(IF(INDEX(cal_Serial,MATCH($B24,cal_Key,0))+p_Due&lt;TODAY(),"بله","خیر"),"تاریخ نامعتبر")))</f>
        <v/>
      </c>
    </row>
    <row r="25" ht="20" customHeight="1">
      <c r="B25" s="86" t="n"/>
      <c r="C25" s="87" t="n"/>
      <c r="D25" s="87" t="n"/>
      <c r="E25" s="87" t="n"/>
      <c r="F25" s="88" t="n"/>
      <c r="G25" s="89" t="n"/>
      <c r="H25" s="90" t="n"/>
      <c r="I25" s="86" t="n"/>
      <c r="J25" s="87" t="n"/>
      <c r="K25" s="91">
        <f>IF($F25="","",$F25*IF($G25="",1,$G25))</f>
        <v/>
      </c>
      <c r="L25" s="92">
        <f>IFERROR(IF($D25="","",INDEX(t_Svc_Rate,MATCH($D25,lst_Service,0))),"")</f>
        <v/>
      </c>
      <c r="M25" s="92">
        <f>IF($L25="","",$L25*IF(p_TierMode="پلکانی",LOOKUP($K25,t_Tier_From,t_Tier_Rate),1))</f>
        <v/>
      </c>
      <c r="N25" s="91">
        <f>IF($K25="","",$K25*$M25)</f>
        <v/>
      </c>
      <c r="O25" s="91">
        <f>IF($N25="","",IF($I25="ابطال",0,MAX(p_Min,MIN(p_Max,$N25))))</f>
        <v/>
      </c>
      <c r="P25" s="91">
        <f>IF($O25="","",ROUND($O25*p_Tax,0))</f>
        <v/>
      </c>
      <c r="Q25" s="91">
        <f>IF($O25="","",$O25+$P25)</f>
        <v/>
      </c>
      <c r="R25" s="92">
        <f>IF($A25="","",IF($H25&lt;&gt;"",$H25,IFERROR(INDEX(t_Member_Share,MATCH($C25,t_Members,0)),p_DefaultShare)))</f>
        <v/>
      </c>
      <c r="S25" s="91">
        <f>IF(OR($Q25="",$R25=""),"",ROUND($Q25*$R25,0))</f>
        <v/>
      </c>
      <c r="T25" s="91">
        <f>IF(OR($Q25="",$S25=""),"",$Q25-$S25)</f>
        <v/>
      </c>
      <c r="U25" s="93">
        <f>IF($B25="","",IFERROR(INDEX(cal_JYear,MATCH($B25,cal_Key,0)),""))</f>
        <v/>
      </c>
      <c r="V25" s="93">
        <f>IF($B25="","",IFERROR(INDEX(cal_JMonth,MATCH($B25,cal_Key,0)),""))</f>
        <v/>
      </c>
      <c r="W25" s="94">
        <f>IF($B25="","",IFERROR(INDEX(cal_YM,MATCH($B25,cal_Key,0)),""))</f>
        <v/>
      </c>
      <c r="X25" s="94">
        <f>IF($B25="","",IFERROR(INDEX(cal_Season,MATCH($B25,cal_Key,0)),""))</f>
        <v/>
      </c>
      <c r="Y25" s="94">
        <f>IF($B25="","",IFERROR(INDEX(cal_Key,MATCH(INDEX(cal_Serial,MATCH($B25,cal_Key,0))+p_Due,cal_Serial,0)),""))</f>
        <v/>
      </c>
      <c r="Z25" s="95">
        <f>IF($B25="","",IF(OR($I25="پرداخت‌شده",$I25="ابطال"),"—",IFERROR(IF(INDEX(cal_Serial,MATCH($B25,cal_Key,0))+p_Due&lt;TODAY(),"بله","خیر"),"تاریخ نامعتبر")))</f>
        <v/>
      </c>
    </row>
    <row r="26" ht="20" customHeight="1">
      <c r="B26" s="86" t="n"/>
      <c r="C26" s="87" t="n"/>
      <c r="D26" s="87" t="n"/>
      <c r="E26" s="87" t="n"/>
      <c r="F26" s="88" t="n"/>
      <c r="G26" s="89" t="n"/>
      <c r="H26" s="90" t="n"/>
      <c r="I26" s="86" t="n"/>
      <c r="J26" s="87" t="n"/>
      <c r="K26" s="91">
        <f>IF($F26="","",$F26*IF($G26="",1,$G26))</f>
        <v/>
      </c>
      <c r="L26" s="92">
        <f>IFERROR(IF($D26="","",INDEX(t_Svc_Rate,MATCH($D26,lst_Service,0))),"")</f>
        <v/>
      </c>
      <c r="M26" s="92">
        <f>IF($L26="","",$L26*IF(p_TierMode="پلکانی",LOOKUP($K26,t_Tier_From,t_Tier_Rate),1))</f>
        <v/>
      </c>
      <c r="N26" s="91">
        <f>IF($K26="","",$K26*$M26)</f>
        <v/>
      </c>
      <c r="O26" s="91">
        <f>IF($N26="","",IF($I26="ابطال",0,MAX(p_Min,MIN(p_Max,$N26))))</f>
        <v/>
      </c>
      <c r="P26" s="91">
        <f>IF($O26="","",ROUND($O26*p_Tax,0))</f>
        <v/>
      </c>
      <c r="Q26" s="91">
        <f>IF($O26="","",$O26+$P26)</f>
        <v/>
      </c>
      <c r="R26" s="92">
        <f>IF($A26="","",IF($H26&lt;&gt;"",$H26,IFERROR(INDEX(t_Member_Share,MATCH($C26,t_Members,0)),p_DefaultShare)))</f>
        <v/>
      </c>
      <c r="S26" s="91">
        <f>IF(OR($Q26="",$R26=""),"",ROUND($Q26*$R26,0))</f>
        <v/>
      </c>
      <c r="T26" s="91">
        <f>IF(OR($Q26="",$S26=""),"",$Q26-$S26)</f>
        <v/>
      </c>
      <c r="U26" s="93">
        <f>IF($B26="","",IFERROR(INDEX(cal_JYear,MATCH($B26,cal_Key,0)),""))</f>
        <v/>
      </c>
      <c r="V26" s="93">
        <f>IF($B26="","",IFERROR(INDEX(cal_JMonth,MATCH($B26,cal_Key,0)),""))</f>
        <v/>
      </c>
      <c r="W26" s="94">
        <f>IF($B26="","",IFERROR(INDEX(cal_YM,MATCH($B26,cal_Key,0)),""))</f>
        <v/>
      </c>
      <c r="X26" s="94">
        <f>IF($B26="","",IFERROR(INDEX(cal_Season,MATCH($B26,cal_Key,0)),""))</f>
        <v/>
      </c>
      <c r="Y26" s="94">
        <f>IF($B26="","",IFERROR(INDEX(cal_Key,MATCH(INDEX(cal_Serial,MATCH($B26,cal_Key,0))+p_Due,cal_Serial,0)),""))</f>
        <v/>
      </c>
      <c r="Z26" s="95">
        <f>IF($B26="","",IF(OR($I26="پرداخت‌شده",$I26="ابطال"),"—",IFERROR(IF(INDEX(cal_Serial,MATCH($B26,cal_Key,0))+p_Due&lt;TODAY(),"بله","خیر"),"تاریخ نامعتبر")))</f>
        <v/>
      </c>
    </row>
    <row r="27" ht="20" customHeight="1">
      <c r="B27" s="86" t="n"/>
      <c r="C27" s="87" t="n"/>
      <c r="D27" s="87" t="n"/>
      <c r="E27" s="87" t="n"/>
      <c r="F27" s="88" t="n"/>
      <c r="G27" s="89" t="n"/>
      <c r="H27" s="90" t="n"/>
      <c r="I27" s="86" t="n"/>
      <c r="J27" s="87" t="n"/>
      <c r="K27" s="91">
        <f>IF($F27="","",$F27*IF($G27="",1,$G27))</f>
        <v/>
      </c>
      <c r="L27" s="92">
        <f>IFERROR(IF($D27="","",INDEX(t_Svc_Rate,MATCH($D27,lst_Service,0))),"")</f>
        <v/>
      </c>
      <c r="M27" s="92">
        <f>IF($L27="","",$L27*IF(p_TierMode="پلکانی",LOOKUP($K27,t_Tier_From,t_Tier_Rate),1))</f>
        <v/>
      </c>
      <c r="N27" s="91">
        <f>IF($K27="","",$K27*$M27)</f>
        <v/>
      </c>
      <c r="O27" s="91">
        <f>IF($N27="","",IF($I27="ابطال",0,MAX(p_Min,MIN(p_Max,$N27))))</f>
        <v/>
      </c>
      <c r="P27" s="91">
        <f>IF($O27="","",ROUND($O27*p_Tax,0))</f>
        <v/>
      </c>
      <c r="Q27" s="91">
        <f>IF($O27="","",$O27+$P27)</f>
        <v/>
      </c>
      <c r="R27" s="92">
        <f>IF($A27="","",IF($H27&lt;&gt;"",$H27,IFERROR(INDEX(t_Member_Share,MATCH($C27,t_Members,0)),p_DefaultShare)))</f>
        <v/>
      </c>
      <c r="S27" s="91">
        <f>IF(OR($Q27="",$R27=""),"",ROUND($Q27*$R27,0))</f>
        <v/>
      </c>
      <c r="T27" s="91">
        <f>IF(OR($Q27="",$S27=""),"",$Q27-$S27)</f>
        <v/>
      </c>
      <c r="U27" s="93">
        <f>IF($B27="","",IFERROR(INDEX(cal_JYear,MATCH($B27,cal_Key,0)),""))</f>
        <v/>
      </c>
      <c r="V27" s="93">
        <f>IF($B27="","",IFERROR(INDEX(cal_JMonth,MATCH($B27,cal_Key,0)),""))</f>
        <v/>
      </c>
      <c r="W27" s="94">
        <f>IF($B27="","",IFERROR(INDEX(cal_YM,MATCH($B27,cal_Key,0)),""))</f>
        <v/>
      </c>
      <c r="X27" s="94">
        <f>IF($B27="","",IFERROR(INDEX(cal_Season,MATCH($B27,cal_Key,0)),""))</f>
        <v/>
      </c>
      <c r="Y27" s="94">
        <f>IF($B27="","",IFERROR(INDEX(cal_Key,MATCH(INDEX(cal_Serial,MATCH($B27,cal_Key,0))+p_Due,cal_Serial,0)),""))</f>
        <v/>
      </c>
      <c r="Z27" s="95">
        <f>IF($B27="","",IF(OR($I27="پرداخت‌شده",$I27="ابطال"),"—",IFERROR(IF(INDEX(cal_Serial,MATCH($B27,cal_Key,0))+p_Due&lt;TODAY(),"بله","خیر"),"تاریخ نامعتبر")))</f>
        <v/>
      </c>
    </row>
    <row r="28" ht="20" customHeight="1">
      <c r="B28" s="86" t="n"/>
      <c r="C28" s="87" t="n"/>
      <c r="D28" s="87" t="n"/>
      <c r="E28" s="87" t="n"/>
      <c r="F28" s="88" t="n"/>
      <c r="G28" s="89" t="n"/>
      <c r="H28" s="90" t="n"/>
      <c r="I28" s="86" t="n"/>
      <c r="J28" s="87" t="n"/>
      <c r="K28" s="91">
        <f>IF($F28="","",$F28*IF($G28="",1,$G28))</f>
        <v/>
      </c>
      <c r="L28" s="92">
        <f>IFERROR(IF($D28="","",INDEX(t_Svc_Rate,MATCH($D28,lst_Service,0))),"")</f>
        <v/>
      </c>
      <c r="M28" s="92">
        <f>IF($L28="","",$L28*IF(p_TierMode="پلکانی",LOOKUP($K28,t_Tier_From,t_Tier_Rate),1))</f>
        <v/>
      </c>
      <c r="N28" s="91">
        <f>IF($K28="","",$K28*$M28)</f>
        <v/>
      </c>
      <c r="O28" s="91">
        <f>IF($N28="","",IF($I28="ابطال",0,MAX(p_Min,MIN(p_Max,$N28))))</f>
        <v/>
      </c>
      <c r="P28" s="91">
        <f>IF($O28="","",ROUND($O28*p_Tax,0))</f>
        <v/>
      </c>
      <c r="Q28" s="91">
        <f>IF($O28="","",$O28+$P28)</f>
        <v/>
      </c>
      <c r="R28" s="92">
        <f>IF($A28="","",IF($H28&lt;&gt;"",$H28,IFERROR(INDEX(t_Member_Share,MATCH($C28,t_Members,0)),p_DefaultShare)))</f>
        <v/>
      </c>
      <c r="S28" s="91">
        <f>IF(OR($Q28="",$R28=""),"",ROUND($Q28*$R28,0))</f>
        <v/>
      </c>
      <c r="T28" s="91">
        <f>IF(OR($Q28="",$S28=""),"",$Q28-$S28)</f>
        <v/>
      </c>
      <c r="U28" s="93">
        <f>IF($B28="","",IFERROR(INDEX(cal_JYear,MATCH($B28,cal_Key,0)),""))</f>
        <v/>
      </c>
      <c r="V28" s="93">
        <f>IF($B28="","",IFERROR(INDEX(cal_JMonth,MATCH($B28,cal_Key,0)),""))</f>
        <v/>
      </c>
      <c r="W28" s="94">
        <f>IF($B28="","",IFERROR(INDEX(cal_YM,MATCH($B28,cal_Key,0)),""))</f>
        <v/>
      </c>
      <c r="X28" s="94">
        <f>IF($B28="","",IFERROR(INDEX(cal_Season,MATCH($B28,cal_Key,0)),""))</f>
        <v/>
      </c>
      <c r="Y28" s="94">
        <f>IF($B28="","",IFERROR(INDEX(cal_Key,MATCH(INDEX(cal_Serial,MATCH($B28,cal_Key,0))+p_Due,cal_Serial,0)),""))</f>
        <v/>
      </c>
      <c r="Z28" s="95">
        <f>IF($B28="","",IF(OR($I28="پرداخت‌شده",$I28="ابطال"),"—",IFERROR(IF(INDEX(cal_Serial,MATCH($B28,cal_Key,0))+p_Due&lt;TODAY(),"بله","خیر"),"تاریخ نامعتبر")))</f>
        <v/>
      </c>
    </row>
    <row r="29" ht="20" customHeight="1">
      <c r="B29" s="86" t="n"/>
      <c r="C29" s="87" t="n"/>
      <c r="D29" s="87" t="n"/>
      <c r="E29" s="87" t="n"/>
      <c r="F29" s="88" t="n"/>
      <c r="G29" s="89" t="n"/>
      <c r="H29" s="90" t="n"/>
      <c r="I29" s="86" t="n"/>
      <c r="J29" s="87" t="n"/>
      <c r="K29" s="91">
        <f>IF($F29="","",$F29*IF($G29="",1,$G29))</f>
        <v/>
      </c>
      <c r="L29" s="92">
        <f>IFERROR(IF($D29="","",INDEX(t_Svc_Rate,MATCH($D29,lst_Service,0))),"")</f>
        <v/>
      </c>
      <c r="M29" s="92">
        <f>IF($L29="","",$L29*IF(p_TierMode="پلکانی",LOOKUP($K29,t_Tier_From,t_Tier_Rate),1))</f>
        <v/>
      </c>
      <c r="N29" s="91">
        <f>IF($K29="","",$K29*$M29)</f>
        <v/>
      </c>
      <c r="O29" s="91">
        <f>IF($N29="","",IF($I29="ابطال",0,MAX(p_Min,MIN(p_Max,$N29))))</f>
        <v/>
      </c>
      <c r="P29" s="91">
        <f>IF($O29="","",ROUND($O29*p_Tax,0))</f>
        <v/>
      </c>
      <c r="Q29" s="91">
        <f>IF($O29="","",$O29+$P29)</f>
        <v/>
      </c>
      <c r="R29" s="92">
        <f>IF($A29="","",IF($H29&lt;&gt;"",$H29,IFERROR(INDEX(t_Member_Share,MATCH($C29,t_Members,0)),p_DefaultShare)))</f>
        <v/>
      </c>
      <c r="S29" s="91">
        <f>IF(OR($Q29="",$R29=""),"",ROUND($Q29*$R29,0))</f>
        <v/>
      </c>
      <c r="T29" s="91">
        <f>IF(OR($Q29="",$S29=""),"",$Q29-$S29)</f>
        <v/>
      </c>
      <c r="U29" s="93">
        <f>IF($B29="","",IFERROR(INDEX(cal_JYear,MATCH($B29,cal_Key,0)),""))</f>
        <v/>
      </c>
      <c r="V29" s="93">
        <f>IF($B29="","",IFERROR(INDEX(cal_JMonth,MATCH($B29,cal_Key,0)),""))</f>
        <v/>
      </c>
      <c r="W29" s="94">
        <f>IF($B29="","",IFERROR(INDEX(cal_YM,MATCH($B29,cal_Key,0)),""))</f>
        <v/>
      </c>
      <c r="X29" s="94">
        <f>IF($B29="","",IFERROR(INDEX(cal_Season,MATCH($B29,cal_Key,0)),""))</f>
        <v/>
      </c>
      <c r="Y29" s="94">
        <f>IF($B29="","",IFERROR(INDEX(cal_Key,MATCH(INDEX(cal_Serial,MATCH($B29,cal_Key,0))+p_Due,cal_Serial,0)),""))</f>
        <v/>
      </c>
      <c r="Z29" s="95">
        <f>IF($B29="","",IF(OR($I29="پرداخت‌شده",$I29="ابطال"),"—",IFERROR(IF(INDEX(cal_Serial,MATCH($B29,cal_Key,0))+p_Due&lt;TODAY(),"بله","خیر"),"تاریخ نامعتبر")))</f>
        <v/>
      </c>
    </row>
    <row r="30" ht="20" customHeight="1">
      <c r="B30" s="86" t="n"/>
      <c r="C30" s="87" t="n"/>
      <c r="D30" s="87" t="n"/>
      <c r="E30" s="87" t="n"/>
      <c r="F30" s="88" t="n"/>
      <c r="G30" s="89" t="n"/>
      <c r="H30" s="90" t="n"/>
      <c r="I30" s="86" t="n"/>
      <c r="J30" s="87" t="n"/>
      <c r="K30" s="91">
        <f>IF($F30="","",$F30*IF($G30="",1,$G30))</f>
        <v/>
      </c>
      <c r="L30" s="92">
        <f>IFERROR(IF($D30="","",INDEX(t_Svc_Rate,MATCH($D30,lst_Service,0))),"")</f>
        <v/>
      </c>
      <c r="M30" s="92">
        <f>IF($L30="","",$L30*IF(p_TierMode="پلکانی",LOOKUP($K30,t_Tier_From,t_Tier_Rate),1))</f>
        <v/>
      </c>
      <c r="N30" s="91">
        <f>IF($K30="","",$K30*$M30)</f>
        <v/>
      </c>
      <c r="O30" s="91">
        <f>IF($N30="","",IF($I30="ابطال",0,MAX(p_Min,MIN(p_Max,$N30))))</f>
        <v/>
      </c>
      <c r="P30" s="91">
        <f>IF($O30="","",ROUND($O30*p_Tax,0))</f>
        <v/>
      </c>
      <c r="Q30" s="91">
        <f>IF($O30="","",$O30+$P30)</f>
        <v/>
      </c>
      <c r="R30" s="92">
        <f>IF($A30="","",IF($H30&lt;&gt;"",$H30,IFERROR(INDEX(t_Member_Share,MATCH($C30,t_Members,0)),p_DefaultShare)))</f>
        <v/>
      </c>
      <c r="S30" s="91">
        <f>IF(OR($Q30="",$R30=""),"",ROUND($Q30*$R30,0))</f>
        <v/>
      </c>
      <c r="T30" s="91">
        <f>IF(OR($Q30="",$S30=""),"",$Q30-$S30)</f>
        <v/>
      </c>
      <c r="U30" s="93">
        <f>IF($B30="","",IFERROR(INDEX(cal_JYear,MATCH($B30,cal_Key,0)),""))</f>
        <v/>
      </c>
      <c r="V30" s="93">
        <f>IF($B30="","",IFERROR(INDEX(cal_JMonth,MATCH($B30,cal_Key,0)),""))</f>
        <v/>
      </c>
      <c r="W30" s="94">
        <f>IF($B30="","",IFERROR(INDEX(cal_YM,MATCH($B30,cal_Key,0)),""))</f>
        <v/>
      </c>
      <c r="X30" s="94">
        <f>IF($B30="","",IFERROR(INDEX(cal_Season,MATCH($B30,cal_Key,0)),""))</f>
        <v/>
      </c>
      <c r="Y30" s="94">
        <f>IF($B30="","",IFERROR(INDEX(cal_Key,MATCH(INDEX(cal_Serial,MATCH($B30,cal_Key,0))+p_Due,cal_Serial,0)),""))</f>
        <v/>
      </c>
      <c r="Z30" s="95">
        <f>IF($B30="","",IF(OR($I30="پرداخت‌شده",$I30="ابطال"),"—",IFERROR(IF(INDEX(cal_Serial,MATCH($B30,cal_Key,0))+p_Due&lt;TODAY(),"بله","خیر"),"تاریخ نامعتبر")))</f>
        <v/>
      </c>
    </row>
    <row r="31" ht="20" customHeight="1">
      <c r="B31" s="86" t="n"/>
      <c r="C31" s="87" t="n"/>
      <c r="D31" s="87" t="n"/>
      <c r="E31" s="87" t="n"/>
      <c r="F31" s="88" t="n"/>
      <c r="G31" s="89" t="n"/>
      <c r="H31" s="90" t="n"/>
      <c r="I31" s="86" t="n"/>
      <c r="J31" s="87" t="n"/>
      <c r="K31" s="91">
        <f>IF($F31="","",$F31*IF($G31="",1,$G31))</f>
        <v/>
      </c>
      <c r="L31" s="92">
        <f>IFERROR(IF($D31="","",INDEX(t_Svc_Rate,MATCH($D31,lst_Service,0))),"")</f>
        <v/>
      </c>
      <c r="M31" s="92">
        <f>IF($L31="","",$L31*IF(p_TierMode="پلکانی",LOOKUP($K31,t_Tier_From,t_Tier_Rate),1))</f>
        <v/>
      </c>
      <c r="N31" s="91">
        <f>IF($K31="","",$K31*$M31)</f>
        <v/>
      </c>
      <c r="O31" s="91">
        <f>IF($N31="","",IF($I31="ابطال",0,MAX(p_Min,MIN(p_Max,$N31))))</f>
        <v/>
      </c>
      <c r="P31" s="91">
        <f>IF($O31="","",ROUND($O31*p_Tax,0))</f>
        <v/>
      </c>
      <c r="Q31" s="91">
        <f>IF($O31="","",$O31+$P31)</f>
        <v/>
      </c>
      <c r="R31" s="92">
        <f>IF($A31="","",IF($H31&lt;&gt;"",$H31,IFERROR(INDEX(t_Member_Share,MATCH($C31,t_Members,0)),p_DefaultShare)))</f>
        <v/>
      </c>
      <c r="S31" s="91">
        <f>IF(OR($Q31="",$R31=""),"",ROUND($Q31*$R31,0))</f>
        <v/>
      </c>
      <c r="T31" s="91">
        <f>IF(OR($Q31="",$S31=""),"",$Q31-$S31)</f>
        <v/>
      </c>
      <c r="U31" s="93">
        <f>IF($B31="","",IFERROR(INDEX(cal_JYear,MATCH($B31,cal_Key,0)),""))</f>
        <v/>
      </c>
      <c r="V31" s="93">
        <f>IF($B31="","",IFERROR(INDEX(cal_JMonth,MATCH($B31,cal_Key,0)),""))</f>
        <v/>
      </c>
      <c r="W31" s="94">
        <f>IF($B31="","",IFERROR(INDEX(cal_YM,MATCH($B31,cal_Key,0)),""))</f>
        <v/>
      </c>
      <c r="X31" s="94">
        <f>IF($B31="","",IFERROR(INDEX(cal_Season,MATCH($B31,cal_Key,0)),""))</f>
        <v/>
      </c>
      <c r="Y31" s="94">
        <f>IF($B31="","",IFERROR(INDEX(cal_Key,MATCH(INDEX(cal_Serial,MATCH($B31,cal_Key,0))+p_Due,cal_Serial,0)),""))</f>
        <v/>
      </c>
      <c r="Z31" s="95">
        <f>IF($B31="","",IF(OR($I31="پرداخت‌شده",$I31="ابطال"),"—",IFERROR(IF(INDEX(cal_Serial,MATCH($B31,cal_Key,0))+p_Due&lt;TODAY(),"بله","خیر"),"تاریخ نامعتبر")))</f>
        <v/>
      </c>
    </row>
    <row r="32" ht="20" customHeight="1">
      <c r="B32" s="86" t="n"/>
      <c r="C32" s="87" t="n"/>
      <c r="D32" s="87" t="n"/>
      <c r="E32" s="87" t="n"/>
      <c r="F32" s="88" t="n"/>
      <c r="G32" s="89" t="n"/>
      <c r="H32" s="90" t="n"/>
      <c r="I32" s="86" t="n"/>
      <c r="J32" s="87" t="n"/>
      <c r="K32" s="91">
        <f>IF($F32="","",$F32*IF($G32="",1,$G32))</f>
        <v/>
      </c>
      <c r="L32" s="92">
        <f>IFERROR(IF($D32="","",INDEX(t_Svc_Rate,MATCH($D32,lst_Service,0))),"")</f>
        <v/>
      </c>
      <c r="M32" s="92">
        <f>IF($L32="","",$L32*IF(p_TierMode="پلکانی",LOOKUP($K32,t_Tier_From,t_Tier_Rate),1))</f>
        <v/>
      </c>
      <c r="N32" s="91">
        <f>IF($K32="","",$K32*$M32)</f>
        <v/>
      </c>
      <c r="O32" s="91">
        <f>IF($N32="","",IF($I32="ابطال",0,MAX(p_Min,MIN(p_Max,$N32))))</f>
        <v/>
      </c>
      <c r="P32" s="91">
        <f>IF($O32="","",ROUND($O32*p_Tax,0))</f>
        <v/>
      </c>
      <c r="Q32" s="91">
        <f>IF($O32="","",$O32+$P32)</f>
        <v/>
      </c>
      <c r="R32" s="92">
        <f>IF($A32="","",IF($H32&lt;&gt;"",$H32,IFERROR(INDEX(t_Member_Share,MATCH($C32,t_Members,0)),p_DefaultShare)))</f>
        <v/>
      </c>
      <c r="S32" s="91">
        <f>IF(OR($Q32="",$R32=""),"",ROUND($Q32*$R32,0))</f>
        <v/>
      </c>
      <c r="T32" s="91">
        <f>IF(OR($Q32="",$S32=""),"",$Q32-$S32)</f>
        <v/>
      </c>
      <c r="U32" s="93">
        <f>IF($B32="","",IFERROR(INDEX(cal_JYear,MATCH($B32,cal_Key,0)),""))</f>
        <v/>
      </c>
      <c r="V32" s="93">
        <f>IF($B32="","",IFERROR(INDEX(cal_JMonth,MATCH($B32,cal_Key,0)),""))</f>
        <v/>
      </c>
      <c r="W32" s="94">
        <f>IF($B32="","",IFERROR(INDEX(cal_YM,MATCH($B32,cal_Key,0)),""))</f>
        <v/>
      </c>
      <c r="X32" s="94">
        <f>IF($B32="","",IFERROR(INDEX(cal_Season,MATCH($B32,cal_Key,0)),""))</f>
        <v/>
      </c>
      <c r="Y32" s="94">
        <f>IF($B32="","",IFERROR(INDEX(cal_Key,MATCH(INDEX(cal_Serial,MATCH($B32,cal_Key,0))+p_Due,cal_Serial,0)),""))</f>
        <v/>
      </c>
      <c r="Z32" s="95">
        <f>IF($B32="","",IF(OR($I32="پرداخت‌شده",$I32="ابطال"),"—",IFERROR(IF(INDEX(cal_Serial,MATCH($B32,cal_Key,0))+p_Due&lt;TODAY(),"بله","خیر"),"تاریخ نامعتبر")))</f>
        <v/>
      </c>
    </row>
    <row r="33" ht="20" customHeight="1">
      <c r="B33" s="86" t="n"/>
      <c r="C33" s="87" t="n"/>
      <c r="D33" s="87" t="n"/>
      <c r="E33" s="87" t="n"/>
      <c r="F33" s="88" t="n"/>
      <c r="G33" s="89" t="n"/>
      <c r="H33" s="90" t="n"/>
      <c r="I33" s="86" t="n"/>
      <c r="J33" s="87" t="n"/>
      <c r="K33" s="91">
        <f>IF($F33="","",$F33*IF($G33="",1,$G33))</f>
        <v/>
      </c>
      <c r="L33" s="92">
        <f>IFERROR(IF($D33="","",INDEX(t_Svc_Rate,MATCH($D33,lst_Service,0))),"")</f>
        <v/>
      </c>
      <c r="M33" s="92">
        <f>IF($L33="","",$L33*IF(p_TierMode="پلکانی",LOOKUP($K33,t_Tier_From,t_Tier_Rate),1))</f>
        <v/>
      </c>
      <c r="N33" s="91">
        <f>IF($K33="","",$K33*$M33)</f>
        <v/>
      </c>
      <c r="O33" s="91">
        <f>IF($N33="","",IF($I33="ابطال",0,MAX(p_Min,MIN(p_Max,$N33))))</f>
        <v/>
      </c>
      <c r="P33" s="91">
        <f>IF($O33="","",ROUND($O33*p_Tax,0))</f>
        <v/>
      </c>
      <c r="Q33" s="91">
        <f>IF($O33="","",$O33+$P33)</f>
        <v/>
      </c>
      <c r="R33" s="92">
        <f>IF($A33="","",IF($H33&lt;&gt;"",$H33,IFERROR(INDEX(t_Member_Share,MATCH($C33,t_Members,0)),p_DefaultShare)))</f>
        <v/>
      </c>
      <c r="S33" s="91">
        <f>IF(OR($Q33="",$R33=""),"",ROUND($Q33*$R33,0))</f>
        <v/>
      </c>
      <c r="T33" s="91">
        <f>IF(OR($Q33="",$S33=""),"",$Q33-$S33)</f>
        <v/>
      </c>
      <c r="U33" s="93">
        <f>IF($B33="","",IFERROR(INDEX(cal_JYear,MATCH($B33,cal_Key,0)),""))</f>
        <v/>
      </c>
      <c r="V33" s="93">
        <f>IF($B33="","",IFERROR(INDEX(cal_JMonth,MATCH($B33,cal_Key,0)),""))</f>
        <v/>
      </c>
      <c r="W33" s="94">
        <f>IF($B33="","",IFERROR(INDEX(cal_YM,MATCH($B33,cal_Key,0)),""))</f>
        <v/>
      </c>
      <c r="X33" s="94">
        <f>IF($B33="","",IFERROR(INDEX(cal_Season,MATCH($B33,cal_Key,0)),""))</f>
        <v/>
      </c>
      <c r="Y33" s="94">
        <f>IF($B33="","",IFERROR(INDEX(cal_Key,MATCH(INDEX(cal_Serial,MATCH($B33,cal_Key,0))+p_Due,cal_Serial,0)),""))</f>
        <v/>
      </c>
      <c r="Z33" s="95">
        <f>IF($B33="","",IF(OR($I33="پرداخت‌شده",$I33="ابطال"),"—",IFERROR(IF(INDEX(cal_Serial,MATCH($B33,cal_Key,0))+p_Due&lt;TODAY(),"بله","خیر"),"تاریخ نامعتبر")))</f>
        <v/>
      </c>
    </row>
    <row r="34" ht="20" customHeight="1">
      <c r="B34" s="86" t="n"/>
      <c r="C34" s="87" t="n"/>
      <c r="D34" s="87" t="n"/>
      <c r="E34" s="87" t="n"/>
      <c r="F34" s="88" t="n"/>
      <c r="G34" s="89" t="n"/>
      <c r="H34" s="90" t="n"/>
      <c r="I34" s="86" t="n"/>
      <c r="J34" s="87" t="n"/>
      <c r="K34" s="91">
        <f>IF($F34="","",$F34*IF($G34="",1,$G34))</f>
        <v/>
      </c>
      <c r="L34" s="92">
        <f>IFERROR(IF($D34="","",INDEX(t_Svc_Rate,MATCH($D34,lst_Service,0))),"")</f>
        <v/>
      </c>
      <c r="M34" s="92">
        <f>IF($L34="","",$L34*IF(p_TierMode="پلکانی",LOOKUP($K34,t_Tier_From,t_Tier_Rate),1))</f>
        <v/>
      </c>
      <c r="N34" s="91">
        <f>IF($K34="","",$K34*$M34)</f>
        <v/>
      </c>
      <c r="O34" s="91">
        <f>IF($N34="","",IF($I34="ابطال",0,MAX(p_Min,MIN(p_Max,$N34))))</f>
        <v/>
      </c>
      <c r="P34" s="91">
        <f>IF($O34="","",ROUND($O34*p_Tax,0))</f>
        <v/>
      </c>
      <c r="Q34" s="91">
        <f>IF($O34="","",$O34+$P34)</f>
        <v/>
      </c>
      <c r="R34" s="92">
        <f>IF($A34="","",IF($H34&lt;&gt;"",$H34,IFERROR(INDEX(t_Member_Share,MATCH($C34,t_Members,0)),p_DefaultShare)))</f>
        <v/>
      </c>
      <c r="S34" s="91">
        <f>IF(OR($Q34="",$R34=""),"",ROUND($Q34*$R34,0))</f>
        <v/>
      </c>
      <c r="T34" s="91">
        <f>IF(OR($Q34="",$S34=""),"",$Q34-$S34)</f>
        <v/>
      </c>
      <c r="U34" s="93">
        <f>IF($B34="","",IFERROR(INDEX(cal_JYear,MATCH($B34,cal_Key,0)),""))</f>
        <v/>
      </c>
      <c r="V34" s="93">
        <f>IF($B34="","",IFERROR(INDEX(cal_JMonth,MATCH($B34,cal_Key,0)),""))</f>
        <v/>
      </c>
      <c r="W34" s="94">
        <f>IF($B34="","",IFERROR(INDEX(cal_YM,MATCH($B34,cal_Key,0)),""))</f>
        <v/>
      </c>
      <c r="X34" s="94">
        <f>IF($B34="","",IFERROR(INDEX(cal_Season,MATCH($B34,cal_Key,0)),""))</f>
        <v/>
      </c>
      <c r="Y34" s="94">
        <f>IF($B34="","",IFERROR(INDEX(cal_Key,MATCH(INDEX(cal_Serial,MATCH($B34,cal_Key,0))+p_Due,cal_Serial,0)),""))</f>
        <v/>
      </c>
      <c r="Z34" s="95">
        <f>IF($B34="","",IF(OR($I34="پرداخت‌شده",$I34="ابطال"),"—",IFERROR(IF(INDEX(cal_Serial,MATCH($B34,cal_Key,0))+p_Due&lt;TODAY(),"بله","خیر"),"تاریخ نامعتبر")))</f>
        <v/>
      </c>
    </row>
    <row r="35" ht="20" customHeight="1">
      <c r="B35" s="86" t="n"/>
      <c r="C35" s="87" t="n"/>
      <c r="D35" s="87" t="n"/>
      <c r="E35" s="87" t="n"/>
      <c r="F35" s="88" t="n"/>
      <c r="G35" s="89" t="n"/>
      <c r="H35" s="90" t="n"/>
      <c r="I35" s="86" t="n"/>
      <c r="J35" s="87" t="n"/>
      <c r="K35" s="91">
        <f>IF($F35="","",$F35*IF($G35="",1,$G35))</f>
        <v/>
      </c>
      <c r="L35" s="92">
        <f>IFERROR(IF($D35="","",INDEX(t_Svc_Rate,MATCH($D35,lst_Service,0))),"")</f>
        <v/>
      </c>
      <c r="M35" s="92">
        <f>IF($L35="","",$L35*IF(p_TierMode="پلکانی",LOOKUP($K35,t_Tier_From,t_Tier_Rate),1))</f>
        <v/>
      </c>
      <c r="N35" s="91">
        <f>IF($K35="","",$K35*$M35)</f>
        <v/>
      </c>
      <c r="O35" s="91">
        <f>IF($N35="","",IF($I35="ابطال",0,MAX(p_Min,MIN(p_Max,$N35))))</f>
        <v/>
      </c>
      <c r="P35" s="91">
        <f>IF($O35="","",ROUND($O35*p_Tax,0))</f>
        <v/>
      </c>
      <c r="Q35" s="91">
        <f>IF($O35="","",$O35+$P35)</f>
        <v/>
      </c>
      <c r="R35" s="92">
        <f>IF($A35="","",IF($H35&lt;&gt;"",$H35,IFERROR(INDEX(t_Member_Share,MATCH($C35,t_Members,0)),p_DefaultShare)))</f>
        <v/>
      </c>
      <c r="S35" s="91">
        <f>IF(OR($Q35="",$R35=""),"",ROUND($Q35*$R35,0))</f>
        <v/>
      </c>
      <c r="T35" s="91">
        <f>IF(OR($Q35="",$S35=""),"",$Q35-$S35)</f>
        <v/>
      </c>
      <c r="U35" s="93">
        <f>IF($B35="","",IFERROR(INDEX(cal_JYear,MATCH($B35,cal_Key,0)),""))</f>
        <v/>
      </c>
      <c r="V35" s="93">
        <f>IF($B35="","",IFERROR(INDEX(cal_JMonth,MATCH($B35,cal_Key,0)),""))</f>
        <v/>
      </c>
      <c r="W35" s="94">
        <f>IF($B35="","",IFERROR(INDEX(cal_YM,MATCH($B35,cal_Key,0)),""))</f>
        <v/>
      </c>
      <c r="X35" s="94">
        <f>IF($B35="","",IFERROR(INDEX(cal_Season,MATCH($B35,cal_Key,0)),""))</f>
        <v/>
      </c>
      <c r="Y35" s="94">
        <f>IF($B35="","",IFERROR(INDEX(cal_Key,MATCH(INDEX(cal_Serial,MATCH($B35,cal_Key,0))+p_Due,cal_Serial,0)),""))</f>
        <v/>
      </c>
      <c r="Z35" s="95">
        <f>IF($B35="","",IF(OR($I35="پرداخت‌شده",$I35="ابطال"),"—",IFERROR(IF(INDEX(cal_Serial,MATCH($B35,cal_Key,0))+p_Due&lt;TODAY(),"بله","خیر"),"تاریخ نامعتبر")))</f>
        <v/>
      </c>
    </row>
    <row r="36" ht="20" customHeight="1">
      <c r="B36" s="86" t="n"/>
      <c r="C36" s="87" t="n"/>
      <c r="D36" s="87" t="n"/>
      <c r="E36" s="87" t="n"/>
      <c r="F36" s="88" t="n"/>
      <c r="G36" s="89" t="n"/>
      <c r="H36" s="90" t="n"/>
      <c r="I36" s="86" t="n"/>
      <c r="J36" s="87" t="n"/>
      <c r="K36" s="91">
        <f>IF($F36="","",$F36*IF($G36="",1,$G36))</f>
        <v/>
      </c>
      <c r="L36" s="92">
        <f>IFERROR(IF($D36="","",INDEX(t_Svc_Rate,MATCH($D36,lst_Service,0))),"")</f>
        <v/>
      </c>
      <c r="M36" s="92">
        <f>IF($L36="","",$L36*IF(p_TierMode="پلکانی",LOOKUP($K36,t_Tier_From,t_Tier_Rate),1))</f>
        <v/>
      </c>
      <c r="N36" s="91">
        <f>IF($K36="","",$K36*$M36)</f>
        <v/>
      </c>
      <c r="O36" s="91">
        <f>IF($N36="","",IF($I36="ابطال",0,MAX(p_Min,MIN(p_Max,$N36))))</f>
        <v/>
      </c>
      <c r="P36" s="91">
        <f>IF($O36="","",ROUND($O36*p_Tax,0))</f>
        <v/>
      </c>
      <c r="Q36" s="91">
        <f>IF($O36="","",$O36+$P36)</f>
        <v/>
      </c>
      <c r="R36" s="92">
        <f>IF($A36="","",IF($H36&lt;&gt;"",$H36,IFERROR(INDEX(t_Member_Share,MATCH($C36,t_Members,0)),p_DefaultShare)))</f>
        <v/>
      </c>
      <c r="S36" s="91">
        <f>IF(OR($Q36="",$R36=""),"",ROUND($Q36*$R36,0))</f>
        <v/>
      </c>
      <c r="T36" s="91">
        <f>IF(OR($Q36="",$S36=""),"",$Q36-$S36)</f>
        <v/>
      </c>
      <c r="U36" s="93">
        <f>IF($B36="","",IFERROR(INDEX(cal_JYear,MATCH($B36,cal_Key,0)),""))</f>
        <v/>
      </c>
      <c r="V36" s="93">
        <f>IF($B36="","",IFERROR(INDEX(cal_JMonth,MATCH($B36,cal_Key,0)),""))</f>
        <v/>
      </c>
      <c r="W36" s="94">
        <f>IF($B36="","",IFERROR(INDEX(cal_YM,MATCH($B36,cal_Key,0)),""))</f>
        <v/>
      </c>
      <c r="X36" s="94">
        <f>IF($B36="","",IFERROR(INDEX(cal_Season,MATCH($B36,cal_Key,0)),""))</f>
        <v/>
      </c>
      <c r="Y36" s="94">
        <f>IF($B36="","",IFERROR(INDEX(cal_Key,MATCH(INDEX(cal_Serial,MATCH($B36,cal_Key,0))+p_Due,cal_Serial,0)),""))</f>
        <v/>
      </c>
      <c r="Z36" s="95">
        <f>IF($B36="","",IF(OR($I36="پرداخت‌شده",$I36="ابطال"),"—",IFERROR(IF(INDEX(cal_Serial,MATCH($B36,cal_Key,0))+p_Due&lt;TODAY(),"بله","خیر"),"تاریخ نامعتبر")))</f>
        <v/>
      </c>
    </row>
    <row r="37" ht="20" customHeight="1">
      <c r="B37" s="86" t="n"/>
      <c r="C37" s="87" t="n"/>
      <c r="D37" s="87" t="n"/>
      <c r="E37" s="87" t="n"/>
      <c r="F37" s="88" t="n"/>
      <c r="G37" s="89" t="n"/>
      <c r="H37" s="90" t="n"/>
      <c r="I37" s="86" t="n"/>
      <c r="J37" s="87" t="n"/>
      <c r="K37" s="91">
        <f>IF($F37="","",$F37*IF($G37="",1,$G37))</f>
        <v/>
      </c>
      <c r="L37" s="92">
        <f>IFERROR(IF($D37="","",INDEX(t_Svc_Rate,MATCH($D37,lst_Service,0))),"")</f>
        <v/>
      </c>
      <c r="M37" s="92">
        <f>IF($L37="","",$L37*IF(p_TierMode="پلکانی",LOOKUP($K37,t_Tier_From,t_Tier_Rate),1))</f>
        <v/>
      </c>
      <c r="N37" s="91">
        <f>IF($K37="","",$K37*$M37)</f>
        <v/>
      </c>
      <c r="O37" s="91">
        <f>IF($N37="","",IF($I37="ابطال",0,MAX(p_Min,MIN(p_Max,$N37))))</f>
        <v/>
      </c>
      <c r="P37" s="91">
        <f>IF($O37="","",ROUND($O37*p_Tax,0))</f>
        <v/>
      </c>
      <c r="Q37" s="91">
        <f>IF($O37="","",$O37+$P37)</f>
        <v/>
      </c>
      <c r="R37" s="92">
        <f>IF($A37="","",IF($H37&lt;&gt;"",$H37,IFERROR(INDEX(t_Member_Share,MATCH($C37,t_Members,0)),p_DefaultShare)))</f>
        <v/>
      </c>
      <c r="S37" s="91">
        <f>IF(OR($Q37="",$R37=""),"",ROUND($Q37*$R37,0))</f>
        <v/>
      </c>
      <c r="T37" s="91">
        <f>IF(OR($Q37="",$S37=""),"",$Q37-$S37)</f>
        <v/>
      </c>
      <c r="U37" s="93">
        <f>IF($B37="","",IFERROR(INDEX(cal_JYear,MATCH($B37,cal_Key,0)),""))</f>
        <v/>
      </c>
      <c r="V37" s="93">
        <f>IF($B37="","",IFERROR(INDEX(cal_JMonth,MATCH($B37,cal_Key,0)),""))</f>
        <v/>
      </c>
      <c r="W37" s="94">
        <f>IF($B37="","",IFERROR(INDEX(cal_YM,MATCH($B37,cal_Key,0)),""))</f>
        <v/>
      </c>
      <c r="X37" s="94">
        <f>IF($B37="","",IFERROR(INDEX(cal_Season,MATCH($B37,cal_Key,0)),""))</f>
        <v/>
      </c>
      <c r="Y37" s="94">
        <f>IF($B37="","",IFERROR(INDEX(cal_Key,MATCH(INDEX(cal_Serial,MATCH($B37,cal_Key,0))+p_Due,cal_Serial,0)),""))</f>
        <v/>
      </c>
      <c r="Z37" s="95">
        <f>IF($B37="","",IF(OR($I37="پرداخت‌شده",$I37="ابطال"),"—",IFERROR(IF(INDEX(cal_Serial,MATCH($B37,cal_Key,0))+p_Due&lt;TODAY(),"بله","خیر"),"تاریخ نامعتبر")))</f>
        <v/>
      </c>
    </row>
    <row r="38" ht="20" customHeight="1">
      <c r="B38" s="86" t="n"/>
      <c r="C38" s="87" t="n"/>
      <c r="D38" s="87" t="n"/>
      <c r="E38" s="87" t="n"/>
      <c r="F38" s="88" t="n"/>
      <c r="G38" s="89" t="n"/>
      <c r="H38" s="90" t="n"/>
      <c r="I38" s="86" t="n"/>
      <c r="J38" s="87" t="n"/>
      <c r="K38" s="91">
        <f>IF($F38="","",$F38*IF($G38="",1,$G38))</f>
        <v/>
      </c>
      <c r="L38" s="92">
        <f>IFERROR(IF($D38="","",INDEX(t_Svc_Rate,MATCH($D38,lst_Service,0))),"")</f>
        <v/>
      </c>
      <c r="M38" s="92">
        <f>IF($L38="","",$L38*IF(p_TierMode="پلکانی",LOOKUP($K38,t_Tier_From,t_Tier_Rate),1))</f>
        <v/>
      </c>
      <c r="N38" s="91">
        <f>IF($K38="","",$K38*$M38)</f>
        <v/>
      </c>
      <c r="O38" s="91">
        <f>IF($N38="","",IF($I38="ابطال",0,MAX(p_Min,MIN(p_Max,$N38))))</f>
        <v/>
      </c>
      <c r="P38" s="91">
        <f>IF($O38="","",ROUND($O38*p_Tax,0))</f>
        <v/>
      </c>
      <c r="Q38" s="91">
        <f>IF($O38="","",$O38+$P38)</f>
        <v/>
      </c>
      <c r="R38" s="92">
        <f>IF($A38="","",IF($H38&lt;&gt;"",$H38,IFERROR(INDEX(t_Member_Share,MATCH($C38,t_Members,0)),p_DefaultShare)))</f>
        <v/>
      </c>
      <c r="S38" s="91">
        <f>IF(OR($Q38="",$R38=""),"",ROUND($Q38*$R38,0))</f>
        <v/>
      </c>
      <c r="T38" s="91">
        <f>IF(OR($Q38="",$S38=""),"",$Q38-$S38)</f>
        <v/>
      </c>
      <c r="U38" s="93">
        <f>IF($B38="","",IFERROR(INDEX(cal_JYear,MATCH($B38,cal_Key,0)),""))</f>
        <v/>
      </c>
      <c r="V38" s="93">
        <f>IF($B38="","",IFERROR(INDEX(cal_JMonth,MATCH($B38,cal_Key,0)),""))</f>
        <v/>
      </c>
      <c r="W38" s="94">
        <f>IF($B38="","",IFERROR(INDEX(cal_YM,MATCH($B38,cal_Key,0)),""))</f>
        <v/>
      </c>
      <c r="X38" s="94">
        <f>IF($B38="","",IFERROR(INDEX(cal_Season,MATCH($B38,cal_Key,0)),""))</f>
        <v/>
      </c>
      <c r="Y38" s="94">
        <f>IF($B38="","",IFERROR(INDEX(cal_Key,MATCH(INDEX(cal_Serial,MATCH($B38,cal_Key,0))+p_Due,cal_Serial,0)),""))</f>
        <v/>
      </c>
      <c r="Z38" s="95">
        <f>IF($B38="","",IF(OR($I38="پرداخت‌شده",$I38="ابطال"),"—",IFERROR(IF(INDEX(cal_Serial,MATCH($B38,cal_Key,0))+p_Due&lt;TODAY(),"بله","خیر"),"تاریخ نامعتبر")))</f>
        <v/>
      </c>
    </row>
    <row r="39" ht="20" customHeight="1">
      <c r="B39" s="86" t="n"/>
      <c r="C39" s="87" t="n"/>
      <c r="D39" s="87" t="n"/>
      <c r="E39" s="87" t="n"/>
      <c r="F39" s="88" t="n"/>
      <c r="G39" s="89" t="n"/>
      <c r="H39" s="90" t="n"/>
      <c r="I39" s="86" t="n"/>
      <c r="J39" s="87" t="n"/>
      <c r="K39" s="91">
        <f>IF($F39="","",$F39*IF($G39="",1,$G39))</f>
        <v/>
      </c>
      <c r="L39" s="92">
        <f>IFERROR(IF($D39="","",INDEX(t_Svc_Rate,MATCH($D39,lst_Service,0))),"")</f>
        <v/>
      </c>
      <c r="M39" s="92">
        <f>IF($L39="","",$L39*IF(p_TierMode="پلکانی",LOOKUP($K39,t_Tier_From,t_Tier_Rate),1))</f>
        <v/>
      </c>
      <c r="N39" s="91">
        <f>IF($K39="","",$K39*$M39)</f>
        <v/>
      </c>
      <c r="O39" s="91">
        <f>IF($N39="","",IF($I39="ابطال",0,MAX(p_Min,MIN(p_Max,$N39))))</f>
        <v/>
      </c>
      <c r="P39" s="91">
        <f>IF($O39="","",ROUND($O39*p_Tax,0))</f>
        <v/>
      </c>
      <c r="Q39" s="91">
        <f>IF($O39="","",$O39+$P39)</f>
        <v/>
      </c>
      <c r="R39" s="92">
        <f>IF($A39="","",IF($H39&lt;&gt;"",$H39,IFERROR(INDEX(t_Member_Share,MATCH($C39,t_Members,0)),p_DefaultShare)))</f>
        <v/>
      </c>
      <c r="S39" s="91">
        <f>IF(OR($Q39="",$R39=""),"",ROUND($Q39*$R39,0))</f>
        <v/>
      </c>
      <c r="T39" s="91">
        <f>IF(OR($Q39="",$S39=""),"",$Q39-$S39)</f>
        <v/>
      </c>
      <c r="U39" s="93">
        <f>IF($B39="","",IFERROR(INDEX(cal_JYear,MATCH($B39,cal_Key,0)),""))</f>
        <v/>
      </c>
      <c r="V39" s="93">
        <f>IF($B39="","",IFERROR(INDEX(cal_JMonth,MATCH($B39,cal_Key,0)),""))</f>
        <v/>
      </c>
      <c r="W39" s="94">
        <f>IF($B39="","",IFERROR(INDEX(cal_YM,MATCH($B39,cal_Key,0)),""))</f>
        <v/>
      </c>
      <c r="X39" s="94">
        <f>IF($B39="","",IFERROR(INDEX(cal_Season,MATCH($B39,cal_Key,0)),""))</f>
        <v/>
      </c>
      <c r="Y39" s="94">
        <f>IF($B39="","",IFERROR(INDEX(cal_Key,MATCH(INDEX(cal_Serial,MATCH($B39,cal_Key,0))+p_Due,cal_Serial,0)),""))</f>
        <v/>
      </c>
      <c r="Z39" s="95">
        <f>IF($B39="","",IF(OR($I39="پرداخت‌شده",$I39="ابطال"),"—",IFERROR(IF(INDEX(cal_Serial,MATCH($B39,cal_Key,0))+p_Due&lt;TODAY(),"بله","خیر"),"تاریخ نامعتبر")))</f>
        <v/>
      </c>
    </row>
    <row r="40" ht="20" customHeight="1">
      <c r="B40" s="86" t="n"/>
      <c r="C40" s="87" t="n"/>
      <c r="D40" s="87" t="n"/>
      <c r="E40" s="87" t="n"/>
      <c r="F40" s="88" t="n"/>
      <c r="G40" s="89" t="n"/>
      <c r="H40" s="90" t="n"/>
      <c r="I40" s="86" t="n"/>
      <c r="J40" s="87" t="n"/>
      <c r="K40" s="91">
        <f>IF($F40="","",$F40*IF($G40="",1,$G40))</f>
        <v/>
      </c>
      <c r="L40" s="92">
        <f>IFERROR(IF($D40="","",INDEX(t_Svc_Rate,MATCH($D40,lst_Service,0))),"")</f>
        <v/>
      </c>
      <c r="M40" s="92">
        <f>IF($L40="","",$L40*IF(p_TierMode="پلکانی",LOOKUP($K40,t_Tier_From,t_Tier_Rate),1))</f>
        <v/>
      </c>
      <c r="N40" s="91">
        <f>IF($K40="","",$K40*$M40)</f>
        <v/>
      </c>
      <c r="O40" s="91">
        <f>IF($N40="","",IF($I40="ابطال",0,MAX(p_Min,MIN(p_Max,$N40))))</f>
        <v/>
      </c>
      <c r="P40" s="91">
        <f>IF($O40="","",ROUND($O40*p_Tax,0))</f>
        <v/>
      </c>
      <c r="Q40" s="91">
        <f>IF($O40="","",$O40+$P40)</f>
        <v/>
      </c>
      <c r="R40" s="92">
        <f>IF($A40="","",IF($H40&lt;&gt;"",$H40,IFERROR(INDEX(t_Member_Share,MATCH($C40,t_Members,0)),p_DefaultShare)))</f>
        <v/>
      </c>
      <c r="S40" s="91">
        <f>IF(OR($Q40="",$R40=""),"",ROUND($Q40*$R40,0))</f>
        <v/>
      </c>
      <c r="T40" s="91">
        <f>IF(OR($Q40="",$S40=""),"",$Q40-$S40)</f>
        <v/>
      </c>
      <c r="U40" s="93">
        <f>IF($B40="","",IFERROR(INDEX(cal_JYear,MATCH($B40,cal_Key,0)),""))</f>
        <v/>
      </c>
      <c r="V40" s="93">
        <f>IF($B40="","",IFERROR(INDEX(cal_JMonth,MATCH($B40,cal_Key,0)),""))</f>
        <v/>
      </c>
      <c r="W40" s="94">
        <f>IF($B40="","",IFERROR(INDEX(cal_YM,MATCH($B40,cal_Key,0)),""))</f>
        <v/>
      </c>
      <c r="X40" s="94">
        <f>IF($B40="","",IFERROR(INDEX(cal_Season,MATCH($B40,cal_Key,0)),""))</f>
        <v/>
      </c>
      <c r="Y40" s="94">
        <f>IF($B40="","",IFERROR(INDEX(cal_Key,MATCH(INDEX(cal_Serial,MATCH($B40,cal_Key,0))+p_Due,cal_Serial,0)),""))</f>
        <v/>
      </c>
      <c r="Z40" s="95">
        <f>IF($B40="","",IF(OR($I40="پرداخت‌شده",$I40="ابطال"),"—",IFERROR(IF(INDEX(cal_Serial,MATCH($B40,cal_Key,0))+p_Due&lt;TODAY(),"بله","خیر"),"تاریخ نامعتبر")))</f>
        <v/>
      </c>
    </row>
    <row r="41" ht="20" customHeight="1">
      <c r="B41" s="86" t="n"/>
      <c r="C41" s="87" t="n"/>
      <c r="D41" s="87" t="n"/>
      <c r="E41" s="87" t="n"/>
      <c r="F41" s="88" t="n"/>
      <c r="G41" s="89" t="n"/>
      <c r="H41" s="90" t="n"/>
      <c r="I41" s="86" t="n"/>
      <c r="J41" s="87" t="n"/>
      <c r="K41" s="91">
        <f>IF($F41="","",$F41*IF($G41="",1,$G41))</f>
        <v/>
      </c>
      <c r="L41" s="92">
        <f>IFERROR(IF($D41="","",INDEX(t_Svc_Rate,MATCH($D41,lst_Service,0))),"")</f>
        <v/>
      </c>
      <c r="M41" s="92">
        <f>IF($L41="","",$L41*IF(p_TierMode="پلکانی",LOOKUP($K41,t_Tier_From,t_Tier_Rate),1))</f>
        <v/>
      </c>
      <c r="N41" s="91">
        <f>IF($K41="","",$K41*$M41)</f>
        <v/>
      </c>
      <c r="O41" s="91">
        <f>IF($N41="","",IF($I41="ابطال",0,MAX(p_Min,MIN(p_Max,$N41))))</f>
        <v/>
      </c>
      <c r="P41" s="91">
        <f>IF($O41="","",ROUND($O41*p_Tax,0))</f>
        <v/>
      </c>
      <c r="Q41" s="91">
        <f>IF($O41="","",$O41+$P41)</f>
        <v/>
      </c>
      <c r="R41" s="92">
        <f>IF($A41="","",IF($H41&lt;&gt;"",$H41,IFERROR(INDEX(t_Member_Share,MATCH($C41,t_Members,0)),p_DefaultShare)))</f>
        <v/>
      </c>
      <c r="S41" s="91">
        <f>IF(OR($Q41="",$R41=""),"",ROUND($Q41*$R41,0))</f>
        <v/>
      </c>
      <c r="T41" s="91">
        <f>IF(OR($Q41="",$S41=""),"",$Q41-$S41)</f>
        <v/>
      </c>
      <c r="U41" s="93">
        <f>IF($B41="","",IFERROR(INDEX(cal_JYear,MATCH($B41,cal_Key,0)),""))</f>
        <v/>
      </c>
      <c r="V41" s="93">
        <f>IF($B41="","",IFERROR(INDEX(cal_JMonth,MATCH($B41,cal_Key,0)),""))</f>
        <v/>
      </c>
      <c r="W41" s="94">
        <f>IF($B41="","",IFERROR(INDEX(cal_YM,MATCH($B41,cal_Key,0)),""))</f>
        <v/>
      </c>
      <c r="X41" s="94">
        <f>IF($B41="","",IFERROR(INDEX(cal_Season,MATCH($B41,cal_Key,0)),""))</f>
        <v/>
      </c>
      <c r="Y41" s="94">
        <f>IF($B41="","",IFERROR(INDEX(cal_Key,MATCH(INDEX(cal_Serial,MATCH($B41,cal_Key,0))+p_Due,cal_Serial,0)),""))</f>
        <v/>
      </c>
      <c r="Z41" s="95">
        <f>IF($B41="","",IF(OR($I41="پرداخت‌شده",$I41="ابطال"),"—",IFERROR(IF(INDEX(cal_Serial,MATCH($B41,cal_Key,0))+p_Due&lt;TODAY(),"بله","خیر"),"تاریخ نامعتبر")))</f>
        <v/>
      </c>
    </row>
    <row r="42" ht="20" customHeight="1">
      <c r="B42" s="86" t="n"/>
      <c r="C42" s="87" t="n"/>
      <c r="D42" s="87" t="n"/>
      <c r="E42" s="87" t="n"/>
      <c r="F42" s="88" t="n"/>
      <c r="G42" s="89" t="n"/>
      <c r="H42" s="90" t="n"/>
      <c r="I42" s="86" t="n"/>
      <c r="J42" s="87" t="n"/>
      <c r="K42" s="91">
        <f>IF($F42="","",$F42*IF($G42="",1,$G42))</f>
        <v/>
      </c>
      <c r="L42" s="92">
        <f>IFERROR(IF($D42="","",INDEX(t_Svc_Rate,MATCH($D42,lst_Service,0))),"")</f>
        <v/>
      </c>
      <c r="M42" s="92">
        <f>IF($L42="","",$L42*IF(p_TierMode="پلکانی",LOOKUP($K42,t_Tier_From,t_Tier_Rate),1))</f>
        <v/>
      </c>
      <c r="N42" s="91">
        <f>IF($K42="","",$K42*$M42)</f>
        <v/>
      </c>
      <c r="O42" s="91">
        <f>IF($N42="","",IF($I42="ابطال",0,MAX(p_Min,MIN(p_Max,$N42))))</f>
        <v/>
      </c>
      <c r="P42" s="91">
        <f>IF($O42="","",ROUND($O42*p_Tax,0))</f>
        <v/>
      </c>
      <c r="Q42" s="91">
        <f>IF($O42="","",$O42+$P42)</f>
        <v/>
      </c>
      <c r="R42" s="92">
        <f>IF($A42="","",IF($H42&lt;&gt;"",$H42,IFERROR(INDEX(t_Member_Share,MATCH($C42,t_Members,0)),p_DefaultShare)))</f>
        <v/>
      </c>
      <c r="S42" s="91">
        <f>IF(OR($Q42="",$R42=""),"",ROUND($Q42*$R42,0))</f>
        <v/>
      </c>
      <c r="T42" s="91">
        <f>IF(OR($Q42="",$S42=""),"",$Q42-$S42)</f>
        <v/>
      </c>
      <c r="U42" s="93">
        <f>IF($B42="","",IFERROR(INDEX(cal_JYear,MATCH($B42,cal_Key,0)),""))</f>
        <v/>
      </c>
      <c r="V42" s="93">
        <f>IF($B42="","",IFERROR(INDEX(cal_JMonth,MATCH($B42,cal_Key,0)),""))</f>
        <v/>
      </c>
      <c r="W42" s="94">
        <f>IF($B42="","",IFERROR(INDEX(cal_YM,MATCH($B42,cal_Key,0)),""))</f>
        <v/>
      </c>
      <c r="X42" s="94">
        <f>IF($B42="","",IFERROR(INDEX(cal_Season,MATCH($B42,cal_Key,0)),""))</f>
        <v/>
      </c>
      <c r="Y42" s="94">
        <f>IF($B42="","",IFERROR(INDEX(cal_Key,MATCH(INDEX(cal_Serial,MATCH($B42,cal_Key,0))+p_Due,cal_Serial,0)),""))</f>
        <v/>
      </c>
      <c r="Z42" s="95">
        <f>IF($B42="","",IF(OR($I42="پرداخت‌شده",$I42="ابطال"),"—",IFERROR(IF(INDEX(cal_Serial,MATCH($B42,cal_Key,0))+p_Due&lt;TODAY(),"بله","خیر"),"تاریخ نامعتبر")))</f>
        <v/>
      </c>
    </row>
    <row r="43" ht="20" customHeight="1">
      <c r="B43" s="86" t="n"/>
      <c r="C43" s="87" t="n"/>
      <c r="D43" s="87" t="n"/>
      <c r="E43" s="87" t="n"/>
      <c r="F43" s="88" t="n"/>
      <c r="G43" s="89" t="n"/>
      <c r="H43" s="90" t="n"/>
      <c r="I43" s="86" t="n"/>
      <c r="J43" s="87" t="n"/>
      <c r="K43" s="91">
        <f>IF($F43="","",$F43*IF($G43="",1,$G43))</f>
        <v/>
      </c>
      <c r="L43" s="92">
        <f>IFERROR(IF($D43="","",INDEX(t_Svc_Rate,MATCH($D43,lst_Service,0))),"")</f>
        <v/>
      </c>
      <c r="M43" s="92">
        <f>IF($L43="","",$L43*IF(p_TierMode="پلکانی",LOOKUP($K43,t_Tier_From,t_Tier_Rate),1))</f>
        <v/>
      </c>
      <c r="N43" s="91">
        <f>IF($K43="","",$K43*$M43)</f>
        <v/>
      </c>
      <c r="O43" s="91">
        <f>IF($N43="","",IF($I43="ابطال",0,MAX(p_Min,MIN(p_Max,$N43))))</f>
        <v/>
      </c>
      <c r="P43" s="91">
        <f>IF($O43="","",ROUND($O43*p_Tax,0))</f>
        <v/>
      </c>
      <c r="Q43" s="91">
        <f>IF($O43="","",$O43+$P43)</f>
        <v/>
      </c>
      <c r="R43" s="92">
        <f>IF($A43="","",IF($H43&lt;&gt;"",$H43,IFERROR(INDEX(t_Member_Share,MATCH($C43,t_Members,0)),p_DefaultShare)))</f>
        <v/>
      </c>
      <c r="S43" s="91">
        <f>IF(OR($Q43="",$R43=""),"",ROUND($Q43*$R43,0))</f>
        <v/>
      </c>
      <c r="T43" s="91">
        <f>IF(OR($Q43="",$S43=""),"",$Q43-$S43)</f>
        <v/>
      </c>
      <c r="U43" s="93">
        <f>IF($B43="","",IFERROR(INDEX(cal_JYear,MATCH($B43,cal_Key,0)),""))</f>
        <v/>
      </c>
      <c r="V43" s="93">
        <f>IF($B43="","",IFERROR(INDEX(cal_JMonth,MATCH($B43,cal_Key,0)),""))</f>
        <v/>
      </c>
      <c r="W43" s="94">
        <f>IF($B43="","",IFERROR(INDEX(cal_YM,MATCH($B43,cal_Key,0)),""))</f>
        <v/>
      </c>
      <c r="X43" s="94">
        <f>IF($B43="","",IFERROR(INDEX(cal_Season,MATCH($B43,cal_Key,0)),""))</f>
        <v/>
      </c>
      <c r="Y43" s="94">
        <f>IF($B43="","",IFERROR(INDEX(cal_Key,MATCH(INDEX(cal_Serial,MATCH($B43,cal_Key,0))+p_Due,cal_Serial,0)),""))</f>
        <v/>
      </c>
      <c r="Z43" s="95">
        <f>IF($B43="","",IF(OR($I43="پرداخت‌شده",$I43="ابطال"),"—",IFERROR(IF(INDEX(cal_Serial,MATCH($B43,cal_Key,0))+p_Due&lt;TODAY(),"بله","خیر"),"تاریخ نامعتبر")))</f>
        <v/>
      </c>
    </row>
    <row r="44" ht="20" customHeight="1">
      <c r="B44" s="86" t="n"/>
      <c r="C44" s="87" t="n"/>
      <c r="D44" s="87" t="n"/>
      <c r="E44" s="87" t="n"/>
      <c r="F44" s="88" t="n"/>
      <c r="G44" s="89" t="n"/>
      <c r="H44" s="90" t="n"/>
      <c r="I44" s="86" t="n"/>
      <c r="J44" s="87" t="n"/>
      <c r="K44" s="91">
        <f>IF($F44="","",$F44*IF($G44="",1,$G44))</f>
        <v/>
      </c>
      <c r="L44" s="92">
        <f>IFERROR(IF($D44="","",INDEX(t_Svc_Rate,MATCH($D44,lst_Service,0))),"")</f>
        <v/>
      </c>
      <c r="M44" s="92">
        <f>IF($L44="","",$L44*IF(p_TierMode="پلکانی",LOOKUP($K44,t_Tier_From,t_Tier_Rate),1))</f>
        <v/>
      </c>
      <c r="N44" s="91">
        <f>IF($K44="","",$K44*$M44)</f>
        <v/>
      </c>
      <c r="O44" s="91">
        <f>IF($N44="","",IF($I44="ابطال",0,MAX(p_Min,MIN(p_Max,$N44))))</f>
        <v/>
      </c>
      <c r="P44" s="91">
        <f>IF($O44="","",ROUND($O44*p_Tax,0))</f>
        <v/>
      </c>
      <c r="Q44" s="91">
        <f>IF($O44="","",$O44+$P44)</f>
        <v/>
      </c>
      <c r="R44" s="92">
        <f>IF($A44="","",IF($H44&lt;&gt;"",$H44,IFERROR(INDEX(t_Member_Share,MATCH($C44,t_Members,0)),p_DefaultShare)))</f>
        <v/>
      </c>
      <c r="S44" s="91">
        <f>IF(OR($Q44="",$R44=""),"",ROUND($Q44*$R44,0))</f>
        <v/>
      </c>
      <c r="T44" s="91">
        <f>IF(OR($Q44="",$S44=""),"",$Q44-$S44)</f>
        <v/>
      </c>
      <c r="U44" s="93">
        <f>IF($B44="","",IFERROR(INDEX(cal_JYear,MATCH($B44,cal_Key,0)),""))</f>
        <v/>
      </c>
      <c r="V44" s="93">
        <f>IF($B44="","",IFERROR(INDEX(cal_JMonth,MATCH($B44,cal_Key,0)),""))</f>
        <v/>
      </c>
      <c r="W44" s="94">
        <f>IF($B44="","",IFERROR(INDEX(cal_YM,MATCH($B44,cal_Key,0)),""))</f>
        <v/>
      </c>
      <c r="X44" s="94">
        <f>IF($B44="","",IFERROR(INDEX(cal_Season,MATCH($B44,cal_Key,0)),""))</f>
        <v/>
      </c>
      <c r="Y44" s="94">
        <f>IF($B44="","",IFERROR(INDEX(cal_Key,MATCH(INDEX(cal_Serial,MATCH($B44,cal_Key,0))+p_Due,cal_Serial,0)),""))</f>
        <v/>
      </c>
      <c r="Z44" s="95">
        <f>IF($B44="","",IF(OR($I44="پرداخت‌شده",$I44="ابطال"),"—",IFERROR(IF(INDEX(cal_Serial,MATCH($B44,cal_Key,0))+p_Due&lt;TODAY(),"بله","خیر"),"تاریخ نامعتبر")))</f>
        <v/>
      </c>
    </row>
    <row r="45" ht="20" customHeight="1">
      <c r="B45" s="86" t="n"/>
      <c r="C45" s="87" t="n"/>
      <c r="D45" s="87" t="n"/>
      <c r="E45" s="87" t="n"/>
      <c r="F45" s="88" t="n"/>
      <c r="G45" s="89" t="n"/>
      <c r="H45" s="90" t="n"/>
      <c r="I45" s="86" t="n"/>
      <c r="J45" s="87" t="n"/>
      <c r="K45" s="91">
        <f>IF($F45="","",$F45*IF($G45="",1,$G45))</f>
        <v/>
      </c>
      <c r="L45" s="92">
        <f>IFERROR(IF($D45="","",INDEX(t_Svc_Rate,MATCH($D45,lst_Service,0))),"")</f>
        <v/>
      </c>
      <c r="M45" s="92">
        <f>IF($L45="","",$L45*IF(p_TierMode="پلکانی",LOOKUP($K45,t_Tier_From,t_Tier_Rate),1))</f>
        <v/>
      </c>
      <c r="N45" s="91">
        <f>IF($K45="","",$K45*$M45)</f>
        <v/>
      </c>
      <c r="O45" s="91">
        <f>IF($N45="","",IF($I45="ابطال",0,MAX(p_Min,MIN(p_Max,$N45))))</f>
        <v/>
      </c>
      <c r="P45" s="91">
        <f>IF($O45="","",ROUND($O45*p_Tax,0))</f>
        <v/>
      </c>
      <c r="Q45" s="91">
        <f>IF($O45="","",$O45+$P45)</f>
        <v/>
      </c>
      <c r="R45" s="92">
        <f>IF($A45="","",IF($H45&lt;&gt;"",$H45,IFERROR(INDEX(t_Member_Share,MATCH($C45,t_Members,0)),p_DefaultShare)))</f>
        <v/>
      </c>
      <c r="S45" s="91">
        <f>IF(OR($Q45="",$R45=""),"",ROUND($Q45*$R45,0))</f>
        <v/>
      </c>
      <c r="T45" s="91">
        <f>IF(OR($Q45="",$S45=""),"",$Q45-$S45)</f>
        <v/>
      </c>
      <c r="U45" s="93">
        <f>IF($B45="","",IFERROR(INDEX(cal_JYear,MATCH($B45,cal_Key,0)),""))</f>
        <v/>
      </c>
      <c r="V45" s="93">
        <f>IF($B45="","",IFERROR(INDEX(cal_JMonth,MATCH($B45,cal_Key,0)),""))</f>
        <v/>
      </c>
      <c r="W45" s="94">
        <f>IF($B45="","",IFERROR(INDEX(cal_YM,MATCH($B45,cal_Key,0)),""))</f>
        <v/>
      </c>
      <c r="X45" s="94">
        <f>IF($B45="","",IFERROR(INDEX(cal_Season,MATCH($B45,cal_Key,0)),""))</f>
        <v/>
      </c>
      <c r="Y45" s="94">
        <f>IF($B45="","",IFERROR(INDEX(cal_Key,MATCH(INDEX(cal_Serial,MATCH($B45,cal_Key,0))+p_Due,cal_Serial,0)),""))</f>
        <v/>
      </c>
      <c r="Z45" s="95">
        <f>IF($B45="","",IF(OR($I45="پرداخت‌شده",$I45="ابطال"),"—",IFERROR(IF(INDEX(cal_Serial,MATCH($B45,cal_Key,0))+p_Due&lt;TODAY(),"بله","خیر"),"تاریخ نامعتبر")))</f>
        <v/>
      </c>
    </row>
    <row r="46" ht="20" customHeight="1">
      <c r="B46" s="86" t="n"/>
      <c r="C46" s="87" t="n"/>
      <c r="D46" s="87" t="n"/>
      <c r="E46" s="87" t="n"/>
      <c r="F46" s="88" t="n"/>
      <c r="G46" s="89" t="n"/>
      <c r="H46" s="90" t="n"/>
      <c r="I46" s="86" t="n"/>
      <c r="J46" s="87" t="n"/>
      <c r="K46" s="91">
        <f>IF($F46="","",$F46*IF($G46="",1,$G46))</f>
        <v/>
      </c>
      <c r="L46" s="92">
        <f>IFERROR(IF($D46="","",INDEX(t_Svc_Rate,MATCH($D46,lst_Service,0))),"")</f>
        <v/>
      </c>
      <c r="M46" s="92">
        <f>IF($L46="","",$L46*IF(p_TierMode="پلکانی",LOOKUP($K46,t_Tier_From,t_Tier_Rate),1))</f>
        <v/>
      </c>
      <c r="N46" s="91">
        <f>IF($K46="","",$K46*$M46)</f>
        <v/>
      </c>
      <c r="O46" s="91">
        <f>IF($N46="","",IF($I46="ابطال",0,MAX(p_Min,MIN(p_Max,$N46))))</f>
        <v/>
      </c>
      <c r="P46" s="91">
        <f>IF($O46="","",ROUND($O46*p_Tax,0))</f>
        <v/>
      </c>
      <c r="Q46" s="91">
        <f>IF($O46="","",$O46+$P46)</f>
        <v/>
      </c>
      <c r="R46" s="92">
        <f>IF($A46="","",IF($H46&lt;&gt;"",$H46,IFERROR(INDEX(t_Member_Share,MATCH($C46,t_Members,0)),p_DefaultShare)))</f>
        <v/>
      </c>
      <c r="S46" s="91">
        <f>IF(OR($Q46="",$R46=""),"",ROUND($Q46*$R46,0))</f>
        <v/>
      </c>
      <c r="T46" s="91">
        <f>IF(OR($Q46="",$S46=""),"",$Q46-$S46)</f>
        <v/>
      </c>
      <c r="U46" s="93">
        <f>IF($B46="","",IFERROR(INDEX(cal_JYear,MATCH($B46,cal_Key,0)),""))</f>
        <v/>
      </c>
      <c r="V46" s="93">
        <f>IF($B46="","",IFERROR(INDEX(cal_JMonth,MATCH($B46,cal_Key,0)),""))</f>
        <v/>
      </c>
      <c r="W46" s="94">
        <f>IF($B46="","",IFERROR(INDEX(cal_YM,MATCH($B46,cal_Key,0)),""))</f>
        <v/>
      </c>
      <c r="X46" s="94">
        <f>IF($B46="","",IFERROR(INDEX(cal_Season,MATCH($B46,cal_Key,0)),""))</f>
        <v/>
      </c>
      <c r="Y46" s="94">
        <f>IF($B46="","",IFERROR(INDEX(cal_Key,MATCH(INDEX(cal_Serial,MATCH($B46,cal_Key,0))+p_Due,cal_Serial,0)),""))</f>
        <v/>
      </c>
      <c r="Z46" s="95">
        <f>IF($B46="","",IF(OR($I46="پرداخت‌شده",$I46="ابطال"),"—",IFERROR(IF(INDEX(cal_Serial,MATCH($B46,cal_Key,0))+p_Due&lt;TODAY(),"بله","خیر"),"تاریخ نامعتبر")))</f>
        <v/>
      </c>
    </row>
    <row r="47" ht="20" customHeight="1">
      <c r="B47" s="86" t="n"/>
      <c r="C47" s="87" t="n"/>
      <c r="D47" s="87" t="n"/>
      <c r="E47" s="87" t="n"/>
      <c r="F47" s="88" t="n"/>
      <c r="G47" s="89" t="n"/>
      <c r="H47" s="90" t="n"/>
      <c r="I47" s="86" t="n"/>
      <c r="J47" s="87" t="n"/>
      <c r="K47" s="91">
        <f>IF($F47="","",$F47*IF($G47="",1,$G47))</f>
        <v/>
      </c>
      <c r="L47" s="92">
        <f>IFERROR(IF($D47="","",INDEX(t_Svc_Rate,MATCH($D47,lst_Service,0))),"")</f>
        <v/>
      </c>
      <c r="M47" s="92">
        <f>IF($L47="","",$L47*IF(p_TierMode="پلکانی",LOOKUP($K47,t_Tier_From,t_Tier_Rate),1))</f>
        <v/>
      </c>
      <c r="N47" s="91">
        <f>IF($K47="","",$K47*$M47)</f>
        <v/>
      </c>
      <c r="O47" s="91">
        <f>IF($N47="","",IF($I47="ابطال",0,MAX(p_Min,MIN(p_Max,$N47))))</f>
        <v/>
      </c>
      <c r="P47" s="91">
        <f>IF($O47="","",ROUND($O47*p_Tax,0))</f>
        <v/>
      </c>
      <c r="Q47" s="91">
        <f>IF($O47="","",$O47+$P47)</f>
        <v/>
      </c>
      <c r="R47" s="92">
        <f>IF($A47="","",IF($H47&lt;&gt;"",$H47,IFERROR(INDEX(t_Member_Share,MATCH($C47,t_Members,0)),p_DefaultShare)))</f>
        <v/>
      </c>
      <c r="S47" s="91">
        <f>IF(OR($Q47="",$R47=""),"",ROUND($Q47*$R47,0))</f>
        <v/>
      </c>
      <c r="T47" s="91">
        <f>IF(OR($Q47="",$S47=""),"",$Q47-$S47)</f>
        <v/>
      </c>
      <c r="U47" s="93">
        <f>IF($B47="","",IFERROR(INDEX(cal_JYear,MATCH($B47,cal_Key,0)),""))</f>
        <v/>
      </c>
      <c r="V47" s="93">
        <f>IF($B47="","",IFERROR(INDEX(cal_JMonth,MATCH($B47,cal_Key,0)),""))</f>
        <v/>
      </c>
      <c r="W47" s="94">
        <f>IF($B47="","",IFERROR(INDEX(cal_YM,MATCH($B47,cal_Key,0)),""))</f>
        <v/>
      </c>
      <c r="X47" s="94">
        <f>IF($B47="","",IFERROR(INDEX(cal_Season,MATCH($B47,cal_Key,0)),""))</f>
        <v/>
      </c>
      <c r="Y47" s="94">
        <f>IF($B47="","",IFERROR(INDEX(cal_Key,MATCH(INDEX(cal_Serial,MATCH($B47,cal_Key,0))+p_Due,cal_Serial,0)),""))</f>
        <v/>
      </c>
      <c r="Z47" s="95">
        <f>IF($B47="","",IF(OR($I47="پرداخت‌شده",$I47="ابطال"),"—",IFERROR(IF(INDEX(cal_Serial,MATCH($B47,cal_Key,0))+p_Due&lt;TODAY(),"بله","خیر"),"تاریخ نامعتبر")))</f>
        <v/>
      </c>
    </row>
    <row r="48" ht="20" customHeight="1">
      <c r="B48" s="86" t="n"/>
      <c r="C48" s="87" t="n"/>
      <c r="D48" s="87" t="n"/>
      <c r="E48" s="87" t="n"/>
      <c r="F48" s="88" t="n"/>
      <c r="G48" s="89" t="n"/>
      <c r="H48" s="90" t="n"/>
      <c r="I48" s="86" t="n"/>
      <c r="J48" s="87" t="n"/>
      <c r="K48" s="91">
        <f>IF($F48="","",$F48*IF($G48="",1,$G48))</f>
        <v/>
      </c>
      <c r="L48" s="92">
        <f>IFERROR(IF($D48="","",INDEX(t_Svc_Rate,MATCH($D48,lst_Service,0))),"")</f>
        <v/>
      </c>
      <c r="M48" s="92">
        <f>IF($L48="","",$L48*IF(p_TierMode="پلکانی",LOOKUP($K48,t_Tier_From,t_Tier_Rate),1))</f>
        <v/>
      </c>
      <c r="N48" s="91">
        <f>IF($K48="","",$K48*$M48)</f>
        <v/>
      </c>
      <c r="O48" s="91">
        <f>IF($N48="","",IF($I48="ابطال",0,MAX(p_Min,MIN(p_Max,$N48))))</f>
        <v/>
      </c>
      <c r="P48" s="91">
        <f>IF($O48="","",ROUND($O48*p_Tax,0))</f>
        <v/>
      </c>
      <c r="Q48" s="91">
        <f>IF($O48="","",$O48+$P48)</f>
        <v/>
      </c>
      <c r="R48" s="92">
        <f>IF($A48="","",IF($H48&lt;&gt;"",$H48,IFERROR(INDEX(t_Member_Share,MATCH($C48,t_Members,0)),p_DefaultShare)))</f>
        <v/>
      </c>
      <c r="S48" s="91">
        <f>IF(OR($Q48="",$R48=""),"",ROUND($Q48*$R48,0))</f>
        <v/>
      </c>
      <c r="T48" s="91">
        <f>IF(OR($Q48="",$S48=""),"",$Q48-$S48)</f>
        <v/>
      </c>
      <c r="U48" s="93">
        <f>IF($B48="","",IFERROR(INDEX(cal_JYear,MATCH($B48,cal_Key,0)),""))</f>
        <v/>
      </c>
      <c r="V48" s="93">
        <f>IF($B48="","",IFERROR(INDEX(cal_JMonth,MATCH($B48,cal_Key,0)),""))</f>
        <v/>
      </c>
      <c r="W48" s="94">
        <f>IF($B48="","",IFERROR(INDEX(cal_YM,MATCH($B48,cal_Key,0)),""))</f>
        <v/>
      </c>
      <c r="X48" s="94">
        <f>IF($B48="","",IFERROR(INDEX(cal_Season,MATCH($B48,cal_Key,0)),""))</f>
        <v/>
      </c>
      <c r="Y48" s="94">
        <f>IF($B48="","",IFERROR(INDEX(cal_Key,MATCH(INDEX(cal_Serial,MATCH($B48,cal_Key,0))+p_Due,cal_Serial,0)),""))</f>
        <v/>
      </c>
      <c r="Z48" s="95">
        <f>IF($B48="","",IF(OR($I48="پرداخت‌شده",$I48="ابطال"),"—",IFERROR(IF(INDEX(cal_Serial,MATCH($B48,cal_Key,0))+p_Due&lt;TODAY(),"بله","خیر"),"تاریخ نامعتبر")))</f>
        <v/>
      </c>
    </row>
    <row r="49" ht="20" customHeight="1">
      <c r="B49" s="86" t="n"/>
      <c r="C49" s="87" t="n"/>
      <c r="D49" s="87" t="n"/>
      <c r="E49" s="87" t="n"/>
      <c r="F49" s="88" t="n"/>
      <c r="G49" s="89" t="n"/>
      <c r="H49" s="90" t="n"/>
      <c r="I49" s="86" t="n"/>
      <c r="J49" s="87" t="n"/>
      <c r="K49" s="91">
        <f>IF($F49="","",$F49*IF($G49="",1,$G49))</f>
        <v/>
      </c>
      <c r="L49" s="92">
        <f>IFERROR(IF($D49="","",INDEX(t_Svc_Rate,MATCH($D49,lst_Service,0))),"")</f>
        <v/>
      </c>
      <c r="M49" s="92">
        <f>IF($L49="","",$L49*IF(p_TierMode="پلکانی",LOOKUP($K49,t_Tier_From,t_Tier_Rate),1))</f>
        <v/>
      </c>
      <c r="N49" s="91">
        <f>IF($K49="","",$K49*$M49)</f>
        <v/>
      </c>
      <c r="O49" s="91">
        <f>IF($N49="","",IF($I49="ابطال",0,MAX(p_Min,MIN(p_Max,$N49))))</f>
        <v/>
      </c>
      <c r="P49" s="91">
        <f>IF($O49="","",ROUND($O49*p_Tax,0))</f>
        <v/>
      </c>
      <c r="Q49" s="91">
        <f>IF($O49="","",$O49+$P49)</f>
        <v/>
      </c>
      <c r="R49" s="92">
        <f>IF($A49="","",IF($H49&lt;&gt;"",$H49,IFERROR(INDEX(t_Member_Share,MATCH($C49,t_Members,0)),p_DefaultShare)))</f>
        <v/>
      </c>
      <c r="S49" s="91">
        <f>IF(OR($Q49="",$R49=""),"",ROUND($Q49*$R49,0))</f>
        <v/>
      </c>
      <c r="T49" s="91">
        <f>IF(OR($Q49="",$S49=""),"",$Q49-$S49)</f>
        <v/>
      </c>
      <c r="U49" s="93">
        <f>IF($B49="","",IFERROR(INDEX(cal_JYear,MATCH($B49,cal_Key,0)),""))</f>
        <v/>
      </c>
      <c r="V49" s="93">
        <f>IF($B49="","",IFERROR(INDEX(cal_JMonth,MATCH($B49,cal_Key,0)),""))</f>
        <v/>
      </c>
      <c r="W49" s="94">
        <f>IF($B49="","",IFERROR(INDEX(cal_YM,MATCH($B49,cal_Key,0)),""))</f>
        <v/>
      </c>
      <c r="X49" s="94">
        <f>IF($B49="","",IFERROR(INDEX(cal_Season,MATCH($B49,cal_Key,0)),""))</f>
        <v/>
      </c>
      <c r="Y49" s="94">
        <f>IF($B49="","",IFERROR(INDEX(cal_Key,MATCH(INDEX(cal_Serial,MATCH($B49,cal_Key,0))+p_Due,cal_Serial,0)),""))</f>
        <v/>
      </c>
      <c r="Z49" s="95">
        <f>IF($B49="","",IF(OR($I49="پرداخت‌شده",$I49="ابطال"),"—",IFERROR(IF(INDEX(cal_Serial,MATCH($B49,cal_Key,0))+p_Due&lt;TODAY(),"بله","خیر"),"تاریخ نامعتبر")))</f>
        <v/>
      </c>
    </row>
    <row r="50" ht="20" customHeight="1">
      <c r="B50" s="86" t="n"/>
      <c r="C50" s="87" t="n"/>
      <c r="D50" s="87" t="n"/>
      <c r="E50" s="87" t="n"/>
      <c r="F50" s="88" t="n"/>
      <c r="G50" s="89" t="n"/>
      <c r="H50" s="90" t="n"/>
      <c r="I50" s="86" t="n"/>
      <c r="J50" s="87" t="n"/>
      <c r="K50" s="91">
        <f>IF($F50="","",$F50*IF($G50="",1,$G50))</f>
        <v/>
      </c>
      <c r="L50" s="92">
        <f>IFERROR(IF($D50="","",INDEX(t_Svc_Rate,MATCH($D50,lst_Service,0))),"")</f>
        <v/>
      </c>
      <c r="M50" s="92">
        <f>IF($L50="","",$L50*IF(p_TierMode="پلکانی",LOOKUP($K50,t_Tier_From,t_Tier_Rate),1))</f>
        <v/>
      </c>
      <c r="N50" s="91">
        <f>IF($K50="","",$K50*$M50)</f>
        <v/>
      </c>
      <c r="O50" s="91">
        <f>IF($N50="","",IF($I50="ابطال",0,MAX(p_Min,MIN(p_Max,$N50))))</f>
        <v/>
      </c>
      <c r="P50" s="91">
        <f>IF($O50="","",ROUND($O50*p_Tax,0))</f>
        <v/>
      </c>
      <c r="Q50" s="91">
        <f>IF($O50="","",$O50+$P50)</f>
        <v/>
      </c>
      <c r="R50" s="92">
        <f>IF($A50="","",IF($H50&lt;&gt;"",$H50,IFERROR(INDEX(t_Member_Share,MATCH($C50,t_Members,0)),p_DefaultShare)))</f>
        <v/>
      </c>
      <c r="S50" s="91">
        <f>IF(OR($Q50="",$R50=""),"",ROUND($Q50*$R50,0))</f>
        <v/>
      </c>
      <c r="T50" s="91">
        <f>IF(OR($Q50="",$S50=""),"",$Q50-$S50)</f>
        <v/>
      </c>
      <c r="U50" s="93">
        <f>IF($B50="","",IFERROR(INDEX(cal_JYear,MATCH($B50,cal_Key,0)),""))</f>
        <v/>
      </c>
      <c r="V50" s="93">
        <f>IF($B50="","",IFERROR(INDEX(cal_JMonth,MATCH($B50,cal_Key,0)),""))</f>
        <v/>
      </c>
      <c r="W50" s="94">
        <f>IF($B50="","",IFERROR(INDEX(cal_YM,MATCH($B50,cal_Key,0)),""))</f>
        <v/>
      </c>
      <c r="X50" s="94">
        <f>IF($B50="","",IFERROR(INDEX(cal_Season,MATCH($B50,cal_Key,0)),""))</f>
        <v/>
      </c>
      <c r="Y50" s="94">
        <f>IF($B50="","",IFERROR(INDEX(cal_Key,MATCH(INDEX(cal_Serial,MATCH($B50,cal_Key,0))+p_Due,cal_Serial,0)),""))</f>
        <v/>
      </c>
      <c r="Z50" s="95">
        <f>IF($B50="","",IF(OR($I50="پرداخت‌شده",$I50="ابطال"),"—",IFERROR(IF(INDEX(cal_Serial,MATCH($B50,cal_Key,0))+p_Due&lt;TODAY(),"بله","خیر"),"تاریخ نامعتبر")))</f>
        <v/>
      </c>
    </row>
    <row r="51" ht="20" customHeight="1">
      <c r="B51" s="86" t="n"/>
      <c r="C51" s="87" t="n"/>
      <c r="D51" s="87" t="n"/>
      <c r="E51" s="87" t="n"/>
      <c r="F51" s="88" t="n"/>
      <c r="G51" s="89" t="n"/>
      <c r="H51" s="90" t="n"/>
      <c r="I51" s="86" t="n"/>
      <c r="J51" s="87" t="n"/>
      <c r="K51" s="91">
        <f>IF($F51="","",$F51*IF($G51="",1,$G51))</f>
        <v/>
      </c>
      <c r="L51" s="92">
        <f>IFERROR(IF($D51="","",INDEX(t_Svc_Rate,MATCH($D51,lst_Service,0))),"")</f>
        <v/>
      </c>
      <c r="M51" s="92">
        <f>IF($L51="","",$L51*IF(p_TierMode="پلکانی",LOOKUP($K51,t_Tier_From,t_Tier_Rate),1))</f>
        <v/>
      </c>
      <c r="N51" s="91">
        <f>IF($K51="","",$K51*$M51)</f>
        <v/>
      </c>
      <c r="O51" s="91">
        <f>IF($N51="","",IF($I51="ابطال",0,MAX(p_Min,MIN(p_Max,$N51))))</f>
        <v/>
      </c>
      <c r="P51" s="91">
        <f>IF($O51="","",ROUND($O51*p_Tax,0))</f>
        <v/>
      </c>
      <c r="Q51" s="91">
        <f>IF($O51="","",$O51+$P51)</f>
        <v/>
      </c>
      <c r="R51" s="92">
        <f>IF($A51="","",IF($H51&lt;&gt;"",$H51,IFERROR(INDEX(t_Member_Share,MATCH($C51,t_Members,0)),p_DefaultShare)))</f>
        <v/>
      </c>
      <c r="S51" s="91">
        <f>IF(OR($Q51="",$R51=""),"",ROUND($Q51*$R51,0))</f>
        <v/>
      </c>
      <c r="T51" s="91">
        <f>IF(OR($Q51="",$S51=""),"",$Q51-$S51)</f>
        <v/>
      </c>
      <c r="U51" s="93">
        <f>IF($B51="","",IFERROR(INDEX(cal_JYear,MATCH($B51,cal_Key,0)),""))</f>
        <v/>
      </c>
      <c r="V51" s="93">
        <f>IF($B51="","",IFERROR(INDEX(cal_JMonth,MATCH($B51,cal_Key,0)),""))</f>
        <v/>
      </c>
      <c r="W51" s="94">
        <f>IF($B51="","",IFERROR(INDEX(cal_YM,MATCH($B51,cal_Key,0)),""))</f>
        <v/>
      </c>
      <c r="X51" s="94">
        <f>IF($B51="","",IFERROR(INDEX(cal_Season,MATCH($B51,cal_Key,0)),""))</f>
        <v/>
      </c>
      <c r="Y51" s="94">
        <f>IF($B51="","",IFERROR(INDEX(cal_Key,MATCH(INDEX(cal_Serial,MATCH($B51,cal_Key,0))+p_Due,cal_Serial,0)),""))</f>
        <v/>
      </c>
      <c r="Z51" s="95">
        <f>IF($B51="","",IF(OR($I51="پرداخت‌شده",$I51="ابطال"),"—",IFERROR(IF(INDEX(cal_Serial,MATCH($B51,cal_Key,0))+p_Due&lt;TODAY(),"بله","خیر"),"تاریخ نامعتبر")))</f>
        <v/>
      </c>
    </row>
    <row r="52" ht="20" customHeight="1">
      <c r="B52" s="86" t="n"/>
      <c r="C52" s="87" t="n"/>
      <c r="D52" s="87" t="n"/>
      <c r="E52" s="87" t="n"/>
      <c r="F52" s="88" t="n"/>
      <c r="G52" s="89" t="n"/>
      <c r="H52" s="90" t="n"/>
      <c r="I52" s="86" t="n"/>
      <c r="J52" s="87" t="n"/>
      <c r="K52" s="91">
        <f>IF($F52="","",$F52*IF($G52="",1,$G52))</f>
        <v/>
      </c>
      <c r="L52" s="92">
        <f>IFERROR(IF($D52="","",INDEX(t_Svc_Rate,MATCH($D52,lst_Service,0))),"")</f>
        <v/>
      </c>
      <c r="M52" s="92">
        <f>IF($L52="","",$L52*IF(p_TierMode="پلکانی",LOOKUP($K52,t_Tier_From,t_Tier_Rate),1))</f>
        <v/>
      </c>
      <c r="N52" s="91">
        <f>IF($K52="","",$K52*$M52)</f>
        <v/>
      </c>
      <c r="O52" s="91">
        <f>IF($N52="","",IF($I52="ابطال",0,MAX(p_Min,MIN(p_Max,$N52))))</f>
        <v/>
      </c>
      <c r="P52" s="91">
        <f>IF($O52="","",ROUND($O52*p_Tax,0))</f>
        <v/>
      </c>
      <c r="Q52" s="91">
        <f>IF($O52="","",$O52+$P52)</f>
        <v/>
      </c>
      <c r="R52" s="92">
        <f>IF($A52="","",IF($H52&lt;&gt;"",$H52,IFERROR(INDEX(t_Member_Share,MATCH($C52,t_Members,0)),p_DefaultShare)))</f>
        <v/>
      </c>
      <c r="S52" s="91">
        <f>IF(OR($Q52="",$R52=""),"",ROUND($Q52*$R52,0))</f>
        <v/>
      </c>
      <c r="T52" s="91">
        <f>IF(OR($Q52="",$S52=""),"",$Q52-$S52)</f>
        <v/>
      </c>
      <c r="U52" s="93">
        <f>IF($B52="","",IFERROR(INDEX(cal_JYear,MATCH($B52,cal_Key,0)),""))</f>
        <v/>
      </c>
      <c r="V52" s="93">
        <f>IF($B52="","",IFERROR(INDEX(cal_JMonth,MATCH($B52,cal_Key,0)),""))</f>
        <v/>
      </c>
      <c r="W52" s="94">
        <f>IF($B52="","",IFERROR(INDEX(cal_YM,MATCH($B52,cal_Key,0)),""))</f>
        <v/>
      </c>
      <c r="X52" s="94">
        <f>IF($B52="","",IFERROR(INDEX(cal_Season,MATCH($B52,cal_Key,0)),""))</f>
        <v/>
      </c>
      <c r="Y52" s="94">
        <f>IF($B52="","",IFERROR(INDEX(cal_Key,MATCH(INDEX(cal_Serial,MATCH($B52,cal_Key,0))+p_Due,cal_Serial,0)),""))</f>
        <v/>
      </c>
      <c r="Z52" s="95">
        <f>IF($B52="","",IF(OR($I52="پرداخت‌شده",$I52="ابطال"),"—",IFERROR(IF(INDEX(cal_Serial,MATCH($B52,cal_Key,0))+p_Due&lt;TODAY(),"بله","خیر"),"تاریخ نامعتبر")))</f>
        <v/>
      </c>
    </row>
    <row r="53" ht="20" customHeight="1">
      <c r="B53" s="86" t="n"/>
      <c r="C53" s="87" t="n"/>
      <c r="D53" s="87" t="n"/>
      <c r="E53" s="87" t="n"/>
      <c r="F53" s="88" t="n"/>
      <c r="G53" s="89" t="n"/>
      <c r="H53" s="90" t="n"/>
      <c r="I53" s="86" t="n"/>
      <c r="J53" s="87" t="n"/>
      <c r="K53" s="91">
        <f>IF($F53="","",$F53*IF($G53="",1,$G53))</f>
        <v/>
      </c>
      <c r="L53" s="92">
        <f>IFERROR(IF($D53="","",INDEX(t_Svc_Rate,MATCH($D53,lst_Service,0))),"")</f>
        <v/>
      </c>
      <c r="M53" s="92">
        <f>IF($L53="","",$L53*IF(p_TierMode="پلکانی",LOOKUP($K53,t_Tier_From,t_Tier_Rate),1))</f>
        <v/>
      </c>
      <c r="N53" s="91">
        <f>IF($K53="","",$K53*$M53)</f>
        <v/>
      </c>
      <c r="O53" s="91">
        <f>IF($N53="","",IF($I53="ابطال",0,MAX(p_Min,MIN(p_Max,$N53))))</f>
        <v/>
      </c>
      <c r="P53" s="91">
        <f>IF($O53="","",ROUND($O53*p_Tax,0))</f>
        <v/>
      </c>
      <c r="Q53" s="91">
        <f>IF($O53="","",$O53+$P53)</f>
        <v/>
      </c>
      <c r="R53" s="92">
        <f>IF($A53="","",IF($H53&lt;&gt;"",$H53,IFERROR(INDEX(t_Member_Share,MATCH($C53,t_Members,0)),p_DefaultShare)))</f>
        <v/>
      </c>
      <c r="S53" s="91">
        <f>IF(OR($Q53="",$R53=""),"",ROUND($Q53*$R53,0))</f>
        <v/>
      </c>
      <c r="T53" s="91">
        <f>IF(OR($Q53="",$S53=""),"",$Q53-$S53)</f>
        <v/>
      </c>
      <c r="U53" s="93">
        <f>IF($B53="","",IFERROR(INDEX(cal_JYear,MATCH($B53,cal_Key,0)),""))</f>
        <v/>
      </c>
      <c r="V53" s="93">
        <f>IF($B53="","",IFERROR(INDEX(cal_JMonth,MATCH($B53,cal_Key,0)),""))</f>
        <v/>
      </c>
      <c r="W53" s="94">
        <f>IF($B53="","",IFERROR(INDEX(cal_YM,MATCH($B53,cal_Key,0)),""))</f>
        <v/>
      </c>
      <c r="X53" s="94">
        <f>IF($B53="","",IFERROR(INDEX(cal_Season,MATCH($B53,cal_Key,0)),""))</f>
        <v/>
      </c>
      <c r="Y53" s="94">
        <f>IF($B53="","",IFERROR(INDEX(cal_Key,MATCH(INDEX(cal_Serial,MATCH($B53,cal_Key,0))+p_Due,cal_Serial,0)),""))</f>
        <v/>
      </c>
      <c r="Z53" s="95">
        <f>IF($B53="","",IF(OR($I53="پرداخت‌شده",$I53="ابطال"),"—",IFERROR(IF(INDEX(cal_Serial,MATCH($B53,cal_Key,0))+p_Due&lt;TODAY(),"بله","خیر"),"تاریخ نامعتبر")))</f>
        <v/>
      </c>
    </row>
    <row r="54" ht="20" customHeight="1">
      <c r="B54" s="86" t="n"/>
      <c r="C54" s="87" t="n"/>
      <c r="D54" s="87" t="n"/>
      <c r="E54" s="87" t="n"/>
      <c r="F54" s="88" t="n"/>
      <c r="G54" s="89" t="n"/>
      <c r="H54" s="90" t="n"/>
      <c r="I54" s="86" t="n"/>
      <c r="J54" s="87" t="n"/>
      <c r="K54" s="91">
        <f>IF($F54="","",$F54*IF($G54="",1,$G54))</f>
        <v/>
      </c>
      <c r="L54" s="92">
        <f>IFERROR(IF($D54="","",INDEX(t_Svc_Rate,MATCH($D54,lst_Service,0))),"")</f>
        <v/>
      </c>
      <c r="M54" s="92">
        <f>IF($L54="","",$L54*IF(p_TierMode="پلکانی",LOOKUP($K54,t_Tier_From,t_Tier_Rate),1))</f>
        <v/>
      </c>
      <c r="N54" s="91">
        <f>IF($K54="","",$K54*$M54)</f>
        <v/>
      </c>
      <c r="O54" s="91">
        <f>IF($N54="","",IF($I54="ابطال",0,MAX(p_Min,MIN(p_Max,$N54))))</f>
        <v/>
      </c>
      <c r="P54" s="91">
        <f>IF($O54="","",ROUND($O54*p_Tax,0))</f>
        <v/>
      </c>
      <c r="Q54" s="91">
        <f>IF($O54="","",$O54+$P54)</f>
        <v/>
      </c>
      <c r="R54" s="92">
        <f>IF($A54="","",IF($H54&lt;&gt;"",$H54,IFERROR(INDEX(t_Member_Share,MATCH($C54,t_Members,0)),p_DefaultShare)))</f>
        <v/>
      </c>
      <c r="S54" s="91">
        <f>IF(OR($Q54="",$R54=""),"",ROUND($Q54*$R54,0))</f>
        <v/>
      </c>
      <c r="T54" s="91">
        <f>IF(OR($Q54="",$S54=""),"",$Q54-$S54)</f>
        <v/>
      </c>
      <c r="U54" s="93">
        <f>IF($B54="","",IFERROR(INDEX(cal_JYear,MATCH($B54,cal_Key,0)),""))</f>
        <v/>
      </c>
      <c r="V54" s="93">
        <f>IF($B54="","",IFERROR(INDEX(cal_JMonth,MATCH($B54,cal_Key,0)),""))</f>
        <v/>
      </c>
      <c r="W54" s="94">
        <f>IF($B54="","",IFERROR(INDEX(cal_YM,MATCH($B54,cal_Key,0)),""))</f>
        <v/>
      </c>
      <c r="X54" s="94">
        <f>IF($B54="","",IFERROR(INDEX(cal_Season,MATCH($B54,cal_Key,0)),""))</f>
        <v/>
      </c>
      <c r="Y54" s="94">
        <f>IF($B54="","",IFERROR(INDEX(cal_Key,MATCH(INDEX(cal_Serial,MATCH($B54,cal_Key,0))+p_Due,cal_Serial,0)),""))</f>
        <v/>
      </c>
      <c r="Z54" s="95">
        <f>IF($B54="","",IF(OR($I54="پرداخت‌شده",$I54="ابطال"),"—",IFERROR(IF(INDEX(cal_Serial,MATCH($B54,cal_Key,0))+p_Due&lt;TODAY(),"بله","خیر"),"تاریخ نامعتبر")))</f>
        <v/>
      </c>
    </row>
    <row r="55" ht="20" customHeight="1">
      <c r="B55" s="86" t="n"/>
      <c r="C55" s="87" t="n"/>
      <c r="D55" s="87" t="n"/>
      <c r="E55" s="87" t="n"/>
      <c r="F55" s="88" t="n"/>
      <c r="G55" s="89" t="n"/>
      <c r="H55" s="90" t="n"/>
      <c r="I55" s="86" t="n"/>
      <c r="J55" s="87" t="n"/>
      <c r="K55" s="91">
        <f>IF($F55="","",$F55*IF($G55="",1,$G55))</f>
        <v/>
      </c>
      <c r="L55" s="92">
        <f>IFERROR(IF($D55="","",INDEX(t_Svc_Rate,MATCH($D55,lst_Service,0))),"")</f>
        <v/>
      </c>
      <c r="M55" s="92">
        <f>IF($L55="","",$L55*IF(p_TierMode="پلکانی",LOOKUP($K55,t_Tier_From,t_Tier_Rate),1))</f>
        <v/>
      </c>
      <c r="N55" s="91">
        <f>IF($K55="","",$K55*$M55)</f>
        <v/>
      </c>
      <c r="O55" s="91">
        <f>IF($N55="","",IF($I55="ابطال",0,MAX(p_Min,MIN(p_Max,$N55))))</f>
        <v/>
      </c>
      <c r="P55" s="91">
        <f>IF($O55="","",ROUND($O55*p_Tax,0))</f>
        <v/>
      </c>
      <c r="Q55" s="91">
        <f>IF($O55="","",$O55+$P55)</f>
        <v/>
      </c>
      <c r="R55" s="92">
        <f>IF($A55="","",IF($H55&lt;&gt;"",$H55,IFERROR(INDEX(t_Member_Share,MATCH($C55,t_Members,0)),p_DefaultShare)))</f>
        <v/>
      </c>
      <c r="S55" s="91">
        <f>IF(OR($Q55="",$R55=""),"",ROUND($Q55*$R55,0))</f>
        <v/>
      </c>
      <c r="T55" s="91">
        <f>IF(OR($Q55="",$S55=""),"",$Q55-$S55)</f>
        <v/>
      </c>
      <c r="U55" s="93">
        <f>IF($B55="","",IFERROR(INDEX(cal_JYear,MATCH($B55,cal_Key,0)),""))</f>
        <v/>
      </c>
      <c r="V55" s="93">
        <f>IF($B55="","",IFERROR(INDEX(cal_JMonth,MATCH($B55,cal_Key,0)),""))</f>
        <v/>
      </c>
      <c r="W55" s="94">
        <f>IF($B55="","",IFERROR(INDEX(cal_YM,MATCH($B55,cal_Key,0)),""))</f>
        <v/>
      </c>
      <c r="X55" s="94">
        <f>IF($B55="","",IFERROR(INDEX(cal_Season,MATCH($B55,cal_Key,0)),""))</f>
        <v/>
      </c>
      <c r="Y55" s="94">
        <f>IF($B55="","",IFERROR(INDEX(cal_Key,MATCH(INDEX(cal_Serial,MATCH($B55,cal_Key,0))+p_Due,cal_Serial,0)),""))</f>
        <v/>
      </c>
      <c r="Z55" s="95">
        <f>IF($B55="","",IF(OR($I55="پرداخت‌شده",$I55="ابطال"),"—",IFERROR(IF(INDEX(cal_Serial,MATCH($B55,cal_Key,0))+p_Due&lt;TODAY(),"بله","خیر"),"تاریخ نامعتبر")))</f>
        <v/>
      </c>
    </row>
    <row r="56" ht="20" customHeight="1">
      <c r="B56" s="86" t="n"/>
      <c r="C56" s="87" t="n"/>
      <c r="D56" s="87" t="n"/>
      <c r="E56" s="87" t="n"/>
      <c r="F56" s="88" t="n"/>
      <c r="G56" s="89" t="n"/>
      <c r="H56" s="90" t="n"/>
      <c r="I56" s="86" t="n"/>
      <c r="J56" s="87" t="n"/>
      <c r="K56" s="91">
        <f>IF($F56="","",$F56*IF($G56="",1,$G56))</f>
        <v/>
      </c>
      <c r="L56" s="92">
        <f>IFERROR(IF($D56="","",INDEX(t_Svc_Rate,MATCH($D56,lst_Service,0))),"")</f>
        <v/>
      </c>
      <c r="M56" s="92">
        <f>IF($L56="","",$L56*IF(p_TierMode="پلکانی",LOOKUP($K56,t_Tier_From,t_Tier_Rate),1))</f>
        <v/>
      </c>
      <c r="N56" s="91">
        <f>IF($K56="","",$K56*$M56)</f>
        <v/>
      </c>
      <c r="O56" s="91">
        <f>IF($N56="","",IF($I56="ابطال",0,MAX(p_Min,MIN(p_Max,$N56))))</f>
        <v/>
      </c>
      <c r="P56" s="91">
        <f>IF($O56="","",ROUND($O56*p_Tax,0))</f>
        <v/>
      </c>
      <c r="Q56" s="91">
        <f>IF($O56="","",$O56+$P56)</f>
        <v/>
      </c>
      <c r="R56" s="92">
        <f>IF($A56="","",IF($H56&lt;&gt;"",$H56,IFERROR(INDEX(t_Member_Share,MATCH($C56,t_Members,0)),p_DefaultShare)))</f>
        <v/>
      </c>
      <c r="S56" s="91">
        <f>IF(OR($Q56="",$R56=""),"",ROUND($Q56*$R56,0))</f>
        <v/>
      </c>
      <c r="T56" s="91">
        <f>IF(OR($Q56="",$S56=""),"",$Q56-$S56)</f>
        <v/>
      </c>
      <c r="U56" s="93">
        <f>IF($B56="","",IFERROR(INDEX(cal_JYear,MATCH($B56,cal_Key,0)),""))</f>
        <v/>
      </c>
      <c r="V56" s="93">
        <f>IF($B56="","",IFERROR(INDEX(cal_JMonth,MATCH($B56,cal_Key,0)),""))</f>
        <v/>
      </c>
      <c r="W56" s="94">
        <f>IF($B56="","",IFERROR(INDEX(cal_YM,MATCH($B56,cal_Key,0)),""))</f>
        <v/>
      </c>
      <c r="X56" s="94">
        <f>IF($B56="","",IFERROR(INDEX(cal_Season,MATCH($B56,cal_Key,0)),""))</f>
        <v/>
      </c>
      <c r="Y56" s="94">
        <f>IF($B56="","",IFERROR(INDEX(cal_Key,MATCH(INDEX(cal_Serial,MATCH($B56,cal_Key,0))+p_Due,cal_Serial,0)),""))</f>
        <v/>
      </c>
      <c r="Z56" s="95">
        <f>IF($B56="","",IF(OR($I56="پرداخت‌شده",$I56="ابطال"),"—",IFERROR(IF(INDEX(cal_Serial,MATCH($B56,cal_Key,0))+p_Due&lt;TODAY(),"بله","خیر"),"تاریخ نامعتبر")))</f>
        <v/>
      </c>
    </row>
    <row r="57" ht="20" customHeight="1">
      <c r="B57" s="86" t="n"/>
      <c r="C57" s="87" t="n"/>
      <c r="D57" s="87" t="n"/>
      <c r="E57" s="87" t="n"/>
      <c r="F57" s="88" t="n"/>
      <c r="G57" s="89" t="n"/>
      <c r="H57" s="90" t="n"/>
      <c r="I57" s="86" t="n"/>
      <c r="J57" s="87" t="n"/>
      <c r="K57" s="91">
        <f>IF($F57="","",$F57*IF($G57="",1,$G57))</f>
        <v/>
      </c>
      <c r="L57" s="92">
        <f>IFERROR(IF($D57="","",INDEX(t_Svc_Rate,MATCH($D57,lst_Service,0))),"")</f>
        <v/>
      </c>
      <c r="M57" s="92">
        <f>IF($L57="","",$L57*IF(p_TierMode="پلکانی",LOOKUP($K57,t_Tier_From,t_Tier_Rate),1))</f>
        <v/>
      </c>
      <c r="N57" s="91">
        <f>IF($K57="","",$K57*$M57)</f>
        <v/>
      </c>
      <c r="O57" s="91">
        <f>IF($N57="","",IF($I57="ابطال",0,MAX(p_Min,MIN(p_Max,$N57))))</f>
        <v/>
      </c>
      <c r="P57" s="91">
        <f>IF($O57="","",ROUND($O57*p_Tax,0))</f>
        <v/>
      </c>
      <c r="Q57" s="91">
        <f>IF($O57="","",$O57+$P57)</f>
        <v/>
      </c>
      <c r="R57" s="92">
        <f>IF($A57="","",IF($H57&lt;&gt;"",$H57,IFERROR(INDEX(t_Member_Share,MATCH($C57,t_Members,0)),p_DefaultShare)))</f>
        <v/>
      </c>
      <c r="S57" s="91">
        <f>IF(OR($Q57="",$R57=""),"",ROUND($Q57*$R57,0))</f>
        <v/>
      </c>
      <c r="T57" s="91">
        <f>IF(OR($Q57="",$S57=""),"",$Q57-$S57)</f>
        <v/>
      </c>
      <c r="U57" s="93">
        <f>IF($B57="","",IFERROR(INDEX(cal_JYear,MATCH($B57,cal_Key,0)),""))</f>
        <v/>
      </c>
      <c r="V57" s="93">
        <f>IF($B57="","",IFERROR(INDEX(cal_JMonth,MATCH($B57,cal_Key,0)),""))</f>
        <v/>
      </c>
      <c r="W57" s="94">
        <f>IF($B57="","",IFERROR(INDEX(cal_YM,MATCH($B57,cal_Key,0)),""))</f>
        <v/>
      </c>
      <c r="X57" s="94">
        <f>IF($B57="","",IFERROR(INDEX(cal_Season,MATCH($B57,cal_Key,0)),""))</f>
        <v/>
      </c>
      <c r="Y57" s="94">
        <f>IF($B57="","",IFERROR(INDEX(cal_Key,MATCH(INDEX(cal_Serial,MATCH($B57,cal_Key,0))+p_Due,cal_Serial,0)),""))</f>
        <v/>
      </c>
      <c r="Z57" s="95">
        <f>IF($B57="","",IF(OR($I57="پرداخت‌شده",$I57="ابطال"),"—",IFERROR(IF(INDEX(cal_Serial,MATCH($B57,cal_Key,0))+p_Due&lt;TODAY(),"بله","خیر"),"تاریخ نامعتبر")))</f>
        <v/>
      </c>
    </row>
    <row r="58" ht="20" customHeight="1">
      <c r="B58" s="86" t="n"/>
      <c r="C58" s="87" t="n"/>
      <c r="D58" s="87" t="n"/>
      <c r="E58" s="87" t="n"/>
      <c r="F58" s="88" t="n"/>
      <c r="G58" s="89" t="n"/>
      <c r="H58" s="90" t="n"/>
      <c r="I58" s="86" t="n"/>
      <c r="J58" s="87" t="n"/>
      <c r="K58" s="91">
        <f>IF($F58="","",$F58*IF($G58="",1,$G58))</f>
        <v/>
      </c>
      <c r="L58" s="92">
        <f>IFERROR(IF($D58="","",INDEX(t_Svc_Rate,MATCH($D58,lst_Service,0))),"")</f>
        <v/>
      </c>
      <c r="M58" s="92">
        <f>IF($L58="","",$L58*IF(p_TierMode="پلکانی",LOOKUP($K58,t_Tier_From,t_Tier_Rate),1))</f>
        <v/>
      </c>
      <c r="N58" s="91">
        <f>IF($K58="","",$K58*$M58)</f>
        <v/>
      </c>
      <c r="O58" s="91">
        <f>IF($N58="","",IF($I58="ابطال",0,MAX(p_Min,MIN(p_Max,$N58))))</f>
        <v/>
      </c>
      <c r="P58" s="91">
        <f>IF($O58="","",ROUND($O58*p_Tax,0))</f>
        <v/>
      </c>
      <c r="Q58" s="91">
        <f>IF($O58="","",$O58+$P58)</f>
        <v/>
      </c>
      <c r="R58" s="92">
        <f>IF($A58="","",IF($H58&lt;&gt;"",$H58,IFERROR(INDEX(t_Member_Share,MATCH($C58,t_Members,0)),p_DefaultShare)))</f>
        <v/>
      </c>
      <c r="S58" s="91">
        <f>IF(OR($Q58="",$R58=""),"",ROUND($Q58*$R58,0))</f>
        <v/>
      </c>
      <c r="T58" s="91">
        <f>IF(OR($Q58="",$S58=""),"",$Q58-$S58)</f>
        <v/>
      </c>
      <c r="U58" s="93">
        <f>IF($B58="","",IFERROR(INDEX(cal_JYear,MATCH($B58,cal_Key,0)),""))</f>
        <v/>
      </c>
      <c r="V58" s="93">
        <f>IF($B58="","",IFERROR(INDEX(cal_JMonth,MATCH($B58,cal_Key,0)),""))</f>
        <v/>
      </c>
      <c r="W58" s="94">
        <f>IF($B58="","",IFERROR(INDEX(cal_YM,MATCH($B58,cal_Key,0)),""))</f>
        <v/>
      </c>
      <c r="X58" s="94">
        <f>IF($B58="","",IFERROR(INDEX(cal_Season,MATCH($B58,cal_Key,0)),""))</f>
        <v/>
      </c>
      <c r="Y58" s="94">
        <f>IF($B58="","",IFERROR(INDEX(cal_Key,MATCH(INDEX(cal_Serial,MATCH($B58,cal_Key,0))+p_Due,cal_Serial,0)),""))</f>
        <v/>
      </c>
      <c r="Z58" s="95">
        <f>IF($B58="","",IF(OR($I58="پرداخت‌شده",$I58="ابطال"),"—",IFERROR(IF(INDEX(cal_Serial,MATCH($B58,cal_Key,0))+p_Due&lt;TODAY(),"بله","خیر"),"تاریخ نامعتبر")))</f>
        <v/>
      </c>
    </row>
    <row r="59" ht="20" customHeight="1">
      <c r="B59" s="86" t="n"/>
      <c r="C59" s="87" t="n"/>
      <c r="D59" s="87" t="n"/>
      <c r="E59" s="87" t="n"/>
      <c r="F59" s="88" t="n"/>
      <c r="G59" s="89" t="n"/>
      <c r="H59" s="90" t="n"/>
      <c r="I59" s="86" t="n"/>
      <c r="J59" s="87" t="n"/>
      <c r="K59" s="91">
        <f>IF($F59="","",$F59*IF($G59="",1,$G59))</f>
        <v/>
      </c>
      <c r="L59" s="92">
        <f>IFERROR(IF($D59="","",INDEX(t_Svc_Rate,MATCH($D59,lst_Service,0))),"")</f>
        <v/>
      </c>
      <c r="M59" s="92">
        <f>IF($L59="","",$L59*IF(p_TierMode="پلکانی",LOOKUP($K59,t_Tier_From,t_Tier_Rate),1))</f>
        <v/>
      </c>
      <c r="N59" s="91">
        <f>IF($K59="","",$K59*$M59)</f>
        <v/>
      </c>
      <c r="O59" s="91">
        <f>IF($N59="","",IF($I59="ابطال",0,MAX(p_Min,MIN(p_Max,$N59))))</f>
        <v/>
      </c>
      <c r="P59" s="91">
        <f>IF($O59="","",ROUND($O59*p_Tax,0))</f>
        <v/>
      </c>
      <c r="Q59" s="91">
        <f>IF($O59="","",$O59+$P59)</f>
        <v/>
      </c>
      <c r="R59" s="92">
        <f>IF($A59="","",IF($H59&lt;&gt;"",$H59,IFERROR(INDEX(t_Member_Share,MATCH($C59,t_Members,0)),p_DefaultShare)))</f>
        <v/>
      </c>
      <c r="S59" s="91">
        <f>IF(OR($Q59="",$R59=""),"",ROUND($Q59*$R59,0))</f>
        <v/>
      </c>
      <c r="T59" s="91">
        <f>IF(OR($Q59="",$S59=""),"",$Q59-$S59)</f>
        <v/>
      </c>
      <c r="U59" s="93">
        <f>IF($B59="","",IFERROR(INDEX(cal_JYear,MATCH($B59,cal_Key,0)),""))</f>
        <v/>
      </c>
      <c r="V59" s="93">
        <f>IF($B59="","",IFERROR(INDEX(cal_JMonth,MATCH($B59,cal_Key,0)),""))</f>
        <v/>
      </c>
      <c r="W59" s="94">
        <f>IF($B59="","",IFERROR(INDEX(cal_YM,MATCH($B59,cal_Key,0)),""))</f>
        <v/>
      </c>
      <c r="X59" s="94">
        <f>IF($B59="","",IFERROR(INDEX(cal_Season,MATCH($B59,cal_Key,0)),""))</f>
        <v/>
      </c>
      <c r="Y59" s="94">
        <f>IF($B59="","",IFERROR(INDEX(cal_Key,MATCH(INDEX(cal_Serial,MATCH($B59,cal_Key,0))+p_Due,cal_Serial,0)),""))</f>
        <v/>
      </c>
      <c r="Z59" s="95">
        <f>IF($B59="","",IF(OR($I59="پرداخت‌شده",$I59="ابطال"),"—",IFERROR(IF(INDEX(cal_Serial,MATCH($B59,cal_Key,0))+p_Due&lt;TODAY(),"بله","خیر"),"تاریخ نامعتبر")))</f>
        <v/>
      </c>
    </row>
    <row r="60" ht="20" customHeight="1">
      <c r="B60" s="86" t="n"/>
      <c r="C60" s="87" t="n"/>
      <c r="D60" s="87" t="n"/>
      <c r="E60" s="87" t="n"/>
      <c r="F60" s="88" t="n"/>
      <c r="G60" s="89" t="n"/>
      <c r="H60" s="90" t="n"/>
      <c r="I60" s="86" t="n"/>
      <c r="J60" s="87" t="n"/>
      <c r="K60" s="91">
        <f>IF($F60="","",$F60*IF($G60="",1,$G60))</f>
        <v/>
      </c>
      <c r="L60" s="92">
        <f>IFERROR(IF($D60="","",INDEX(t_Svc_Rate,MATCH($D60,lst_Service,0))),"")</f>
        <v/>
      </c>
      <c r="M60" s="92">
        <f>IF($L60="","",$L60*IF(p_TierMode="پلکانی",LOOKUP($K60,t_Tier_From,t_Tier_Rate),1))</f>
        <v/>
      </c>
      <c r="N60" s="91">
        <f>IF($K60="","",$K60*$M60)</f>
        <v/>
      </c>
      <c r="O60" s="91">
        <f>IF($N60="","",IF($I60="ابطال",0,MAX(p_Min,MIN(p_Max,$N60))))</f>
        <v/>
      </c>
      <c r="P60" s="91">
        <f>IF($O60="","",ROUND($O60*p_Tax,0))</f>
        <v/>
      </c>
      <c r="Q60" s="91">
        <f>IF($O60="","",$O60+$P60)</f>
        <v/>
      </c>
      <c r="R60" s="92">
        <f>IF($A60="","",IF($H60&lt;&gt;"",$H60,IFERROR(INDEX(t_Member_Share,MATCH($C60,t_Members,0)),p_DefaultShare)))</f>
        <v/>
      </c>
      <c r="S60" s="91">
        <f>IF(OR($Q60="",$R60=""),"",ROUND($Q60*$R60,0))</f>
        <v/>
      </c>
      <c r="T60" s="91">
        <f>IF(OR($Q60="",$S60=""),"",$Q60-$S60)</f>
        <v/>
      </c>
      <c r="U60" s="93">
        <f>IF($B60="","",IFERROR(INDEX(cal_JYear,MATCH($B60,cal_Key,0)),""))</f>
        <v/>
      </c>
      <c r="V60" s="93">
        <f>IF($B60="","",IFERROR(INDEX(cal_JMonth,MATCH($B60,cal_Key,0)),""))</f>
        <v/>
      </c>
      <c r="W60" s="94">
        <f>IF($B60="","",IFERROR(INDEX(cal_YM,MATCH($B60,cal_Key,0)),""))</f>
        <v/>
      </c>
      <c r="X60" s="94">
        <f>IF($B60="","",IFERROR(INDEX(cal_Season,MATCH($B60,cal_Key,0)),""))</f>
        <v/>
      </c>
      <c r="Y60" s="94">
        <f>IF($B60="","",IFERROR(INDEX(cal_Key,MATCH(INDEX(cal_Serial,MATCH($B60,cal_Key,0))+p_Due,cal_Serial,0)),""))</f>
        <v/>
      </c>
      <c r="Z60" s="95">
        <f>IF($B60="","",IF(OR($I60="پرداخت‌شده",$I60="ابطال"),"—",IFERROR(IF(INDEX(cal_Serial,MATCH($B60,cal_Key,0))+p_Due&lt;TODAY(),"بله","خیر"),"تاریخ نامعتبر")))</f>
        <v/>
      </c>
    </row>
    <row r="61" ht="20" customHeight="1">
      <c r="B61" s="86" t="n"/>
      <c r="C61" s="87" t="n"/>
      <c r="D61" s="87" t="n"/>
      <c r="E61" s="87" t="n"/>
      <c r="F61" s="88" t="n"/>
      <c r="G61" s="89" t="n"/>
      <c r="H61" s="90" t="n"/>
      <c r="I61" s="86" t="n"/>
      <c r="J61" s="87" t="n"/>
      <c r="K61" s="91">
        <f>IF($F61="","",$F61*IF($G61="",1,$G61))</f>
        <v/>
      </c>
      <c r="L61" s="92">
        <f>IFERROR(IF($D61="","",INDEX(t_Svc_Rate,MATCH($D61,lst_Service,0))),"")</f>
        <v/>
      </c>
      <c r="M61" s="92">
        <f>IF($L61="","",$L61*IF(p_TierMode="پلکانی",LOOKUP($K61,t_Tier_From,t_Tier_Rate),1))</f>
        <v/>
      </c>
      <c r="N61" s="91">
        <f>IF($K61="","",$K61*$M61)</f>
        <v/>
      </c>
      <c r="O61" s="91">
        <f>IF($N61="","",IF($I61="ابطال",0,MAX(p_Min,MIN(p_Max,$N61))))</f>
        <v/>
      </c>
      <c r="P61" s="91">
        <f>IF($O61="","",ROUND($O61*p_Tax,0))</f>
        <v/>
      </c>
      <c r="Q61" s="91">
        <f>IF($O61="","",$O61+$P61)</f>
        <v/>
      </c>
      <c r="R61" s="92">
        <f>IF($A61="","",IF($H61&lt;&gt;"",$H61,IFERROR(INDEX(t_Member_Share,MATCH($C61,t_Members,0)),p_DefaultShare)))</f>
        <v/>
      </c>
      <c r="S61" s="91">
        <f>IF(OR($Q61="",$R61=""),"",ROUND($Q61*$R61,0))</f>
        <v/>
      </c>
      <c r="T61" s="91">
        <f>IF(OR($Q61="",$S61=""),"",$Q61-$S61)</f>
        <v/>
      </c>
      <c r="U61" s="93">
        <f>IF($B61="","",IFERROR(INDEX(cal_JYear,MATCH($B61,cal_Key,0)),""))</f>
        <v/>
      </c>
      <c r="V61" s="93">
        <f>IF($B61="","",IFERROR(INDEX(cal_JMonth,MATCH($B61,cal_Key,0)),""))</f>
        <v/>
      </c>
      <c r="W61" s="94">
        <f>IF($B61="","",IFERROR(INDEX(cal_YM,MATCH($B61,cal_Key,0)),""))</f>
        <v/>
      </c>
      <c r="X61" s="94">
        <f>IF($B61="","",IFERROR(INDEX(cal_Season,MATCH($B61,cal_Key,0)),""))</f>
        <v/>
      </c>
      <c r="Y61" s="94">
        <f>IF($B61="","",IFERROR(INDEX(cal_Key,MATCH(INDEX(cal_Serial,MATCH($B61,cal_Key,0))+p_Due,cal_Serial,0)),""))</f>
        <v/>
      </c>
      <c r="Z61" s="95">
        <f>IF($B61="","",IF(OR($I61="پرداخت‌شده",$I61="ابطال"),"—",IFERROR(IF(INDEX(cal_Serial,MATCH($B61,cal_Key,0))+p_Due&lt;TODAY(),"بله","خیر"),"تاریخ نامعتبر")))</f>
        <v/>
      </c>
    </row>
    <row r="62" ht="20" customHeight="1">
      <c r="B62" s="86" t="n"/>
      <c r="C62" s="87" t="n"/>
      <c r="D62" s="87" t="n"/>
      <c r="E62" s="87" t="n"/>
      <c r="F62" s="88" t="n"/>
      <c r="G62" s="89" t="n"/>
      <c r="H62" s="90" t="n"/>
      <c r="I62" s="86" t="n"/>
      <c r="J62" s="87" t="n"/>
      <c r="K62" s="91">
        <f>IF($F62="","",$F62*IF($G62="",1,$G62))</f>
        <v/>
      </c>
      <c r="L62" s="92">
        <f>IFERROR(IF($D62="","",INDEX(t_Svc_Rate,MATCH($D62,lst_Service,0))),"")</f>
        <v/>
      </c>
      <c r="M62" s="92">
        <f>IF($L62="","",$L62*IF(p_TierMode="پلکانی",LOOKUP($K62,t_Tier_From,t_Tier_Rate),1))</f>
        <v/>
      </c>
      <c r="N62" s="91">
        <f>IF($K62="","",$K62*$M62)</f>
        <v/>
      </c>
      <c r="O62" s="91">
        <f>IF($N62="","",IF($I62="ابطال",0,MAX(p_Min,MIN(p_Max,$N62))))</f>
        <v/>
      </c>
      <c r="P62" s="91">
        <f>IF($O62="","",ROUND($O62*p_Tax,0))</f>
        <v/>
      </c>
      <c r="Q62" s="91">
        <f>IF($O62="","",$O62+$P62)</f>
        <v/>
      </c>
      <c r="R62" s="92">
        <f>IF($A62="","",IF($H62&lt;&gt;"",$H62,IFERROR(INDEX(t_Member_Share,MATCH($C62,t_Members,0)),p_DefaultShare)))</f>
        <v/>
      </c>
      <c r="S62" s="91">
        <f>IF(OR($Q62="",$R62=""),"",ROUND($Q62*$R62,0))</f>
        <v/>
      </c>
      <c r="T62" s="91">
        <f>IF(OR($Q62="",$S62=""),"",$Q62-$S62)</f>
        <v/>
      </c>
      <c r="U62" s="93">
        <f>IF($B62="","",IFERROR(INDEX(cal_JYear,MATCH($B62,cal_Key,0)),""))</f>
        <v/>
      </c>
      <c r="V62" s="93">
        <f>IF($B62="","",IFERROR(INDEX(cal_JMonth,MATCH($B62,cal_Key,0)),""))</f>
        <v/>
      </c>
      <c r="W62" s="94">
        <f>IF($B62="","",IFERROR(INDEX(cal_YM,MATCH($B62,cal_Key,0)),""))</f>
        <v/>
      </c>
      <c r="X62" s="94">
        <f>IF($B62="","",IFERROR(INDEX(cal_Season,MATCH($B62,cal_Key,0)),""))</f>
        <v/>
      </c>
      <c r="Y62" s="94">
        <f>IF($B62="","",IFERROR(INDEX(cal_Key,MATCH(INDEX(cal_Serial,MATCH($B62,cal_Key,0))+p_Due,cal_Serial,0)),""))</f>
        <v/>
      </c>
      <c r="Z62" s="95">
        <f>IF($B62="","",IF(OR($I62="پرداخت‌شده",$I62="ابطال"),"—",IFERROR(IF(INDEX(cal_Serial,MATCH($B62,cal_Key,0))+p_Due&lt;TODAY(),"بله","خیر"),"تاریخ نامعتبر")))</f>
        <v/>
      </c>
    </row>
    <row r="63" ht="20" customHeight="1">
      <c r="B63" s="86" t="n"/>
      <c r="C63" s="87" t="n"/>
      <c r="D63" s="87" t="n"/>
      <c r="E63" s="87" t="n"/>
      <c r="F63" s="88" t="n"/>
      <c r="G63" s="89" t="n"/>
      <c r="H63" s="90" t="n"/>
      <c r="I63" s="86" t="n"/>
      <c r="J63" s="87" t="n"/>
      <c r="K63" s="91">
        <f>IF($F63="","",$F63*IF($G63="",1,$G63))</f>
        <v/>
      </c>
      <c r="L63" s="92">
        <f>IFERROR(IF($D63="","",INDEX(t_Svc_Rate,MATCH($D63,lst_Service,0))),"")</f>
        <v/>
      </c>
      <c r="M63" s="92">
        <f>IF($L63="","",$L63*IF(p_TierMode="پلکانی",LOOKUP($K63,t_Tier_From,t_Tier_Rate),1))</f>
        <v/>
      </c>
      <c r="N63" s="91">
        <f>IF($K63="","",$K63*$M63)</f>
        <v/>
      </c>
      <c r="O63" s="91">
        <f>IF($N63="","",IF($I63="ابطال",0,MAX(p_Min,MIN(p_Max,$N63))))</f>
        <v/>
      </c>
      <c r="P63" s="91">
        <f>IF($O63="","",ROUND($O63*p_Tax,0))</f>
        <v/>
      </c>
      <c r="Q63" s="91">
        <f>IF($O63="","",$O63+$P63)</f>
        <v/>
      </c>
      <c r="R63" s="92">
        <f>IF($A63="","",IF($H63&lt;&gt;"",$H63,IFERROR(INDEX(t_Member_Share,MATCH($C63,t_Members,0)),p_DefaultShare)))</f>
        <v/>
      </c>
      <c r="S63" s="91">
        <f>IF(OR($Q63="",$R63=""),"",ROUND($Q63*$R63,0))</f>
        <v/>
      </c>
      <c r="T63" s="91">
        <f>IF(OR($Q63="",$S63=""),"",$Q63-$S63)</f>
        <v/>
      </c>
      <c r="U63" s="93">
        <f>IF($B63="","",IFERROR(INDEX(cal_JYear,MATCH($B63,cal_Key,0)),""))</f>
        <v/>
      </c>
      <c r="V63" s="93">
        <f>IF($B63="","",IFERROR(INDEX(cal_JMonth,MATCH($B63,cal_Key,0)),""))</f>
        <v/>
      </c>
      <c r="W63" s="94">
        <f>IF($B63="","",IFERROR(INDEX(cal_YM,MATCH($B63,cal_Key,0)),""))</f>
        <v/>
      </c>
      <c r="X63" s="94">
        <f>IF($B63="","",IFERROR(INDEX(cal_Season,MATCH($B63,cal_Key,0)),""))</f>
        <v/>
      </c>
      <c r="Y63" s="94">
        <f>IF($B63="","",IFERROR(INDEX(cal_Key,MATCH(INDEX(cal_Serial,MATCH($B63,cal_Key,0))+p_Due,cal_Serial,0)),""))</f>
        <v/>
      </c>
      <c r="Z63" s="95">
        <f>IF($B63="","",IF(OR($I63="پرداخت‌شده",$I63="ابطال"),"—",IFERROR(IF(INDEX(cal_Serial,MATCH($B63,cal_Key,0))+p_Due&lt;TODAY(),"بله","خیر"),"تاریخ نامعتبر")))</f>
        <v/>
      </c>
    </row>
    <row r="64" ht="20" customHeight="1">
      <c r="B64" s="86" t="n"/>
      <c r="C64" s="87" t="n"/>
      <c r="D64" s="87" t="n"/>
      <c r="E64" s="87" t="n"/>
      <c r="F64" s="88" t="n"/>
      <c r="G64" s="89" t="n"/>
      <c r="H64" s="90" t="n"/>
      <c r="I64" s="86" t="n"/>
      <c r="J64" s="87" t="n"/>
      <c r="K64" s="91">
        <f>IF($F64="","",$F64*IF($G64="",1,$G64))</f>
        <v/>
      </c>
      <c r="L64" s="92">
        <f>IFERROR(IF($D64="","",INDEX(t_Svc_Rate,MATCH($D64,lst_Service,0))),"")</f>
        <v/>
      </c>
      <c r="M64" s="92">
        <f>IF($L64="","",$L64*IF(p_TierMode="پلکانی",LOOKUP($K64,t_Tier_From,t_Tier_Rate),1))</f>
        <v/>
      </c>
      <c r="N64" s="91">
        <f>IF($K64="","",$K64*$M64)</f>
        <v/>
      </c>
      <c r="O64" s="91">
        <f>IF($N64="","",IF($I64="ابطال",0,MAX(p_Min,MIN(p_Max,$N64))))</f>
        <v/>
      </c>
      <c r="P64" s="91">
        <f>IF($O64="","",ROUND($O64*p_Tax,0))</f>
        <v/>
      </c>
      <c r="Q64" s="91">
        <f>IF($O64="","",$O64+$P64)</f>
        <v/>
      </c>
      <c r="R64" s="92">
        <f>IF($A64="","",IF($H64&lt;&gt;"",$H64,IFERROR(INDEX(t_Member_Share,MATCH($C64,t_Members,0)),p_DefaultShare)))</f>
        <v/>
      </c>
      <c r="S64" s="91">
        <f>IF(OR($Q64="",$R64=""),"",ROUND($Q64*$R64,0))</f>
        <v/>
      </c>
      <c r="T64" s="91">
        <f>IF(OR($Q64="",$S64=""),"",$Q64-$S64)</f>
        <v/>
      </c>
      <c r="U64" s="93">
        <f>IF($B64="","",IFERROR(INDEX(cal_JYear,MATCH($B64,cal_Key,0)),""))</f>
        <v/>
      </c>
      <c r="V64" s="93">
        <f>IF($B64="","",IFERROR(INDEX(cal_JMonth,MATCH($B64,cal_Key,0)),""))</f>
        <v/>
      </c>
      <c r="W64" s="94">
        <f>IF($B64="","",IFERROR(INDEX(cal_YM,MATCH($B64,cal_Key,0)),""))</f>
        <v/>
      </c>
      <c r="X64" s="94">
        <f>IF($B64="","",IFERROR(INDEX(cal_Season,MATCH($B64,cal_Key,0)),""))</f>
        <v/>
      </c>
      <c r="Y64" s="94">
        <f>IF($B64="","",IFERROR(INDEX(cal_Key,MATCH(INDEX(cal_Serial,MATCH($B64,cal_Key,0))+p_Due,cal_Serial,0)),""))</f>
        <v/>
      </c>
      <c r="Z64" s="95">
        <f>IF($B64="","",IF(OR($I64="پرداخت‌شده",$I64="ابطال"),"—",IFERROR(IF(INDEX(cal_Serial,MATCH($B64,cal_Key,0))+p_Due&lt;TODAY(),"بله","خیر"),"تاریخ نامعتبر")))</f>
        <v/>
      </c>
    </row>
    <row r="65" ht="20" customHeight="1">
      <c r="B65" s="86" t="n"/>
      <c r="C65" s="87" t="n"/>
      <c r="D65" s="87" t="n"/>
      <c r="E65" s="87" t="n"/>
      <c r="F65" s="88" t="n"/>
      <c r="G65" s="89" t="n"/>
      <c r="H65" s="90" t="n"/>
      <c r="I65" s="86" t="n"/>
      <c r="J65" s="87" t="n"/>
      <c r="K65" s="91">
        <f>IF($F65="","",$F65*IF($G65="",1,$G65))</f>
        <v/>
      </c>
      <c r="L65" s="92">
        <f>IFERROR(IF($D65="","",INDEX(t_Svc_Rate,MATCH($D65,lst_Service,0))),"")</f>
        <v/>
      </c>
      <c r="M65" s="92">
        <f>IF($L65="","",$L65*IF(p_TierMode="پلکانی",LOOKUP($K65,t_Tier_From,t_Tier_Rate),1))</f>
        <v/>
      </c>
      <c r="N65" s="91">
        <f>IF($K65="","",$K65*$M65)</f>
        <v/>
      </c>
      <c r="O65" s="91">
        <f>IF($N65="","",IF($I65="ابطال",0,MAX(p_Min,MIN(p_Max,$N65))))</f>
        <v/>
      </c>
      <c r="P65" s="91">
        <f>IF($O65="","",ROUND($O65*p_Tax,0))</f>
        <v/>
      </c>
      <c r="Q65" s="91">
        <f>IF($O65="","",$O65+$P65)</f>
        <v/>
      </c>
      <c r="R65" s="92">
        <f>IF($A65="","",IF($H65&lt;&gt;"",$H65,IFERROR(INDEX(t_Member_Share,MATCH($C65,t_Members,0)),p_DefaultShare)))</f>
        <v/>
      </c>
      <c r="S65" s="91">
        <f>IF(OR($Q65="",$R65=""),"",ROUND($Q65*$R65,0))</f>
        <v/>
      </c>
      <c r="T65" s="91">
        <f>IF(OR($Q65="",$S65=""),"",$Q65-$S65)</f>
        <v/>
      </c>
      <c r="U65" s="93">
        <f>IF($B65="","",IFERROR(INDEX(cal_JYear,MATCH($B65,cal_Key,0)),""))</f>
        <v/>
      </c>
      <c r="V65" s="93">
        <f>IF($B65="","",IFERROR(INDEX(cal_JMonth,MATCH($B65,cal_Key,0)),""))</f>
        <v/>
      </c>
      <c r="W65" s="94">
        <f>IF($B65="","",IFERROR(INDEX(cal_YM,MATCH($B65,cal_Key,0)),""))</f>
        <v/>
      </c>
      <c r="X65" s="94">
        <f>IF($B65="","",IFERROR(INDEX(cal_Season,MATCH($B65,cal_Key,0)),""))</f>
        <v/>
      </c>
      <c r="Y65" s="94">
        <f>IF($B65="","",IFERROR(INDEX(cal_Key,MATCH(INDEX(cal_Serial,MATCH($B65,cal_Key,0))+p_Due,cal_Serial,0)),""))</f>
        <v/>
      </c>
      <c r="Z65" s="95">
        <f>IF($B65="","",IF(OR($I65="پرداخت‌شده",$I65="ابطال"),"—",IFERROR(IF(INDEX(cal_Serial,MATCH($B65,cal_Key,0))+p_Due&lt;TODAY(),"بله","خیر"),"تاریخ نامعتبر")))</f>
        <v/>
      </c>
    </row>
    <row r="66" ht="20" customHeight="1">
      <c r="B66" s="86" t="n"/>
      <c r="C66" s="87" t="n"/>
      <c r="D66" s="87" t="n"/>
      <c r="E66" s="87" t="n"/>
      <c r="F66" s="88" t="n"/>
      <c r="G66" s="89" t="n"/>
      <c r="H66" s="90" t="n"/>
      <c r="I66" s="86" t="n"/>
      <c r="J66" s="87" t="n"/>
      <c r="K66" s="91">
        <f>IF($F66="","",$F66*IF($G66="",1,$G66))</f>
        <v/>
      </c>
      <c r="L66" s="92">
        <f>IFERROR(IF($D66="","",INDEX(t_Svc_Rate,MATCH($D66,lst_Service,0))),"")</f>
        <v/>
      </c>
      <c r="M66" s="92">
        <f>IF($L66="","",$L66*IF(p_TierMode="پلکانی",LOOKUP($K66,t_Tier_From,t_Tier_Rate),1))</f>
        <v/>
      </c>
      <c r="N66" s="91">
        <f>IF($K66="","",$K66*$M66)</f>
        <v/>
      </c>
      <c r="O66" s="91">
        <f>IF($N66="","",IF($I66="ابطال",0,MAX(p_Min,MIN(p_Max,$N66))))</f>
        <v/>
      </c>
      <c r="P66" s="91">
        <f>IF($O66="","",ROUND($O66*p_Tax,0))</f>
        <v/>
      </c>
      <c r="Q66" s="91">
        <f>IF($O66="","",$O66+$P66)</f>
        <v/>
      </c>
      <c r="R66" s="92">
        <f>IF($A66="","",IF($H66&lt;&gt;"",$H66,IFERROR(INDEX(t_Member_Share,MATCH($C66,t_Members,0)),p_DefaultShare)))</f>
        <v/>
      </c>
      <c r="S66" s="91">
        <f>IF(OR($Q66="",$R66=""),"",ROUND($Q66*$R66,0))</f>
        <v/>
      </c>
      <c r="T66" s="91">
        <f>IF(OR($Q66="",$S66=""),"",$Q66-$S66)</f>
        <v/>
      </c>
      <c r="U66" s="93">
        <f>IF($B66="","",IFERROR(INDEX(cal_JYear,MATCH($B66,cal_Key,0)),""))</f>
        <v/>
      </c>
      <c r="V66" s="93">
        <f>IF($B66="","",IFERROR(INDEX(cal_JMonth,MATCH($B66,cal_Key,0)),""))</f>
        <v/>
      </c>
      <c r="W66" s="94">
        <f>IF($B66="","",IFERROR(INDEX(cal_YM,MATCH($B66,cal_Key,0)),""))</f>
        <v/>
      </c>
      <c r="X66" s="94">
        <f>IF($B66="","",IFERROR(INDEX(cal_Season,MATCH($B66,cal_Key,0)),""))</f>
        <v/>
      </c>
      <c r="Y66" s="94">
        <f>IF($B66="","",IFERROR(INDEX(cal_Key,MATCH(INDEX(cal_Serial,MATCH($B66,cal_Key,0))+p_Due,cal_Serial,0)),""))</f>
        <v/>
      </c>
      <c r="Z66" s="95">
        <f>IF($B66="","",IF(OR($I66="پرداخت‌شده",$I66="ابطال"),"—",IFERROR(IF(INDEX(cal_Serial,MATCH($B66,cal_Key,0))+p_Due&lt;TODAY(),"بله","خیر"),"تاریخ نامعتبر")))</f>
        <v/>
      </c>
    </row>
    <row r="67" ht="20" customHeight="1">
      <c r="B67" s="86" t="n"/>
      <c r="C67" s="87" t="n"/>
      <c r="D67" s="87" t="n"/>
      <c r="E67" s="87" t="n"/>
      <c r="F67" s="88" t="n"/>
      <c r="G67" s="89" t="n"/>
      <c r="H67" s="90" t="n"/>
      <c r="I67" s="86" t="n"/>
      <c r="J67" s="87" t="n"/>
      <c r="K67" s="91">
        <f>IF($F67="","",$F67*IF($G67="",1,$G67))</f>
        <v/>
      </c>
      <c r="L67" s="92">
        <f>IFERROR(IF($D67="","",INDEX(t_Svc_Rate,MATCH($D67,lst_Service,0))),"")</f>
        <v/>
      </c>
      <c r="M67" s="92">
        <f>IF($L67="","",$L67*IF(p_TierMode="پلکانی",LOOKUP($K67,t_Tier_From,t_Tier_Rate),1))</f>
        <v/>
      </c>
      <c r="N67" s="91">
        <f>IF($K67="","",$K67*$M67)</f>
        <v/>
      </c>
      <c r="O67" s="91">
        <f>IF($N67="","",IF($I67="ابطال",0,MAX(p_Min,MIN(p_Max,$N67))))</f>
        <v/>
      </c>
      <c r="P67" s="91">
        <f>IF($O67="","",ROUND($O67*p_Tax,0))</f>
        <v/>
      </c>
      <c r="Q67" s="91">
        <f>IF($O67="","",$O67+$P67)</f>
        <v/>
      </c>
      <c r="R67" s="92">
        <f>IF($A67="","",IF($H67&lt;&gt;"",$H67,IFERROR(INDEX(t_Member_Share,MATCH($C67,t_Members,0)),p_DefaultShare)))</f>
        <v/>
      </c>
      <c r="S67" s="91">
        <f>IF(OR($Q67="",$R67=""),"",ROUND($Q67*$R67,0))</f>
        <v/>
      </c>
      <c r="T67" s="91">
        <f>IF(OR($Q67="",$S67=""),"",$Q67-$S67)</f>
        <v/>
      </c>
      <c r="U67" s="93">
        <f>IF($B67="","",IFERROR(INDEX(cal_JYear,MATCH($B67,cal_Key,0)),""))</f>
        <v/>
      </c>
      <c r="V67" s="93">
        <f>IF($B67="","",IFERROR(INDEX(cal_JMonth,MATCH($B67,cal_Key,0)),""))</f>
        <v/>
      </c>
      <c r="W67" s="94">
        <f>IF($B67="","",IFERROR(INDEX(cal_YM,MATCH($B67,cal_Key,0)),""))</f>
        <v/>
      </c>
      <c r="X67" s="94">
        <f>IF($B67="","",IFERROR(INDEX(cal_Season,MATCH($B67,cal_Key,0)),""))</f>
        <v/>
      </c>
      <c r="Y67" s="94">
        <f>IF($B67="","",IFERROR(INDEX(cal_Key,MATCH(INDEX(cal_Serial,MATCH($B67,cal_Key,0))+p_Due,cal_Serial,0)),""))</f>
        <v/>
      </c>
      <c r="Z67" s="95">
        <f>IF($B67="","",IF(OR($I67="پرداخت‌شده",$I67="ابطال"),"—",IFERROR(IF(INDEX(cal_Serial,MATCH($B67,cal_Key,0))+p_Due&lt;TODAY(),"بله","خیر"),"تاریخ نامعتبر")))</f>
        <v/>
      </c>
    </row>
    <row r="68" ht="20" customHeight="1">
      <c r="B68" s="86" t="n"/>
      <c r="C68" s="87" t="n"/>
      <c r="D68" s="87" t="n"/>
      <c r="E68" s="87" t="n"/>
      <c r="F68" s="88" t="n"/>
      <c r="G68" s="89" t="n"/>
      <c r="H68" s="90" t="n"/>
      <c r="I68" s="86" t="n"/>
      <c r="J68" s="87" t="n"/>
      <c r="K68" s="91">
        <f>IF($F68="","",$F68*IF($G68="",1,$G68))</f>
        <v/>
      </c>
      <c r="L68" s="92">
        <f>IFERROR(IF($D68="","",INDEX(t_Svc_Rate,MATCH($D68,lst_Service,0))),"")</f>
        <v/>
      </c>
      <c r="M68" s="92">
        <f>IF($L68="","",$L68*IF(p_TierMode="پلکانی",LOOKUP($K68,t_Tier_From,t_Tier_Rate),1))</f>
        <v/>
      </c>
      <c r="N68" s="91">
        <f>IF($K68="","",$K68*$M68)</f>
        <v/>
      </c>
      <c r="O68" s="91">
        <f>IF($N68="","",IF($I68="ابطال",0,MAX(p_Min,MIN(p_Max,$N68))))</f>
        <v/>
      </c>
      <c r="P68" s="91">
        <f>IF($O68="","",ROUND($O68*p_Tax,0))</f>
        <v/>
      </c>
      <c r="Q68" s="91">
        <f>IF($O68="","",$O68+$P68)</f>
        <v/>
      </c>
      <c r="R68" s="92">
        <f>IF($A68="","",IF($H68&lt;&gt;"",$H68,IFERROR(INDEX(t_Member_Share,MATCH($C68,t_Members,0)),p_DefaultShare)))</f>
        <v/>
      </c>
      <c r="S68" s="91">
        <f>IF(OR($Q68="",$R68=""),"",ROUND($Q68*$R68,0))</f>
        <v/>
      </c>
      <c r="T68" s="91">
        <f>IF(OR($Q68="",$S68=""),"",$Q68-$S68)</f>
        <v/>
      </c>
      <c r="U68" s="93">
        <f>IF($B68="","",IFERROR(INDEX(cal_JYear,MATCH($B68,cal_Key,0)),""))</f>
        <v/>
      </c>
      <c r="V68" s="93">
        <f>IF($B68="","",IFERROR(INDEX(cal_JMonth,MATCH($B68,cal_Key,0)),""))</f>
        <v/>
      </c>
      <c r="W68" s="94">
        <f>IF($B68="","",IFERROR(INDEX(cal_YM,MATCH($B68,cal_Key,0)),""))</f>
        <v/>
      </c>
      <c r="X68" s="94">
        <f>IF($B68="","",IFERROR(INDEX(cal_Season,MATCH($B68,cal_Key,0)),""))</f>
        <v/>
      </c>
      <c r="Y68" s="94">
        <f>IF($B68="","",IFERROR(INDEX(cal_Key,MATCH(INDEX(cal_Serial,MATCH($B68,cal_Key,0))+p_Due,cal_Serial,0)),""))</f>
        <v/>
      </c>
      <c r="Z68" s="95">
        <f>IF($B68="","",IF(OR($I68="پرداخت‌شده",$I68="ابطال"),"—",IFERROR(IF(INDEX(cal_Serial,MATCH($B68,cal_Key,0))+p_Due&lt;TODAY(),"بله","خیر"),"تاریخ نامعتبر")))</f>
        <v/>
      </c>
    </row>
    <row r="69" ht="20" customHeight="1">
      <c r="B69" s="86" t="n"/>
      <c r="C69" s="87" t="n"/>
      <c r="D69" s="87" t="n"/>
      <c r="E69" s="87" t="n"/>
      <c r="F69" s="88" t="n"/>
      <c r="G69" s="89" t="n"/>
      <c r="H69" s="90" t="n"/>
      <c r="I69" s="86" t="n"/>
      <c r="J69" s="87" t="n"/>
      <c r="K69" s="91">
        <f>IF($F69="","",$F69*IF($G69="",1,$G69))</f>
        <v/>
      </c>
      <c r="L69" s="92">
        <f>IFERROR(IF($D69="","",INDEX(t_Svc_Rate,MATCH($D69,lst_Service,0))),"")</f>
        <v/>
      </c>
      <c r="M69" s="92">
        <f>IF($L69="","",$L69*IF(p_TierMode="پلکانی",LOOKUP($K69,t_Tier_From,t_Tier_Rate),1))</f>
        <v/>
      </c>
      <c r="N69" s="91">
        <f>IF($K69="","",$K69*$M69)</f>
        <v/>
      </c>
      <c r="O69" s="91">
        <f>IF($N69="","",IF($I69="ابطال",0,MAX(p_Min,MIN(p_Max,$N69))))</f>
        <v/>
      </c>
      <c r="P69" s="91">
        <f>IF($O69="","",ROUND($O69*p_Tax,0))</f>
        <v/>
      </c>
      <c r="Q69" s="91">
        <f>IF($O69="","",$O69+$P69)</f>
        <v/>
      </c>
      <c r="R69" s="92">
        <f>IF($A69="","",IF($H69&lt;&gt;"",$H69,IFERROR(INDEX(t_Member_Share,MATCH($C69,t_Members,0)),p_DefaultShare)))</f>
        <v/>
      </c>
      <c r="S69" s="91">
        <f>IF(OR($Q69="",$R69=""),"",ROUND($Q69*$R69,0))</f>
        <v/>
      </c>
      <c r="T69" s="91">
        <f>IF(OR($Q69="",$S69=""),"",$Q69-$S69)</f>
        <v/>
      </c>
      <c r="U69" s="93">
        <f>IF($B69="","",IFERROR(INDEX(cal_JYear,MATCH($B69,cal_Key,0)),""))</f>
        <v/>
      </c>
      <c r="V69" s="93">
        <f>IF($B69="","",IFERROR(INDEX(cal_JMonth,MATCH($B69,cal_Key,0)),""))</f>
        <v/>
      </c>
      <c r="W69" s="94">
        <f>IF($B69="","",IFERROR(INDEX(cal_YM,MATCH($B69,cal_Key,0)),""))</f>
        <v/>
      </c>
      <c r="X69" s="94">
        <f>IF($B69="","",IFERROR(INDEX(cal_Season,MATCH($B69,cal_Key,0)),""))</f>
        <v/>
      </c>
      <c r="Y69" s="94">
        <f>IF($B69="","",IFERROR(INDEX(cal_Key,MATCH(INDEX(cal_Serial,MATCH($B69,cal_Key,0))+p_Due,cal_Serial,0)),""))</f>
        <v/>
      </c>
      <c r="Z69" s="95">
        <f>IF($B69="","",IF(OR($I69="پرداخت‌شده",$I69="ابطال"),"—",IFERROR(IF(INDEX(cal_Serial,MATCH($B69,cal_Key,0))+p_Due&lt;TODAY(),"بله","خیر"),"تاریخ نامعتبر")))</f>
        <v/>
      </c>
    </row>
    <row r="70" ht="20" customHeight="1">
      <c r="B70" s="86" t="n"/>
      <c r="C70" s="87" t="n"/>
      <c r="D70" s="87" t="n"/>
      <c r="E70" s="87" t="n"/>
      <c r="F70" s="88" t="n"/>
      <c r="G70" s="89" t="n"/>
      <c r="H70" s="90" t="n"/>
      <c r="I70" s="86" t="n"/>
      <c r="J70" s="87" t="n"/>
      <c r="K70" s="91">
        <f>IF($F70="","",$F70*IF($G70="",1,$G70))</f>
        <v/>
      </c>
      <c r="L70" s="92">
        <f>IFERROR(IF($D70="","",INDEX(t_Svc_Rate,MATCH($D70,lst_Service,0))),"")</f>
        <v/>
      </c>
      <c r="M70" s="92">
        <f>IF($L70="","",$L70*IF(p_TierMode="پلکانی",LOOKUP($K70,t_Tier_From,t_Tier_Rate),1))</f>
        <v/>
      </c>
      <c r="N70" s="91">
        <f>IF($K70="","",$K70*$M70)</f>
        <v/>
      </c>
      <c r="O70" s="91">
        <f>IF($N70="","",IF($I70="ابطال",0,MAX(p_Min,MIN(p_Max,$N70))))</f>
        <v/>
      </c>
      <c r="P70" s="91">
        <f>IF($O70="","",ROUND($O70*p_Tax,0))</f>
        <v/>
      </c>
      <c r="Q70" s="91">
        <f>IF($O70="","",$O70+$P70)</f>
        <v/>
      </c>
      <c r="R70" s="92">
        <f>IF($A70="","",IF($H70&lt;&gt;"",$H70,IFERROR(INDEX(t_Member_Share,MATCH($C70,t_Members,0)),p_DefaultShare)))</f>
        <v/>
      </c>
      <c r="S70" s="91">
        <f>IF(OR($Q70="",$R70=""),"",ROUND($Q70*$R70,0))</f>
        <v/>
      </c>
      <c r="T70" s="91">
        <f>IF(OR($Q70="",$S70=""),"",$Q70-$S70)</f>
        <v/>
      </c>
      <c r="U70" s="93">
        <f>IF($B70="","",IFERROR(INDEX(cal_JYear,MATCH($B70,cal_Key,0)),""))</f>
        <v/>
      </c>
      <c r="V70" s="93">
        <f>IF($B70="","",IFERROR(INDEX(cal_JMonth,MATCH($B70,cal_Key,0)),""))</f>
        <v/>
      </c>
      <c r="W70" s="94">
        <f>IF($B70="","",IFERROR(INDEX(cal_YM,MATCH($B70,cal_Key,0)),""))</f>
        <v/>
      </c>
      <c r="X70" s="94">
        <f>IF($B70="","",IFERROR(INDEX(cal_Season,MATCH($B70,cal_Key,0)),""))</f>
        <v/>
      </c>
      <c r="Y70" s="94">
        <f>IF($B70="","",IFERROR(INDEX(cal_Key,MATCH(INDEX(cal_Serial,MATCH($B70,cal_Key,0))+p_Due,cal_Serial,0)),""))</f>
        <v/>
      </c>
      <c r="Z70" s="95">
        <f>IF($B70="","",IF(OR($I70="پرداخت‌شده",$I70="ابطال"),"—",IFERROR(IF(INDEX(cal_Serial,MATCH($B70,cal_Key,0))+p_Due&lt;TODAY(),"بله","خیر"),"تاریخ نامعتبر")))</f>
        <v/>
      </c>
    </row>
    <row r="71" ht="20" customHeight="1">
      <c r="B71" s="86" t="n"/>
      <c r="C71" s="87" t="n"/>
      <c r="D71" s="87" t="n"/>
      <c r="E71" s="87" t="n"/>
      <c r="F71" s="88" t="n"/>
      <c r="G71" s="89" t="n"/>
      <c r="H71" s="90" t="n"/>
      <c r="I71" s="86" t="n"/>
      <c r="J71" s="87" t="n"/>
      <c r="K71" s="91">
        <f>IF($F71="","",$F71*IF($G71="",1,$G71))</f>
        <v/>
      </c>
      <c r="L71" s="92">
        <f>IFERROR(IF($D71="","",INDEX(t_Svc_Rate,MATCH($D71,lst_Service,0))),"")</f>
        <v/>
      </c>
      <c r="M71" s="92">
        <f>IF($L71="","",$L71*IF(p_TierMode="پلکانی",LOOKUP($K71,t_Tier_From,t_Tier_Rate),1))</f>
        <v/>
      </c>
      <c r="N71" s="91">
        <f>IF($K71="","",$K71*$M71)</f>
        <v/>
      </c>
      <c r="O71" s="91">
        <f>IF($N71="","",IF($I71="ابطال",0,MAX(p_Min,MIN(p_Max,$N71))))</f>
        <v/>
      </c>
      <c r="P71" s="91">
        <f>IF($O71="","",ROUND($O71*p_Tax,0))</f>
        <v/>
      </c>
      <c r="Q71" s="91">
        <f>IF($O71="","",$O71+$P71)</f>
        <v/>
      </c>
      <c r="R71" s="92">
        <f>IF($A71="","",IF($H71&lt;&gt;"",$H71,IFERROR(INDEX(t_Member_Share,MATCH($C71,t_Members,0)),p_DefaultShare)))</f>
        <v/>
      </c>
      <c r="S71" s="91">
        <f>IF(OR($Q71="",$R71=""),"",ROUND($Q71*$R71,0))</f>
        <v/>
      </c>
      <c r="T71" s="91">
        <f>IF(OR($Q71="",$S71=""),"",$Q71-$S71)</f>
        <v/>
      </c>
      <c r="U71" s="93">
        <f>IF($B71="","",IFERROR(INDEX(cal_JYear,MATCH($B71,cal_Key,0)),""))</f>
        <v/>
      </c>
      <c r="V71" s="93">
        <f>IF($B71="","",IFERROR(INDEX(cal_JMonth,MATCH($B71,cal_Key,0)),""))</f>
        <v/>
      </c>
      <c r="W71" s="94">
        <f>IF($B71="","",IFERROR(INDEX(cal_YM,MATCH($B71,cal_Key,0)),""))</f>
        <v/>
      </c>
      <c r="X71" s="94">
        <f>IF($B71="","",IFERROR(INDEX(cal_Season,MATCH($B71,cal_Key,0)),""))</f>
        <v/>
      </c>
      <c r="Y71" s="94">
        <f>IF($B71="","",IFERROR(INDEX(cal_Key,MATCH(INDEX(cal_Serial,MATCH($B71,cal_Key,0))+p_Due,cal_Serial,0)),""))</f>
        <v/>
      </c>
      <c r="Z71" s="95">
        <f>IF($B71="","",IF(OR($I71="پرداخت‌شده",$I71="ابطال"),"—",IFERROR(IF(INDEX(cal_Serial,MATCH($B71,cal_Key,0))+p_Due&lt;TODAY(),"بله","خیر"),"تاریخ نامعتبر")))</f>
        <v/>
      </c>
    </row>
    <row r="72" ht="20" customHeight="1">
      <c r="B72" s="86" t="n"/>
      <c r="C72" s="87" t="n"/>
      <c r="D72" s="87" t="n"/>
      <c r="E72" s="87" t="n"/>
      <c r="F72" s="88" t="n"/>
      <c r="G72" s="89" t="n"/>
      <c r="H72" s="90" t="n"/>
      <c r="I72" s="86" t="n"/>
      <c r="J72" s="87" t="n"/>
      <c r="K72" s="91">
        <f>IF($F72="","",$F72*IF($G72="",1,$G72))</f>
        <v/>
      </c>
      <c r="L72" s="92">
        <f>IFERROR(IF($D72="","",INDEX(t_Svc_Rate,MATCH($D72,lst_Service,0))),"")</f>
        <v/>
      </c>
      <c r="M72" s="92">
        <f>IF($L72="","",$L72*IF(p_TierMode="پلکانی",LOOKUP($K72,t_Tier_From,t_Tier_Rate),1))</f>
        <v/>
      </c>
      <c r="N72" s="91">
        <f>IF($K72="","",$K72*$M72)</f>
        <v/>
      </c>
      <c r="O72" s="91">
        <f>IF($N72="","",IF($I72="ابطال",0,MAX(p_Min,MIN(p_Max,$N72))))</f>
        <v/>
      </c>
      <c r="P72" s="91">
        <f>IF($O72="","",ROUND($O72*p_Tax,0))</f>
        <v/>
      </c>
      <c r="Q72" s="91">
        <f>IF($O72="","",$O72+$P72)</f>
        <v/>
      </c>
      <c r="R72" s="92">
        <f>IF($A72="","",IF($H72&lt;&gt;"",$H72,IFERROR(INDEX(t_Member_Share,MATCH($C72,t_Members,0)),p_DefaultShare)))</f>
        <v/>
      </c>
      <c r="S72" s="91">
        <f>IF(OR($Q72="",$R72=""),"",ROUND($Q72*$R72,0))</f>
        <v/>
      </c>
      <c r="T72" s="91">
        <f>IF(OR($Q72="",$S72=""),"",$Q72-$S72)</f>
        <v/>
      </c>
      <c r="U72" s="93">
        <f>IF($B72="","",IFERROR(INDEX(cal_JYear,MATCH($B72,cal_Key,0)),""))</f>
        <v/>
      </c>
      <c r="V72" s="93">
        <f>IF($B72="","",IFERROR(INDEX(cal_JMonth,MATCH($B72,cal_Key,0)),""))</f>
        <v/>
      </c>
      <c r="W72" s="94">
        <f>IF($B72="","",IFERROR(INDEX(cal_YM,MATCH($B72,cal_Key,0)),""))</f>
        <v/>
      </c>
      <c r="X72" s="94">
        <f>IF($B72="","",IFERROR(INDEX(cal_Season,MATCH($B72,cal_Key,0)),""))</f>
        <v/>
      </c>
      <c r="Y72" s="94">
        <f>IF($B72="","",IFERROR(INDEX(cal_Key,MATCH(INDEX(cal_Serial,MATCH($B72,cal_Key,0))+p_Due,cal_Serial,0)),""))</f>
        <v/>
      </c>
      <c r="Z72" s="95">
        <f>IF($B72="","",IF(OR($I72="پرداخت‌شده",$I72="ابطال"),"—",IFERROR(IF(INDEX(cal_Serial,MATCH($B72,cal_Key,0))+p_Due&lt;TODAY(),"بله","خیر"),"تاریخ نامعتبر")))</f>
        <v/>
      </c>
    </row>
    <row r="73" ht="20" customHeight="1">
      <c r="B73" s="86" t="n"/>
      <c r="C73" s="87" t="n"/>
      <c r="D73" s="87" t="n"/>
      <c r="E73" s="87" t="n"/>
      <c r="F73" s="88" t="n"/>
      <c r="G73" s="89" t="n"/>
      <c r="H73" s="90" t="n"/>
      <c r="I73" s="86" t="n"/>
      <c r="J73" s="87" t="n"/>
      <c r="K73" s="91">
        <f>IF($F73="","",$F73*IF($G73="",1,$G73))</f>
        <v/>
      </c>
      <c r="L73" s="92">
        <f>IFERROR(IF($D73="","",INDEX(t_Svc_Rate,MATCH($D73,lst_Service,0))),"")</f>
        <v/>
      </c>
      <c r="M73" s="92">
        <f>IF($L73="","",$L73*IF(p_TierMode="پلکانی",LOOKUP($K73,t_Tier_From,t_Tier_Rate),1))</f>
        <v/>
      </c>
      <c r="N73" s="91">
        <f>IF($K73="","",$K73*$M73)</f>
        <v/>
      </c>
      <c r="O73" s="91">
        <f>IF($N73="","",IF($I73="ابطال",0,MAX(p_Min,MIN(p_Max,$N73))))</f>
        <v/>
      </c>
      <c r="P73" s="91">
        <f>IF($O73="","",ROUND($O73*p_Tax,0))</f>
        <v/>
      </c>
      <c r="Q73" s="91">
        <f>IF($O73="","",$O73+$P73)</f>
        <v/>
      </c>
      <c r="R73" s="92">
        <f>IF($A73="","",IF($H73&lt;&gt;"",$H73,IFERROR(INDEX(t_Member_Share,MATCH($C73,t_Members,0)),p_DefaultShare)))</f>
        <v/>
      </c>
      <c r="S73" s="91">
        <f>IF(OR($Q73="",$R73=""),"",ROUND($Q73*$R73,0))</f>
        <v/>
      </c>
      <c r="T73" s="91">
        <f>IF(OR($Q73="",$S73=""),"",$Q73-$S73)</f>
        <v/>
      </c>
      <c r="U73" s="93">
        <f>IF($B73="","",IFERROR(INDEX(cal_JYear,MATCH($B73,cal_Key,0)),""))</f>
        <v/>
      </c>
      <c r="V73" s="93">
        <f>IF($B73="","",IFERROR(INDEX(cal_JMonth,MATCH($B73,cal_Key,0)),""))</f>
        <v/>
      </c>
      <c r="W73" s="94">
        <f>IF($B73="","",IFERROR(INDEX(cal_YM,MATCH($B73,cal_Key,0)),""))</f>
        <v/>
      </c>
      <c r="X73" s="94">
        <f>IF($B73="","",IFERROR(INDEX(cal_Season,MATCH($B73,cal_Key,0)),""))</f>
        <v/>
      </c>
      <c r="Y73" s="94">
        <f>IF($B73="","",IFERROR(INDEX(cal_Key,MATCH(INDEX(cal_Serial,MATCH($B73,cal_Key,0))+p_Due,cal_Serial,0)),""))</f>
        <v/>
      </c>
      <c r="Z73" s="95">
        <f>IF($B73="","",IF(OR($I73="پرداخت‌شده",$I73="ابطال"),"—",IFERROR(IF(INDEX(cal_Serial,MATCH($B73,cal_Key,0))+p_Due&lt;TODAY(),"بله","خیر"),"تاریخ نامعتبر")))</f>
        <v/>
      </c>
    </row>
    <row r="74" ht="20" customHeight="1">
      <c r="B74" s="86" t="n"/>
      <c r="C74" s="87" t="n"/>
      <c r="D74" s="87" t="n"/>
      <c r="E74" s="87" t="n"/>
      <c r="F74" s="88" t="n"/>
      <c r="G74" s="89" t="n"/>
      <c r="H74" s="90" t="n"/>
      <c r="I74" s="86" t="n"/>
      <c r="J74" s="87" t="n"/>
      <c r="K74" s="91">
        <f>IF($F74="","",$F74*IF($G74="",1,$G74))</f>
        <v/>
      </c>
      <c r="L74" s="92">
        <f>IFERROR(IF($D74="","",INDEX(t_Svc_Rate,MATCH($D74,lst_Service,0))),"")</f>
        <v/>
      </c>
      <c r="M74" s="92">
        <f>IF($L74="","",$L74*IF(p_TierMode="پلکانی",LOOKUP($K74,t_Tier_From,t_Tier_Rate),1))</f>
        <v/>
      </c>
      <c r="N74" s="91">
        <f>IF($K74="","",$K74*$M74)</f>
        <v/>
      </c>
      <c r="O74" s="91">
        <f>IF($N74="","",IF($I74="ابطال",0,MAX(p_Min,MIN(p_Max,$N74))))</f>
        <v/>
      </c>
      <c r="P74" s="91">
        <f>IF($O74="","",ROUND($O74*p_Tax,0))</f>
        <v/>
      </c>
      <c r="Q74" s="91">
        <f>IF($O74="","",$O74+$P74)</f>
        <v/>
      </c>
      <c r="R74" s="92">
        <f>IF($A74="","",IF($H74&lt;&gt;"",$H74,IFERROR(INDEX(t_Member_Share,MATCH($C74,t_Members,0)),p_DefaultShare)))</f>
        <v/>
      </c>
      <c r="S74" s="91">
        <f>IF(OR($Q74="",$R74=""),"",ROUND($Q74*$R74,0))</f>
        <v/>
      </c>
      <c r="T74" s="91">
        <f>IF(OR($Q74="",$S74=""),"",$Q74-$S74)</f>
        <v/>
      </c>
      <c r="U74" s="93">
        <f>IF($B74="","",IFERROR(INDEX(cal_JYear,MATCH($B74,cal_Key,0)),""))</f>
        <v/>
      </c>
      <c r="V74" s="93">
        <f>IF($B74="","",IFERROR(INDEX(cal_JMonth,MATCH($B74,cal_Key,0)),""))</f>
        <v/>
      </c>
      <c r="W74" s="94">
        <f>IF($B74="","",IFERROR(INDEX(cal_YM,MATCH($B74,cal_Key,0)),""))</f>
        <v/>
      </c>
      <c r="X74" s="94">
        <f>IF($B74="","",IFERROR(INDEX(cal_Season,MATCH($B74,cal_Key,0)),""))</f>
        <v/>
      </c>
      <c r="Y74" s="94">
        <f>IF($B74="","",IFERROR(INDEX(cal_Key,MATCH(INDEX(cal_Serial,MATCH($B74,cal_Key,0))+p_Due,cal_Serial,0)),""))</f>
        <v/>
      </c>
      <c r="Z74" s="95">
        <f>IF($B74="","",IF(OR($I74="پرداخت‌شده",$I74="ابطال"),"—",IFERROR(IF(INDEX(cal_Serial,MATCH($B74,cal_Key,0))+p_Due&lt;TODAY(),"بله","خیر"),"تاریخ نامعتبر")))</f>
        <v/>
      </c>
    </row>
    <row r="75" ht="20" customHeight="1">
      <c r="B75" s="86" t="n"/>
      <c r="C75" s="87" t="n"/>
      <c r="D75" s="87" t="n"/>
      <c r="E75" s="87" t="n"/>
      <c r="F75" s="88" t="n"/>
      <c r="G75" s="89" t="n"/>
      <c r="H75" s="90" t="n"/>
      <c r="I75" s="86" t="n"/>
      <c r="J75" s="87" t="n"/>
      <c r="K75" s="91">
        <f>IF($F75="","",$F75*IF($G75="",1,$G75))</f>
        <v/>
      </c>
      <c r="L75" s="92">
        <f>IFERROR(IF($D75="","",INDEX(t_Svc_Rate,MATCH($D75,lst_Service,0))),"")</f>
        <v/>
      </c>
      <c r="M75" s="92">
        <f>IF($L75="","",$L75*IF(p_TierMode="پلکانی",LOOKUP($K75,t_Tier_From,t_Tier_Rate),1))</f>
        <v/>
      </c>
      <c r="N75" s="91">
        <f>IF($K75="","",$K75*$M75)</f>
        <v/>
      </c>
      <c r="O75" s="91">
        <f>IF($N75="","",IF($I75="ابطال",0,MAX(p_Min,MIN(p_Max,$N75))))</f>
        <v/>
      </c>
      <c r="P75" s="91">
        <f>IF($O75="","",ROUND($O75*p_Tax,0))</f>
        <v/>
      </c>
      <c r="Q75" s="91">
        <f>IF($O75="","",$O75+$P75)</f>
        <v/>
      </c>
      <c r="R75" s="92">
        <f>IF($A75="","",IF($H75&lt;&gt;"",$H75,IFERROR(INDEX(t_Member_Share,MATCH($C75,t_Members,0)),p_DefaultShare)))</f>
        <v/>
      </c>
      <c r="S75" s="91">
        <f>IF(OR($Q75="",$R75=""),"",ROUND($Q75*$R75,0))</f>
        <v/>
      </c>
      <c r="T75" s="91">
        <f>IF(OR($Q75="",$S75=""),"",$Q75-$S75)</f>
        <v/>
      </c>
      <c r="U75" s="93">
        <f>IF($B75="","",IFERROR(INDEX(cal_JYear,MATCH($B75,cal_Key,0)),""))</f>
        <v/>
      </c>
      <c r="V75" s="93">
        <f>IF($B75="","",IFERROR(INDEX(cal_JMonth,MATCH($B75,cal_Key,0)),""))</f>
        <v/>
      </c>
      <c r="W75" s="94">
        <f>IF($B75="","",IFERROR(INDEX(cal_YM,MATCH($B75,cal_Key,0)),""))</f>
        <v/>
      </c>
      <c r="X75" s="94">
        <f>IF($B75="","",IFERROR(INDEX(cal_Season,MATCH($B75,cal_Key,0)),""))</f>
        <v/>
      </c>
      <c r="Y75" s="94">
        <f>IF($B75="","",IFERROR(INDEX(cal_Key,MATCH(INDEX(cal_Serial,MATCH($B75,cal_Key,0))+p_Due,cal_Serial,0)),""))</f>
        <v/>
      </c>
      <c r="Z75" s="95">
        <f>IF($B75="","",IF(OR($I75="پرداخت‌شده",$I75="ابطال"),"—",IFERROR(IF(INDEX(cal_Serial,MATCH($B75,cal_Key,0))+p_Due&lt;TODAY(),"بله","خیر"),"تاریخ نامعتبر")))</f>
        <v/>
      </c>
    </row>
    <row r="76" ht="20" customHeight="1">
      <c r="B76" s="86" t="n"/>
      <c r="C76" s="87" t="n"/>
      <c r="D76" s="87" t="n"/>
      <c r="E76" s="87" t="n"/>
      <c r="F76" s="88" t="n"/>
      <c r="G76" s="89" t="n"/>
      <c r="H76" s="90" t="n"/>
      <c r="I76" s="86" t="n"/>
      <c r="J76" s="87" t="n"/>
      <c r="K76" s="91">
        <f>IF($F76="","",$F76*IF($G76="",1,$G76))</f>
        <v/>
      </c>
      <c r="L76" s="92">
        <f>IFERROR(IF($D76="","",INDEX(t_Svc_Rate,MATCH($D76,lst_Service,0))),"")</f>
        <v/>
      </c>
      <c r="M76" s="92">
        <f>IF($L76="","",$L76*IF(p_TierMode="پلکانی",LOOKUP($K76,t_Tier_From,t_Tier_Rate),1))</f>
        <v/>
      </c>
      <c r="N76" s="91">
        <f>IF($K76="","",$K76*$M76)</f>
        <v/>
      </c>
      <c r="O76" s="91">
        <f>IF($N76="","",IF($I76="ابطال",0,MAX(p_Min,MIN(p_Max,$N76))))</f>
        <v/>
      </c>
      <c r="P76" s="91">
        <f>IF($O76="","",ROUND($O76*p_Tax,0))</f>
        <v/>
      </c>
      <c r="Q76" s="91">
        <f>IF($O76="","",$O76+$P76)</f>
        <v/>
      </c>
      <c r="R76" s="92">
        <f>IF($A76="","",IF($H76&lt;&gt;"",$H76,IFERROR(INDEX(t_Member_Share,MATCH($C76,t_Members,0)),p_DefaultShare)))</f>
        <v/>
      </c>
      <c r="S76" s="91">
        <f>IF(OR($Q76="",$R76=""),"",ROUND($Q76*$R76,0))</f>
        <v/>
      </c>
      <c r="T76" s="91">
        <f>IF(OR($Q76="",$S76=""),"",$Q76-$S76)</f>
        <v/>
      </c>
      <c r="U76" s="93">
        <f>IF($B76="","",IFERROR(INDEX(cal_JYear,MATCH($B76,cal_Key,0)),""))</f>
        <v/>
      </c>
      <c r="V76" s="93">
        <f>IF($B76="","",IFERROR(INDEX(cal_JMonth,MATCH($B76,cal_Key,0)),""))</f>
        <v/>
      </c>
      <c r="W76" s="94">
        <f>IF($B76="","",IFERROR(INDEX(cal_YM,MATCH($B76,cal_Key,0)),""))</f>
        <v/>
      </c>
      <c r="X76" s="94">
        <f>IF($B76="","",IFERROR(INDEX(cal_Season,MATCH($B76,cal_Key,0)),""))</f>
        <v/>
      </c>
      <c r="Y76" s="94">
        <f>IF($B76="","",IFERROR(INDEX(cal_Key,MATCH(INDEX(cal_Serial,MATCH($B76,cal_Key,0))+p_Due,cal_Serial,0)),""))</f>
        <v/>
      </c>
      <c r="Z76" s="95">
        <f>IF($B76="","",IF(OR($I76="پرداخت‌شده",$I76="ابطال"),"—",IFERROR(IF(INDEX(cal_Serial,MATCH($B76,cal_Key,0))+p_Due&lt;TODAY(),"بله","خیر"),"تاریخ نامعتبر")))</f>
        <v/>
      </c>
    </row>
    <row r="77" ht="20" customHeight="1">
      <c r="B77" s="86" t="n"/>
      <c r="C77" s="87" t="n"/>
      <c r="D77" s="87" t="n"/>
      <c r="E77" s="87" t="n"/>
      <c r="F77" s="88" t="n"/>
      <c r="G77" s="89" t="n"/>
      <c r="H77" s="90" t="n"/>
      <c r="I77" s="86" t="n"/>
      <c r="J77" s="87" t="n"/>
      <c r="K77" s="91">
        <f>IF($F77="","",$F77*IF($G77="",1,$G77))</f>
        <v/>
      </c>
      <c r="L77" s="92">
        <f>IFERROR(IF($D77="","",INDEX(t_Svc_Rate,MATCH($D77,lst_Service,0))),"")</f>
        <v/>
      </c>
      <c r="M77" s="92">
        <f>IF($L77="","",$L77*IF(p_TierMode="پلکانی",LOOKUP($K77,t_Tier_From,t_Tier_Rate),1))</f>
        <v/>
      </c>
      <c r="N77" s="91">
        <f>IF($K77="","",$K77*$M77)</f>
        <v/>
      </c>
      <c r="O77" s="91">
        <f>IF($N77="","",IF($I77="ابطال",0,MAX(p_Min,MIN(p_Max,$N77))))</f>
        <v/>
      </c>
      <c r="P77" s="91">
        <f>IF($O77="","",ROUND($O77*p_Tax,0))</f>
        <v/>
      </c>
      <c r="Q77" s="91">
        <f>IF($O77="","",$O77+$P77)</f>
        <v/>
      </c>
      <c r="R77" s="92">
        <f>IF($A77="","",IF($H77&lt;&gt;"",$H77,IFERROR(INDEX(t_Member_Share,MATCH($C77,t_Members,0)),p_DefaultShare)))</f>
        <v/>
      </c>
      <c r="S77" s="91">
        <f>IF(OR($Q77="",$R77=""),"",ROUND($Q77*$R77,0))</f>
        <v/>
      </c>
      <c r="T77" s="91">
        <f>IF(OR($Q77="",$S77=""),"",$Q77-$S77)</f>
        <v/>
      </c>
      <c r="U77" s="93">
        <f>IF($B77="","",IFERROR(INDEX(cal_JYear,MATCH($B77,cal_Key,0)),""))</f>
        <v/>
      </c>
      <c r="V77" s="93">
        <f>IF($B77="","",IFERROR(INDEX(cal_JMonth,MATCH($B77,cal_Key,0)),""))</f>
        <v/>
      </c>
      <c r="W77" s="94">
        <f>IF($B77="","",IFERROR(INDEX(cal_YM,MATCH($B77,cal_Key,0)),""))</f>
        <v/>
      </c>
      <c r="X77" s="94">
        <f>IF($B77="","",IFERROR(INDEX(cal_Season,MATCH($B77,cal_Key,0)),""))</f>
        <v/>
      </c>
      <c r="Y77" s="94">
        <f>IF($B77="","",IFERROR(INDEX(cal_Key,MATCH(INDEX(cal_Serial,MATCH($B77,cal_Key,0))+p_Due,cal_Serial,0)),""))</f>
        <v/>
      </c>
      <c r="Z77" s="95">
        <f>IF($B77="","",IF(OR($I77="پرداخت‌شده",$I77="ابطال"),"—",IFERROR(IF(INDEX(cal_Serial,MATCH($B77,cal_Key,0))+p_Due&lt;TODAY(),"بله","خیر"),"تاریخ نامعتبر")))</f>
        <v/>
      </c>
    </row>
    <row r="78" ht="20" customHeight="1">
      <c r="B78" s="86" t="n"/>
      <c r="C78" s="87" t="n"/>
      <c r="D78" s="87" t="n"/>
      <c r="E78" s="87" t="n"/>
      <c r="F78" s="88" t="n"/>
      <c r="G78" s="89" t="n"/>
      <c r="H78" s="90" t="n"/>
      <c r="I78" s="86" t="n"/>
      <c r="J78" s="87" t="n"/>
      <c r="K78" s="91">
        <f>IF($F78="","",$F78*IF($G78="",1,$G78))</f>
        <v/>
      </c>
      <c r="L78" s="92">
        <f>IFERROR(IF($D78="","",INDEX(t_Svc_Rate,MATCH($D78,lst_Service,0))),"")</f>
        <v/>
      </c>
      <c r="M78" s="92">
        <f>IF($L78="","",$L78*IF(p_TierMode="پلکانی",LOOKUP($K78,t_Tier_From,t_Tier_Rate),1))</f>
        <v/>
      </c>
      <c r="N78" s="91">
        <f>IF($K78="","",$K78*$M78)</f>
        <v/>
      </c>
      <c r="O78" s="91">
        <f>IF($N78="","",IF($I78="ابطال",0,MAX(p_Min,MIN(p_Max,$N78))))</f>
        <v/>
      </c>
      <c r="P78" s="91">
        <f>IF($O78="","",ROUND($O78*p_Tax,0))</f>
        <v/>
      </c>
      <c r="Q78" s="91">
        <f>IF($O78="","",$O78+$P78)</f>
        <v/>
      </c>
      <c r="R78" s="92">
        <f>IF($A78="","",IF($H78&lt;&gt;"",$H78,IFERROR(INDEX(t_Member_Share,MATCH($C78,t_Members,0)),p_DefaultShare)))</f>
        <v/>
      </c>
      <c r="S78" s="91">
        <f>IF(OR($Q78="",$R78=""),"",ROUND($Q78*$R78,0))</f>
        <v/>
      </c>
      <c r="T78" s="91">
        <f>IF(OR($Q78="",$S78=""),"",$Q78-$S78)</f>
        <v/>
      </c>
      <c r="U78" s="93">
        <f>IF($B78="","",IFERROR(INDEX(cal_JYear,MATCH($B78,cal_Key,0)),""))</f>
        <v/>
      </c>
      <c r="V78" s="93">
        <f>IF($B78="","",IFERROR(INDEX(cal_JMonth,MATCH($B78,cal_Key,0)),""))</f>
        <v/>
      </c>
      <c r="W78" s="94">
        <f>IF($B78="","",IFERROR(INDEX(cal_YM,MATCH($B78,cal_Key,0)),""))</f>
        <v/>
      </c>
      <c r="X78" s="94">
        <f>IF($B78="","",IFERROR(INDEX(cal_Season,MATCH($B78,cal_Key,0)),""))</f>
        <v/>
      </c>
      <c r="Y78" s="94">
        <f>IF($B78="","",IFERROR(INDEX(cal_Key,MATCH(INDEX(cal_Serial,MATCH($B78,cal_Key,0))+p_Due,cal_Serial,0)),""))</f>
        <v/>
      </c>
      <c r="Z78" s="95">
        <f>IF($B78="","",IF(OR($I78="پرداخت‌شده",$I78="ابطال"),"—",IFERROR(IF(INDEX(cal_Serial,MATCH($B78,cal_Key,0))+p_Due&lt;TODAY(),"بله","خیر"),"تاریخ نامعتبر")))</f>
        <v/>
      </c>
    </row>
    <row r="79" ht="20" customHeight="1">
      <c r="B79" s="86" t="n"/>
      <c r="C79" s="87" t="n"/>
      <c r="D79" s="87" t="n"/>
      <c r="E79" s="87" t="n"/>
      <c r="F79" s="88" t="n"/>
      <c r="G79" s="89" t="n"/>
      <c r="H79" s="90" t="n"/>
      <c r="I79" s="86" t="n"/>
      <c r="J79" s="87" t="n"/>
      <c r="K79" s="91">
        <f>IF($F79="","",$F79*IF($G79="",1,$G79))</f>
        <v/>
      </c>
      <c r="L79" s="92">
        <f>IFERROR(IF($D79="","",INDEX(t_Svc_Rate,MATCH($D79,lst_Service,0))),"")</f>
        <v/>
      </c>
      <c r="M79" s="92">
        <f>IF($L79="","",$L79*IF(p_TierMode="پلکانی",LOOKUP($K79,t_Tier_From,t_Tier_Rate),1))</f>
        <v/>
      </c>
      <c r="N79" s="91">
        <f>IF($K79="","",$K79*$M79)</f>
        <v/>
      </c>
      <c r="O79" s="91">
        <f>IF($N79="","",IF($I79="ابطال",0,MAX(p_Min,MIN(p_Max,$N79))))</f>
        <v/>
      </c>
      <c r="P79" s="91">
        <f>IF($O79="","",ROUND($O79*p_Tax,0))</f>
        <v/>
      </c>
      <c r="Q79" s="91">
        <f>IF($O79="","",$O79+$P79)</f>
        <v/>
      </c>
      <c r="R79" s="92">
        <f>IF($A79="","",IF($H79&lt;&gt;"",$H79,IFERROR(INDEX(t_Member_Share,MATCH($C79,t_Members,0)),p_DefaultShare)))</f>
        <v/>
      </c>
      <c r="S79" s="91">
        <f>IF(OR($Q79="",$R79=""),"",ROUND($Q79*$R79,0))</f>
        <v/>
      </c>
      <c r="T79" s="91">
        <f>IF(OR($Q79="",$S79=""),"",$Q79-$S79)</f>
        <v/>
      </c>
      <c r="U79" s="93">
        <f>IF($B79="","",IFERROR(INDEX(cal_JYear,MATCH($B79,cal_Key,0)),""))</f>
        <v/>
      </c>
      <c r="V79" s="93">
        <f>IF($B79="","",IFERROR(INDEX(cal_JMonth,MATCH($B79,cal_Key,0)),""))</f>
        <v/>
      </c>
      <c r="W79" s="94">
        <f>IF($B79="","",IFERROR(INDEX(cal_YM,MATCH($B79,cal_Key,0)),""))</f>
        <v/>
      </c>
      <c r="X79" s="94">
        <f>IF($B79="","",IFERROR(INDEX(cal_Season,MATCH($B79,cal_Key,0)),""))</f>
        <v/>
      </c>
      <c r="Y79" s="94">
        <f>IF($B79="","",IFERROR(INDEX(cal_Key,MATCH(INDEX(cal_Serial,MATCH($B79,cal_Key,0))+p_Due,cal_Serial,0)),""))</f>
        <v/>
      </c>
      <c r="Z79" s="95">
        <f>IF($B79="","",IF(OR($I79="پرداخت‌شده",$I79="ابطال"),"—",IFERROR(IF(INDEX(cal_Serial,MATCH($B79,cal_Key,0))+p_Due&lt;TODAY(),"بله","خیر"),"تاریخ نامعتبر")))</f>
        <v/>
      </c>
    </row>
    <row r="80" ht="20" customHeight="1">
      <c r="B80" s="86" t="n"/>
      <c r="C80" s="87" t="n"/>
      <c r="D80" s="87" t="n"/>
      <c r="E80" s="87" t="n"/>
      <c r="F80" s="88" t="n"/>
      <c r="G80" s="89" t="n"/>
      <c r="H80" s="90" t="n"/>
      <c r="I80" s="86" t="n"/>
      <c r="J80" s="87" t="n"/>
      <c r="K80" s="91">
        <f>IF($F80="","",$F80*IF($G80="",1,$G80))</f>
        <v/>
      </c>
      <c r="L80" s="92">
        <f>IFERROR(IF($D80="","",INDEX(t_Svc_Rate,MATCH($D80,lst_Service,0))),"")</f>
        <v/>
      </c>
      <c r="M80" s="92">
        <f>IF($L80="","",$L80*IF(p_TierMode="پلکانی",LOOKUP($K80,t_Tier_From,t_Tier_Rate),1))</f>
        <v/>
      </c>
      <c r="N80" s="91">
        <f>IF($K80="","",$K80*$M80)</f>
        <v/>
      </c>
      <c r="O80" s="91">
        <f>IF($N80="","",IF($I80="ابطال",0,MAX(p_Min,MIN(p_Max,$N80))))</f>
        <v/>
      </c>
      <c r="P80" s="91">
        <f>IF($O80="","",ROUND($O80*p_Tax,0))</f>
        <v/>
      </c>
      <c r="Q80" s="91">
        <f>IF($O80="","",$O80+$P80)</f>
        <v/>
      </c>
      <c r="R80" s="92">
        <f>IF($A80="","",IF($H80&lt;&gt;"",$H80,IFERROR(INDEX(t_Member_Share,MATCH($C80,t_Members,0)),p_DefaultShare)))</f>
        <v/>
      </c>
      <c r="S80" s="91">
        <f>IF(OR($Q80="",$R80=""),"",ROUND($Q80*$R80,0))</f>
        <v/>
      </c>
      <c r="T80" s="91">
        <f>IF(OR($Q80="",$S80=""),"",$Q80-$S80)</f>
        <v/>
      </c>
      <c r="U80" s="93">
        <f>IF($B80="","",IFERROR(INDEX(cal_JYear,MATCH($B80,cal_Key,0)),""))</f>
        <v/>
      </c>
      <c r="V80" s="93">
        <f>IF($B80="","",IFERROR(INDEX(cal_JMonth,MATCH($B80,cal_Key,0)),""))</f>
        <v/>
      </c>
      <c r="W80" s="94">
        <f>IF($B80="","",IFERROR(INDEX(cal_YM,MATCH($B80,cal_Key,0)),""))</f>
        <v/>
      </c>
      <c r="X80" s="94">
        <f>IF($B80="","",IFERROR(INDEX(cal_Season,MATCH($B80,cal_Key,0)),""))</f>
        <v/>
      </c>
      <c r="Y80" s="94">
        <f>IF($B80="","",IFERROR(INDEX(cal_Key,MATCH(INDEX(cal_Serial,MATCH($B80,cal_Key,0))+p_Due,cal_Serial,0)),""))</f>
        <v/>
      </c>
      <c r="Z80" s="95">
        <f>IF($B80="","",IF(OR($I80="پرداخت‌شده",$I80="ابطال"),"—",IFERROR(IF(INDEX(cal_Serial,MATCH($B80,cal_Key,0))+p_Due&lt;TODAY(),"بله","خیر"),"تاریخ نامعتبر")))</f>
        <v/>
      </c>
    </row>
    <row r="81" ht="20" customHeight="1">
      <c r="B81" s="86" t="n"/>
      <c r="C81" s="87" t="n"/>
      <c r="D81" s="87" t="n"/>
      <c r="E81" s="87" t="n"/>
      <c r="F81" s="88" t="n"/>
      <c r="G81" s="89" t="n"/>
      <c r="H81" s="90" t="n"/>
      <c r="I81" s="86" t="n"/>
      <c r="J81" s="87" t="n"/>
      <c r="K81" s="91">
        <f>IF($F81="","",$F81*IF($G81="",1,$G81))</f>
        <v/>
      </c>
      <c r="L81" s="92">
        <f>IFERROR(IF($D81="","",INDEX(t_Svc_Rate,MATCH($D81,lst_Service,0))),"")</f>
        <v/>
      </c>
      <c r="M81" s="92">
        <f>IF($L81="","",$L81*IF(p_TierMode="پلکانی",LOOKUP($K81,t_Tier_From,t_Tier_Rate),1))</f>
        <v/>
      </c>
      <c r="N81" s="91">
        <f>IF($K81="","",$K81*$M81)</f>
        <v/>
      </c>
      <c r="O81" s="91">
        <f>IF($N81="","",IF($I81="ابطال",0,MAX(p_Min,MIN(p_Max,$N81))))</f>
        <v/>
      </c>
      <c r="P81" s="91">
        <f>IF($O81="","",ROUND($O81*p_Tax,0))</f>
        <v/>
      </c>
      <c r="Q81" s="91">
        <f>IF($O81="","",$O81+$P81)</f>
        <v/>
      </c>
      <c r="R81" s="92">
        <f>IF($A81="","",IF($H81&lt;&gt;"",$H81,IFERROR(INDEX(t_Member_Share,MATCH($C81,t_Members,0)),p_DefaultShare)))</f>
        <v/>
      </c>
      <c r="S81" s="91">
        <f>IF(OR($Q81="",$R81=""),"",ROUND($Q81*$R81,0))</f>
        <v/>
      </c>
      <c r="T81" s="91">
        <f>IF(OR($Q81="",$S81=""),"",$Q81-$S81)</f>
        <v/>
      </c>
      <c r="U81" s="93">
        <f>IF($B81="","",IFERROR(INDEX(cal_JYear,MATCH($B81,cal_Key,0)),""))</f>
        <v/>
      </c>
      <c r="V81" s="93">
        <f>IF($B81="","",IFERROR(INDEX(cal_JMonth,MATCH($B81,cal_Key,0)),""))</f>
        <v/>
      </c>
      <c r="W81" s="94">
        <f>IF($B81="","",IFERROR(INDEX(cal_YM,MATCH($B81,cal_Key,0)),""))</f>
        <v/>
      </c>
      <c r="X81" s="94">
        <f>IF($B81="","",IFERROR(INDEX(cal_Season,MATCH($B81,cal_Key,0)),""))</f>
        <v/>
      </c>
      <c r="Y81" s="94">
        <f>IF($B81="","",IFERROR(INDEX(cal_Key,MATCH(INDEX(cal_Serial,MATCH($B81,cal_Key,0))+p_Due,cal_Serial,0)),""))</f>
        <v/>
      </c>
      <c r="Z81" s="95">
        <f>IF($B81="","",IF(OR($I81="پرداخت‌شده",$I81="ابطال"),"—",IFERROR(IF(INDEX(cal_Serial,MATCH($B81,cal_Key,0))+p_Due&lt;TODAY(),"بله","خیر"),"تاریخ نامعتبر")))</f>
        <v/>
      </c>
    </row>
    <row r="82" ht="20" customHeight="1">
      <c r="B82" s="86" t="n"/>
      <c r="C82" s="87" t="n"/>
      <c r="D82" s="87" t="n"/>
      <c r="E82" s="87" t="n"/>
      <c r="F82" s="88" t="n"/>
      <c r="G82" s="89" t="n"/>
      <c r="H82" s="90" t="n"/>
      <c r="I82" s="86" t="n"/>
      <c r="J82" s="87" t="n"/>
      <c r="K82" s="91">
        <f>IF($F82="","",$F82*IF($G82="",1,$G82))</f>
        <v/>
      </c>
      <c r="L82" s="92">
        <f>IFERROR(IF($D82="","",INDEX(t_Svc_Rate,MATCH($D82,lst_Service,0))),"")</f>
        <v/>
      </c>
      <c r="M82" s="92">
        <f>IF($L82="","",$L82*IF(p_TierMode="پلکانی",LOOKUP($K82,t_Tier_From,t_Tier_Rate),1))</f>
        <v/>
      </c>
      <c r="N82" s="91">
        <f>IF($K82="","",$K82*$M82)</f>
        <v/>
      </c>
      <c r="O82" s="91">
        <f>IF($N82="","",IF($I82="ابطال",0,MAX(p_Min,MIN(p_Max,$N82))))</f>
        <v/>
      </c>
      <c r="P82" s="91">
        <f>IF($O82="","",ROUND($O82*p_Tax,0))</f>
        <v/>
      </c>
      <c r="Q82" s="91">
        <f>IF($O82="","",$O82+$P82)</f>
        <v/>
      </c>
      <c r="R82" s="92">
        <f>IF($A82="","",IF($H82&lt;&gt;"",$H82,IFERROR(INDEX(t_Member_Share,MATCH($C82,t_Members,0)),p_DefaultShare)))</f>
        <v/>
      </c>
      <c r="S82" s="91">
        <f>IF(OR($Q82="",$R82=""),"",ROUND($Q82*$R82,0))</f>
        <v/>
      </c>
      <c r="T82" s="91">
        <f>IF(OR($Q82="",$S82=""),"",$Q82-$S82)</f>
        <v/>
      </c>
      <c r="U82" s="93">
        <f>IF($B82="","",IFERROR(INDEX(cal_JYear,MATCH($B82,cal_Key,0)),""))</f>
        <v/>
      </c>
      <c r="V82" s="93">
        <f>IF($B82="","",IFERROR(INDEX(cal_JMonth,MATCH($B82,cal_Key,0)),""))</f>
        <v/>
      </c>
      <c r="W82" s="94">
        <f>IF($B82="","",IFERROR(INDEX(cal_YM,MATCH($B82,cal_Key,0)),""))</f>
        <v/>
      </c>
      <c r="X82" s="94">
        <f>IF($B82="","",IFERROR(INDEX(cal_Season,MATCH($B82,cal_Key,0)),""))</f>
        <v/>
      </c>
      <c r="Y82" s="94">
        <f>IF($B82="","",IFERROR(INDEX(cal_Key,MATCH(INDEX(cal_Serial,MATCH($B82,cal_Key,0))+p_Due,cal_Serial,0)),""))</f>
        <v/>
      </c>
      <c r="Z82" s="95">
        <f>IF($B82="","",IF(OR($I82="پرداخت‌شده",$I82="ابطال"),"—",IFERROR(IF(INDEX(cal_Serial,MATCH($B82,cal_Key,0))+p_Due&lt;TODAY(),"بله","خیر"),"تاریخ نامعتبر")))</f>
        <v/>
      </c>
    </row>
    <row r="83" ht="20" customHeight="1">
      <c r="B83" s="86" t="n"/>
      <c r="C83" s="87" t="n"/>
      <c r="D83" s="87" t="n"/>
      <c r="E83" s="87" t="n"/>
      <c r="F83" s="88" t="n"/>
      <c r="G83" s="89" t="n"/>
      <c r="H83" s="90" t="n"/>
      <c r="I83" s="86" t="n"/>
      <c r="J83" s="87" t="n"/>
      <c r="K83" s="91">
        <f>IF($F83="","",$F83*IF($G83="",1,$G83))</f>
        <v/>
      </c>
      <c r="L83" s="92">
        <f>IFERROR(IF($D83="","",INDEX(t_Svc_Rate,MATCH($D83,lst_Service,0))),"")</f>
        <v/>
      </c>
      <c r="M83" s="92">
        <f>IF($L83="","",$L83*IF(p_TierMode="پلکانی",LOOKUP($K83,t_Tier_From,t_Tier_Rate),1))</f>
        <v/>
      </c>
      <c r="N83" s="91">
        <f>IF($K83="","",$K83*$M83)</f>
        <v/>
      </c>
      <c r="O83" s="91">
        <f>IF($N83="","",IF($I83="ابطال",0,MAX(p_Min,MIN(p_Max,$N83))))</f>
        <v/>
      </c>
      <c r="P83" s="91">
        <f>IF($O83="","",ROUND($O83*p_Tax,0))</f>
        <v/>
      </c>
      <c r="Q83" s="91">
        <f>IF($O83="","",$O83+$P83)</f>
        <v/>
      </c>
      <c r="R83" s="92">
        <f>IF($A83="","",IF($H83&lt;&gt;"",$H83,IFERROR(INDEX(t_Member_Share,MATCH($C83,t_Members,0)),p_DefaultShare)))</f>
        <v/>
      </c>
      <c r="S83" s="91">
        <f>IF(OR($Q83="",$R83=""),"",ROUND($Q83*$R83,0))</f>
        <v/>
      </c>
      <c r="T83" s="91">
        <f>IF(OR($Q83="",$S83=""),"",$Q83-$S83)</f>
        <v/>
      </c>
      <c r="U83" s="93">
        <f>IF($B83="","",IFERROR(INDEX(cal_JYear,MATCH($B83,cal_Key,0)),""))</f>
        <v/>
      </c>
      <c r="V83" s="93">
        <f>IF($B83="","",IFERROR(INDEX(cal_JMonth,MATCH($B83,cal_Key,0)),""))</f>
        <v/>
      </c>
      <c r="W83" s="94">
        <f>IF($B83="","",IFERROR(INDEX(cal_YM,MATCH($B83,cal_Key,0)),""))</f>
        <v/>
      </c>
      <c r="X83" s="94">
        <f>IF($B83="","",IFERROR(INDEX(cal_Season,MATCH($B83,cal_Key,0)),""))</f>
        <v/>
      </c>
      <c r="Y83" s="94">
        <f>IF($B83="","",IFERROR(INDEX(cal_Key,MATCH(INDEX(cal_Serial,MATCH($B83,cal_Key,0))+p_Due,cal_Serial,0)),""))</f>
        <v/>
      </c>
      <c r="Z83" s="95">
        <f>IF($B83="","",IF(OR($I83="پرداخت‌شده",$I83="ابطال"),"—",IFERROR(IF(INDEX(cal_Serial,MATCH($B83,cal_Key,0))+p_Due&lt;TODAY(),"بله","خیر"),"تاریخ نامعتبر")))</f>
        <v/>
      </c>
    </row>
    <row r="84" ht="20" customHeight="1">
      <c r="B84" s="86" t="n"/>
      <c r="C84" s="87" t="n"/>
      <c r="D84" s="87" t="n"/>
      <c r="E84" s="87" t="n"/>
      <c r="F84" s="88" t="n"/>
      <c r="G84" s="89" t="n"/>
      <c r="H84" s="90" t="n"/>
      <c r="I84" s="86" t="n"/>
      <c r="J84" s="87" t="n"/>
      <c r="K84" s="91">
        <f>IF($F84="","",$F84*IF($G84="",1,$G84))</f>
        <v/>
      </c>
      <c r="L84" s="92">
        <f>IFERROR(IF($D84="","",INDEX(t_Svc_Rate,MATCH($D84,lst_Service,0))),"")</f>
        <v/>
      </c>
      <c r="M84" s="92">
        <f>IF($L84="","",$L84*IF(p_TierMode="پلکانی",LOOKUP($K84,t_Tier_From,t_Tier_Rate),1))</f>
        <v/>
      </c>
      <c r="N84" s="91">
        <f>IF($K84="","",$K84*$M84)</f>
        <v/>
      </c>
      <c r="O84" s="91">
        <f>IF($N84="","",IF($I84="ابطال",0,MAX(p_Min,MIN(p_Max,$N84))))</f>
        <v/>
      </c>
      <c r="P84" s="91">
        <f>IF($O84="","",ROUND($O84*p_Tax,0))</f>
        <v/>
      </c>
      <c r="Q84" s="91">
        <f>IF($O84="","",$O84+$P84)</f>
        <v/>
      </c>
      <c r="R84" s="92">
        <f>IF($A84="","",IF($H84&lt;&gt;"",$H84,IFERROR(INDEX(t_Member_Share,MATCH($C84,t_Members,0)),p_DefaultShare)))</f>
        <v/>
      </c>
      <c r="S84" s="91">
        <f>IF(OR($Q84="",$R84=""),"",ROUND($Q84*$R84,0))</f>
        <v/>
      </c>
      <c r="T84" s="91">
        <f>IF(OR($Q84="",$S84=""),"",$Q84-$S84)</f>
        <v/>
      </c>
      <c r="U84" s="93">
        <f>IF($B84="","",IFERROR(INDEX(cal_JYear,MATCH($B84,cal_Key,0)),""))</f>
        <v/>
      </c>
      <c r="V84" s="93">
        <f>IF($B84="","",IFERROR(INDEX(cal_JMonth,MATCH($B84,cal_Key,0)),""))</f>
        <v/>
      </c>
      <c r="W84" s="94">
        <f>IF($B84="","",IFERROR(INDEX(cal_YM,MATCH($B84,cal_Key,0)),""))</f>
        <v/>
      </c>
      <c r="X84" s="94">
        <f>IF($B84="","",IFERROR(INDEX(cal_Season,MATCH($B84,cal_Key,0)),""))</f>
        <v/>
      </c>
      <c r="Y84" s="94">
        <f>IF($B84="","",IFERROR(INDEX(cal_Key,MATCH(INDEX(cal_Serial,MATCH($B84,cal_Key,0))+p_Due,cal_Serial,0)),""))</f>
        <v/>
      </c>
      <c r="Z84" s="95">
        <f>IF($B84="","",IF(OR($I84="پرداخت‌شده",$I84="ابطال"),"—",IFERROR(IF(INDEX(cal_Serial,MATCH($B84,cal_Key,0))+p_Due&lt;TODAY(),"بله","خیر"),"تاریخ نامعتبر")))</f>
        <v/>
      </c>
    </row>
    <row r="85" ht="20" customHeight="1">
      <c r="B85" s="86" t="n"/>
      <c r="C85" s="87" t="n"/>
      <c r="D85" s="87" t="n"/>
      <c r="E85" s="87" t="n"/>
      <c r="F85" s="88" t="n"/>
      <c r="G85" s="89" t="n"/>
      <c r="H85" s="90" t="n"/>
      <c r="I85" s="86" t="n"/>
      <c r="J85" s="87" t="n"/>
      <c r="K85" s="91">
        <f>IF($F85="","",$F85*IF($G85="",1,$G85))</f>
        <v/>
      </c>
      <c r="L85" s="92">
        <f>IFERROR(IF($D85="","",INDEX(t_Svc_Rate,MATCH($D85,lst_Service,0))),"")</f>
        <v/>
      </c>
      <c r="M85" s="92">
        <f>IF($L85="","",$L85*IF(p_TierMode="پلکانی",LOOKUP($K85,t_Tier_From,t_Tier_Rate),1))</f>
        <v/>
      </c>
      <c r="N85" s="91">
        <f>IF($K85="","",$K85*$M85)</f>
        <v/>
      </c>
      <c r="O85" s="91">
        <f>IF($N85="","",IF($I85="ابطال",0,MAX(p_Min,MIN(p_Max,$N85))))</f>
        <v/>
      </c>
      <c r="P85" s="91">
        <f>IF($O85="","",ROUND($O85*p_Tax,0))</f>
        <v/>
      </c>
      <c r="Q85" s="91">
        <f>IF($O85="","",$O85+$P85)</f>
        <v/>
      </c>
      <c r="R85" s="92">
        <f>IF($A85="","",IF($H85&lt;&gt;"",$H85,IFERROR(INDEX(t_Member_Share,MATCH($C85,t_Members,0)),p_DefaultShare)))</f>
        <v/>
      </c>
      <c r="S85" s="91">
        <f>IF(OR($Q85="",$R85=""),"",ROUND($Q85*$R85,0))</f>
        <v/>
      </c>
      <c r="T85" s="91">
        <f>IF(OR($Q85="",$S85=""),"",$Q85-$S85)</f>
        <v/>
      </c>
      <c r="U85" s="93">
        <f>IF($B85="","",IFERROR(INDEX(cal_JYear,MATCH($B85,cal_Key,0)),""))</f>
        <v/>
      </c>
      <c r="V85" s="93">
        <f>IF($B85="","",IFERROR(INDEX(cal_JMonth,MATCH($B85,cal_Key,0)),""))</f>
        <v/>
      </c>
      <c r="W85" s="94">
        <f>IF($B85="","",IFERROR(INDEX(cal_YM,MATCH($B85,cal_Key,0)),""))</f>
        <v/>
      </c>
      <c r="X85" s="94">
        <f>IF($B85="","",IFERROR(INDEX(cal_Season,MATCH($B85,cal_Key,0)),""))</f>
        <v/>
      </c>
      <c r="Y85" s="94">
        <f>IF($B85="","",IFERROR(INDEX(cal_Key,MATCH(INDEX(cal_Serial,MATCH($B85,cal_Key,0))+p_Due,cal_Serial,0)),""))</f>
        <v/>
      </c>
      <c r="Z85" s="95">
        <f>IF($B85="","",IF(OR($I85="پرداخت‌شده",$I85="ابطال"),"—",IFERROR(IF(INDEX(cal_Serial,MATCH($B85,cal_Key,0))+p_Due&lt;TODAY(),"بله","خیر"),"تاریخ نامعتبر")))</f>
        <v/>
      </c>
    </row>
    <row r="86" ht="20" customHeight="1">
      <c r="B86" s="86" t="n"/>
      <c r="C86" s="87" t="n"/>
      <c r="D86" s="87" t="n"/>
      <c r="E86" s="87" t="n"/>
      <c r="F86" s="88" t="n"/>
      <c r="G86" s="89" t="n"/>
      <c r="H86" s="90" t="n"/>
      <c r="I86" s="86" t="n"/>
      <c r="J86" s="87" t="n"/>
      <c r="K86" s="91">
        <f>IF($F86="","",$F86*IF($G86="",1,$G86))</f>
        <v/>
      </c>
      <c r="L86" s="92">
        <f>IFERROR(IF($D86="","",INDEX(t_Svc_Rate,MATCH($D86,lst_Service,0))),"")</f>
        <v/>
      </c>
      <c r="M86" s="92">
        <f>IF($L86="","",$L86*IF(p_TierMode="پلکانی",LOOKUP($K86,t_Tier_From,t_Tier_Rate),1))</f>
        <v/>
      </c>
      <c r="N86" s="91">
        <f>IF($K86="","",$K86*$M86)</f>
        <v/>
      </c>
      <c r="O86" s="91">
        <f>IF($N86="","",IF($I86="ابطال",0,MAX(p_Min,MIN(p_Max,$N86))))</f>
        <v/>
      </c>
      <c r="P86" s="91">
        <f>IF($O86="","",ROUND($O86*p_Tax,0))</f>
        <v/>
      </c>
      <c r="Q86" s="91">
        <f>IF($O86="","",$O86+$P86)</f>
        <v/>
      </c>
      <c r="R86" s="92">
        <f>IF($A86="","",IF($H86&lt;&gt;"",$H86,IFERROR(INDEX(t_Member_Share,MATCH($C86,t_Members,0)),p_DefaultShare)))</f>
        <v/>
      </c>
      <c r="S86" s="91">
        <f>IF(OR($Q86="",$R86=""),"",ROUND($Q86*$R86,0))</f>
        <v/>
      </c>
      <c r="T86" s="91">
        <f>IF(OR($Q86="",$S86=""),"",$Q86-$S86)</f>
        <v/>
      </c>
      <c r="U86" s="93">
        <f>IF($B86="","",IFERROR(INDEX(cal_JYear,MATCH($B86,cal_Key,0)),""))</f>
        <v/>
      </c>
      <c r="V86" s="93">
        <f>IF($B86="","",IFERROR(INDEX(cal_JMonth,MATCH($B86,cal_Key,0)),""))</f>
        <v/>
      </c>
      <c r="W86" s="94">
        <f>IF($B86="","",IFERROR(INDEX(cal_YM,MATCH($B86,cal_Key,0)),""))</f>
        <v/>
      </c>
      <c r="X86" s="94">
        <f>IF($B86="","",IFERROR(INDEX(cal_Season,MATCH($B86,cal_Key,0)),""))</f>
        <v/>
      </c>
      <c r="Y86" s="94">
        <f>IF($B86="","",IFERROR(INDEX(cal_Key,MATCH(INDEX(cal_Serial,MATCH($B86,cal_Key,0))+p_Due,cal_Serial,0)),""))</f>
        <v/>
      </c>
      <c r="Z86" s="95">
        <f>IF($B86="","",IF(OR($I86="پرداخت‌شده",$I86="ابطال"),"—",IFERROR(IF(INDEX(cal_Serial,MATCH($B86,cal_Key,0))+p_Due&lt;TODAY(),"بله","خیر"),"تاریخ نامعتبر")))</f>
        <v/>
      </c>
    </row>
    <row r="87" ht="20" customHeight="1">
      <c r="B87" s="86" t="n"/>
      <c r="C87" s="87" t="n"/>
      <c r="D87" s="87" t="n"/>
      <c r="E87" s="87" t="n"/>
      <c r="F87" s="88" t="n"/>
      <c r="G87" s="89" t="n"/>
      <c r="H87" s="90" t="n"/>
      <c r="I87" s="86" t="n"/>
      <c r="J87" s="87" t="n"/>
      <c r="K87" s="91">
        <f>IF($F87="","",$F87*IF($G87="",1,$G87))</f>
        <v/>
      </c>
      <c r="L87" s="92">
        <f>IFERROR(IF($D87="","",INDEX(t_Svc_Rate,MATCH($D87,lst_Service,0))),"")</f>
        <v/>
      </c>
      <c r="M87" s="92">
        <f>IF($L87="","",$L87*IF(p_TierMode="پلکانی",LOOKUP($K87,t_Tier_From,t_Tier_Rate),1))</f>
        <v/>
      </c>
      <c r="N87" s="91">
        <f>IF($K87="","",$K87*$M87)</f>
        <v/>
      </c>
      <c r="O87" s="91">
        <f>IF($N87="","",IF($I87="ابطال",0,MAX(p_Min,MIN(p_Max,$N87))))</f>
        <v/>
      </c>
      <c r="P87" s="91">
        <f>IF($O87="","",ROUND($O87*p_Tax,0))</f>
        <v/>
      </c>
      <c r="Q87" s="91">
        <f>IF($O87="","",$O87+$P87)</f>
        <v/>
      </c>
      <c r="R87" s="92">
        <f>IF($A87="","",IF($H87&lt;&gt;"",$H87,IFERROR(INDEX(t_Member_Share,MATCH($C87,t_Members,0)),p_DefaultShare)))</f>
        <v/>
      </c>
      <c r="S87" s="91">
        <f>IF(OR($Q87="",$R87=""),"",ROUND($Q87*$R87,0))</f>
        <v/>
      </c>
      <c r="T87" s="91">
        <f>IF(OR($Q87="",$S87=""),"",$Q87-$S87)</f>
        <v/>
      </c>
      <c r="U87" s="93">
        <f>IF($B87="","",IFERROR(INDEX(cal_JYear,MATCH($B87,cal_Key,0)),""))</f>
        <v/>
      </c>
      <c r="V87" s="93">
        <f>IF($B87="","",IFERROR(INDEX(cal_JMonth,MATCH($B87,cal_Key,0)),""))</f>
        <v/>
      </c>
      <c r="W87" s="94">
        <f>IF($B87="","",IFERROR(INDEX(cal_YM,MATCH($B87,cal_Key,0)),""))</f>
        <v/>
      </c>
      <c r="X87" s="94">
        <f>IF($B87="","",IFERROR(INDEX(cal_Season,MATCH($B87,cal_Key,0)),""))</f>
        <v/>
      </c>
      <c r="Y87" s="94">
        <f>IF($B87="","",IFERROR(INDEX(cal_Key,MATCH(INDEX(cal_Serial,MATCH($B87,cal_Key,0))+p_Due,cal_Serial,0)),""))</f>
        <v/>
      </c>
      <c r="Z87" s="95">
        <f>IF($B87="","",IF(OR($I87="پرداخت‌شده",$I87="ابطال"),"—",IFERROR(IF(INDEX(cal_Serial,MATCH($B87,cal_Key,0))+p_Due&lt;TODAY(),"بله","خیر"),"تاریخ نامعتبر")))</f>
        <v/>
      </c>
    </row>
    <row r="88" ht="20" customHeight="1">
      <c r="B88" s="86" t="n"/>
      <c r="C88" s="87" t="n"/>
      <c r="D88" s="87" t="n"/>
      <c r="E88" s="87" t="n"/>
      <c r="F88" s="88" t="n"/>
      <c r="G88" s="89" t="n"/>
      <c r="H88" s="90" t="n"/>
      <c r="I88" s="86" t="n"/>
      <c r="J88" s="87" t="n"/>
      <c r="K88" s="91">
        <f>IF($F88="","",$F88*IF($G88="",1,$G88))</f>
        <v/>
      </c>
      <c r="L88" s="92">
        <f>IFERROR(IF($D88="","",INDEX(t_Svc_Rate,MATCH($D88,lst_Service,0))),"")</f>
        <v/>
      </c>
      <c r="M88" s="92">
        <f>IF($L88="","",$L88*IF(p_TierMode="پلکانی",LOOKUP($K88,t_Tier_From,t_Tier_Rate),1))</f>
        <v/>
      </c>
      <c r="N88" s="91">
        <f>IF($K88="","",$K88*$M88)</f>
        <v/>
      </c>
      <c r="O88" s="91">
        <f>IF($N88="","",IF($I88="ابطال",0,MAX(p_Min,MIN(p_Max,$N88))))</f>
        <v/>
      </c>
      <c r="P88" s="91">
        <f>IF($O88="","",ROUND($O88*p_Tax,0))</f>
        <v/>
      </c>
      <c r="Q88" s="91">
        <f>IF($O88="","",$O88+$P88)</f>
        <v/>
      </c>
      <c r="R88" s="92">
        <f>IF($A88="","",IF($H88&lt;&gt;"",$H88,IFERROR(INDEX(t_Member_Share,MATCH($C88,t_Members,0)),p_DefaultShare)))</f>
        <v/>
      </c>
      <c r="S88" s="91">
        <f>IF(OR($Q88="",$R88=""),"",ROUND($Q88*$R88,0))</f>
        <v/>
      </c>
      <c r="T88" s="91">
        <f>IF(OR($Q88="",$S88=""),"",$Q88-$S88)</f>
        <v/>
      </c>
      <c r="U88" s="93">
        <f>IF($B88="","",IFERROR(INDEX(cal_JYear,MATCH($B88,cal_Key,0)),""))</f>
        <v/>
      </c>
      <c r="V88" s="93">
        <f>IF($B88="","",IFERROR(INDEX(cal_JMonth,MATCH($B88,cal_Key,0)),""))</f>
        <v/>
      </c>
      <c r="W88" s="94">
        <f>IF($B88="","",IFERROR(INDEX(cal_YM,MATCH($B88,cal_Key,0)),""))</f>
        <v/>
      </c>
      <c r="X88" s="94">
        <f>IF($B88="","",IFERROR(INDEX(cal_Season,MATCH($B88,cal_Key,0)),""))</f>
        <v/>
      </c>
      <c r="Y88" s="94">
        <f>IF($B88="","",IFERROR(INDEX(cal_Key,MATCH(INDEX(cal_Serial,MATCH($B88,cal_Key,0))+p_Due,cal_Serial,0)),""))</f>
        <v/>
      </c>
      <c r="Z88" s="95">
        <f>IF($B88="","",IF(OR($I88="پرداخت‌شده",$I88="ابطال"),"—",IFERROR(IF(INDEX(cal_Serial,MATCH($B88,cal_Key,0))+p_Due&lt;TODAY(),"بله","خیر"),"تاریخ نامعتبر")))</f>
        <v/>
      </c>
    </row>
    <row r="89" ht="20" customHeight="1">
      <c r="B89" s="86" t="n"/>
      <c r="C89" s="87" t="n"/>
      <c r="D89" s="87" t="n"/>
      <c r="E89" s="87" t="n"/>
      <c r="F89" s="88" t="n"/>
      <c r="G89" s="89" t="n"/>
      <c r="H89" s="90" t="n"/>
      <c r="I89" s="86" t="n"/>
      <c r="J89" s="87" t="n"/>
      <c r="K89" s="91">
        <f>IF($F89="","",$F89*IF($G89="",1,$G89))</f>
        <v/>
      </c>
      <c r="L89" s="92">
        <f>IFERROR(IF($D89="","",INDEX(t_Svc_Rate,MATCH($D89,lst_Service,0))),"")</f>
        <v/>
      </c>
      <c r="M89" s="92">
        <f>IF($L89="","",$L89*IF(p_TierMode="پلکانی",LOOKUP($K89,t_Tier_From,t_Tier_Rate),1))</f>
        <v/>
      </c>
      <c r="N89" s="91">
        <f>IF($K89="","",$K89*$M89)</f>
        <v/>
      </c>
      <c r="O89" s="91">
        <f>IF($N89="","",IF($I89="ابطال",0,MAX(p_Min,MIN(p_Max,$N89))))</f>
        <v/>
      </c>
      <c r="P89" s="91">
        <f>IF($O89="","",ROUND($O89*p_Tax,0))</f>
        <v/>
      </c>
      <c r="Q89" s="91">
        <f>IF($O89="","",$O89+$P89)</f>
        <v/>
      </c>
      <c r="R89" s="92">
        <f>IF($A89="","",IF($H89&lt;&gt;"",$H89,IFERROR(INDEX(t_Member_Share,MATCH($C89,t_Members,0)),p_DefaultShare)))</f>
        <v/>
      </c>
      <c r="S89" s="91">
        <f>IF(OR($Q89="",$R89=""),"",ROUND($Q89*$R89,0))</f>
        <v/>
      </c>
      <c r="T89" s="91">
        <f>IF(OR($Q89="",$S89=""),"",$Q89-$S89)</f>
        <v/>
      </c>
      <c r="U89" s="93">
        <f>IF($B89="","",IFERROR(INDEX(cal_JYear,MATCH($B89,cal_Key,0)),""))</f>
        <v/>
      </c>
      <c r="V89" s="93">
        <f>IF($B89="","",IFERROR(INDEX(cal_JMonth,MATCH($B89,cal_Key,0)),""))</f>
        <v/>
      </c>
      <c r="W89" s="94">
        <f>IF($B89="","",IFERROR(INDEX(cal_YM,MATCH($B89,cal_Key,0)),""))</f>
        <v/>
      </c>
      <c r="X89" s="94">
        <f>IF($B89="","",IFERROR(INDEX(cal_Season,MATCH($B89,cal_Key,0)),""))</f>
        <v/>
      </c>
      <c r="Y89" s="94">
        <f>IF($B89="","",IFERROR(INDEX(cal_Key,MATCH(INDEX(cal_Serial,MATCH($B89,cal_Key,0))+p_Due,cal_Serial,0)),""))</f>
        <v/>
      </c>
      <c r="Z89" s="95">
        <f>IF($B89="","",IF(OR($I89="پرداخت‌شده",$I89="ابطال"),"—",IFERROR(IF(INDEX(cal_Serial,MATCH($B89,cal_Key,0))+p_Due&lt;TODAY(),"بله","خیر"),"تاریخ نامعتبر")))</f>
        <v/>
      </c>
    </row>
    <row r="90" ht="20" customHeight="1">
      <c r="B90" s="86" t="n"/>
      <c r="C90" s="87" t="n"/>
      <c r="D90" s="87" t="n"/>
      <c r="E90" s="87" t="n"/>
      <c r="F90" s="88" t="n"/>
      <c r="G90" s="89" t="n"/>
      <c r="H90" s="90" t="n"/>
      <c r="I90" s="86" t="n"/>
      <c r="J90" s="87" t="n"/>
      <c r="K90" s="91">
        <f>IF($F90="","",$F90*IF($G90="",1,$G90))</f>
        <v/>
      </c>
      <c r="L90" s="92">
        <f>IFERROR(IF($D90="","",INDEX(t_Svc_Rate,MATCH($D90,lst_Service,0))),"")</f>
        <v/>
      </c>
      <c r="M90" s="92">
        <f>IF($L90="","",$L90*IF(p_TierMode="پلکانی",LOOKUP($K90,t_Tier_From,t_Tier_Rate),1))</f>
        <v/>
      </c>
      <c r="N90" s="91">
        <f>IF($K90="","",$K90*$M90)</f>
        <v/>
      </c>
      <c r="O90" s="91">
        <f>IF($N90="","",IF($I90="ابطال",0,MAX(p_Min,MIN(p_Max,$N90))))</f>
        <v/>
      </c>
      <c r="P90" s="91">
        <f>IF($O90="","",ROUND($O90*p_Tax,0))</f>
        <v/>
      </c>
      <c r="Q90" s="91">
        <f>IF($O90="","",$O90+$P90)</f>
        <v/>
      </c>
      <c r="R90" s="92">
        <f>IF($A90="","",IF($H90&lt;&gt;"",$H90,IFERROR(INDEX(t_Member_Share,MATCH($C90,t_Members,0)),p_DefaultShare)))</f>
        <v/>
      </c>
      <c r="S90" s="91">
        <f>IF(OR($Q90="",$R90=""),"",ROUND($Q90*$R90,0))</f>
        <v/>
      </c>
      <c r="T90" s="91">
        <f>IF(OR($Q90="",$S90=""),"",$Q90-$S90)</f>
        <v/>
      </c>
      <c r="U90" s="93">
        <f>IF($B90="","",IFERROR(INDEX(cal_JYear,MATCH($B90,cal_Key,0)),""))</f>
        <v/>
      </c>
      <c r="V90" s="93">
        <f>IF($B90="","",IFERROR(INDEX(cal_JMonth,MATCH($B90,cal_Key,0)),""))</f>
        <v/>
      </c>
      <c r="W90" s="94">
        <f>IF($B90="","",IFERROR(INDEX(cal_YM,MATCH($B90,cal_Key,0)),""))</f>
        <v/>
      </c>
      <c r="X90" s="94">
        <f>IF($B90="","",IFERROR(INDEX(cal_Season,MATCH($B90,cal_Key,0)),""))</f>
        <v/>
      </c>
      <c r="Y90" s="94">
        <f>IF($B90="","",IFERROR(INDEX(cal_Key,MATCH(INDEX(cal_Serial,MATCH($B90,cal_Key,0))+p_Due,cal_Serial,0)),""))</f>
        <v/>
      </c>
      <c r="Z90" s="95">
        <f>IF($B90="","",IF(OR($I90="پرداخت‌شده",$I90="ابطال"),"—",IFERROR(IF(INDEX(cal_Serial,MATCH($B90,cal_Key,0))+p_Due&lt;TODAY(),"بله","خیر"),"تاریخ نامعتبر")))</f>
        <v/>
      </c>
    </row>
    <row r="91" ht="20" customHeight="1">
      <c r="B91" s="86" t="n"/>
      <c r="C91" s="87" t="n"/>
      <c r="D91" s="87" t="n"/>
      <c r="E91" s="87" t="n"/>
      <c r="F91" s="88" t="n"/>
      <c r="G91" s="89" t="n"/>
      <c r="H91" s="90" t="n"/>
      <c r="I91" s="86" t="n"/>
      <c r="J91" s="87" t="n"/>
      <c r="K91" s="91">
        <f>IF($F91="","",$F91*IF($G91="",1,$G91))</f>
        <v/>
      </c>
      <c r="L91" s="92">
        <f>IFERROR(IF($D91="","",INDEX(t_Svc_Rate,MATCH($D91,lst_Service,0))),"")</f>
        <v/>
      </c>
      <c r="M91" s="92">
        <f>IF($L91="","",$L91*IF(p_TierMode="پلکانی",LOOKUP($K91,t_Tier_From,t_Tier_Rate),1))</f>
        <v/>
      </c>
      <c r="N91" s="91">
        <f>IF($K91="","",$K91*$M91)</f>
        <v/>
      </c>
      <c r="O91" s="91">
        <f>IF($N91="","",IF($I91="ابطال",0,MAX(p_Min,MIN(p_Max,$N91))))</f>
        <v/>
      </c>
      <c r="P91" s="91">
        <f>IF($O91="","",ROUND($O91*p_Tax,0))</f>
        <v/>
      </c>
      <c r="Q91" s="91">
        <f>IF($O91="","",$O91+$P91)</f>
        <v/>
      </c>
      <c r="R91" s="92">
        <f>IF($A91="","",IF($H91&lt;&gt;"",$H91,IFERROR(INDEX(t_Member_Share,MATCH($C91,t_Members,0)),p_DefaultShare)))</f>
        <v/>
      </c>
      <c r="S91" s="91">
        <f>IF(OR($Q91="",$R91=""),"",ROUND($Q91*$R91,0))</f>
        <v/>
      </c>
      <c r="T91" s="91">
        <f>IF(OR($Q91="",$S91=""),"",$Q91-$S91)</f>
        <v/>
      </c>
      <c r="U91" s="93">
        <f>IF($B91="","",IFERROR(INDEX(cal_JYear,MATCH($B91,cal_Key,0)),""))</f>
        <v/>
      </c>
      <c r="V91" s="93">
        <f>IF($B91="","",IFERROR(INDEX(cal_JMonth,MATCH($B91,cal_Key,0)),""))</f>
        <v/>
      </c>
      <c r="W91" s="94">
        <f>IF($B91="","",IFERROR(INDEX(cal_YM,MATCH($B91,cal_Key,0)),""))</f>
        <v/>
      </c>
      <c r="X91" s="94">
        <f>IF($B91="","",IFERROR(INDEX(cal_Season,MATCH($B91,cal_Key,0)),""))</f>
        <v/>
      </c>
      <c r="Y91" s="94">
        <f>IF($B91="","",IFERROR(INDEX(cal_Key,MATCH(INDEX(cal_Serial,MATCH($B91,cal_Key,0))+p_Due,cal_Serial,0)),""))</f>
        <v/>
      </c>
      <c r="Z91" s="95">
        <f>IF($B91="","",IF(OR($I91="پرداخت‌شده",$I91="ابطال"),"—",IFERROR(IF(INDEX(cal_Serial,MATCH($B91,cal_Key,0))+p_Due&lt;TODAY(),"بله","خیر"),"تاریخ نامعتبر")))</f>
        <v/>
      </c>
    </row>
    <row r="92" ht="20" customHeight="1">
      <c r="B92" s="86" t="n"/>
      <c r="C92" s="87" t="n"/>
      <c r="D92" s="87" t="n"/>
      <c r="E92" s="87" t="n"/>
      <c r="F92" s="88" t="n"/>
      <c r="G92" s="89" t="n"/>
      <c r="H92" s="90" t="n"/>
      <c r="I92" s="86" t="n"/>
      <c r="J92" s="87" t="n"/>
      <c r="K92" s="91">
        <f>IF($F92="","",$F92*IF($G92="",1,$G92))</f>
        <v/>
      </c>
      <c r="L92" s="92">
        <f>IFERROR(IF($D92="","",INDEX(t_Svc_Rate,MATCH($D92,lst_Service,0))),"")</f>
        <v/>
      </c>
      <c r="M92" s="92">
        <f>IF($L92="","",$L92*IF(p_TierMode="پلکانی",LOOKUP($K92,t_Tier_From,t_Tier_Rate),1))</f>
        <v/>
      </c>
      <c r="N92" s="91">
        <f>IF($K92="","",$K92*$M92)</f>
        <v/>
      </c>
      <c r="O92" s="91">
        <f>IF($N92="","",IF($I92="ابطال",0,MAX(p_Min,MIN(p_Max,$N92))))</f>
        <v/>
      </c>
      <c r="P92" s="91">
        <f>IF($O92="","",ROUND($O92*p_Tax,0))</f>
        <v/>
      </c>
      <c r="Q92" s="91">
        <f>IF($O92="","",$O92+$P92)</f>
        <v/>
      </c>
      <c r="R92" s="92">
        <f>IF($A92="","",IF($H92&lt;&gt;"",$H92,IFERROR(INDEX(t_Member_Share,MATCH($C92,t_Members,0)),p_DefaultShare)))</f>
        <v/>
      </c>
      <c r="S92" s="91">
        <f>IF(OR($Q92="",$R92=""),"",ROUND($Q92*$R92,0))</f>
        <v/>
      </c>
      <c r="T92" s="91">
        <f>IF(OR($Q92="",$S92=""),"",$Q92-$S92)</f>
        <v/>
      </c>
      <c r="U92" s="93">
        <f>IF($B92="","",IFERROR(INDEX(cal_JYear,MATCH($B92,cal_Key,0)),""))</f>
        <v/>
      </c>
      <c r="V92" s="93">
        <f>IF($B92="","",IFERROR(INDEX(cal_JMonth,MATCH($B92,cal_Key,0)),""))</f>
        <v/>
      </c>
      <c r="W92" s="94">
        <f>IF($B92="","",IFERROR(INDEX(cal_YM,MATCH($B92,cal_Key,0)),""))</f>
        <v/>
      </c>
      <c r="X92" s="94">
        <f>IF($B92="","",IFERROR(INDEX(cal_Season,MATCH($B92,cal_Key,0)),""))</f>
        <v/>
      </c>
      <c r="Y92" s="94">
        <f>IF($B92="","",IFERROR(INDEX(cal_Key,MATCH(INDEX(cal_Serial,MATCH($B92,cal_Key,0))+p_Due,cal_Serial,0)),""))</f>
        <v/>
      </c>
      <c r="Z92" s="95">
        <f>IF($B92="","",IF(OR($I92="پرداخت‌شده",$I92="ابطال"),"—",IFERROR(IF(INDEX(cal_Serial,MATCH($B92,cal_Key,0))+p_Due&lt;TODAY(),"بله","خیر"),"تاریخ نامعتبر")))</f>
        <v/>
      </c>
    </row>
    <row r="93" ht="20" customHeight="1">
      <c r="B93" s="86" t="n"/>
      <c r="C93" s="87" t="n"/>
      <c r="D93" s="87" t="n"/>
      <c r="E93" s="87" t="n"/>
      <c r="F93" s="88" t="n"/>
      <c r="G93" s="89" t="n"/>
      <c r="H93" s="90" t="n"/>
      <c r="I93" s="86" t="n"/>
      <c r="J93" s="87" t="n"/>
      <c r="K93" s="91">
        <f>IF($F93="","",$F93*IF($G93="",1,$G93))</f>
        <v/>
      </c>
      <c r="L93" s="92">
        <f>IFERROR(IF($D93="","",INDEX(t_Svc_Rate,MATCH($D93,lst_Service,0))),"")</f>
        <v/>
      </c>
      <c r="M93" s="92">
        <f>IF($L93="","",$L93*IF(p_TierMode="پلکانی",LOOKUP($K93,t_Tier_From,t_Tier_Rate),1))</f>
        <v/>
      </c>
      <c r="N93" s="91">
        <f>IF($K93="","",$K93*$M93)</f>
        <v/>
      </c>
      <c r="O93" s="91">
        <f>IF($N93="","",IF($I93="ابطال",0,MAX(p_Min,MIN(p_Max,$N93))))</f>
        <v/>
      </c>
      <c r="P93" s="91">
        <f>IF($O93="","",ROUND($O93*p_Tax,0))</f>
        <v/>
      </c>
      <c r="Q93" s="91">
        <f>IF($O93="","",$O93+$P93)</f>
        <v/>
      </c>
      <c r="R93" s="92">
        <f>IF($A93="","",IF($H93&lt;&gt;"",$H93,IFERROR(INDEX(t_Member_Share,MATCH($C93,t_Members,0)),p_DefaultShare)))</f>
        <v/>
      </c>
      <c r="S93" s="91">
        <f>IF(OR($Q93="",$R93=""),"",ROUND($Q93*$R93,0))</f>
        <v/>
      </c>
      <c r="T93" s="91">
        <f>IF(OR($Q93="",$S93=""),"",$Q93-$S93)</f>
        <v/>
      </c>
      <c r="U93" s="93">
        <f>IF($B93="","",IFERROR(INDEX(cal_JYear,MATCH($B93,cal_Key,0)),""))</f>
        <v/>
      </c>
      <c r="V93" s="93">
        <f>IF($B93="","",IFERROR(INDEX(cal_JMonth,MATCH($B93,cal_Key,0)),""))</f>
        <v/>
      </c>
      <c r="W93" s="94">
        <f>IF($B93="","",IFERROR(INDEX(cal_YM,MATCH($B93,cal_Key,0)),""))</f>
        <v/>
      </c>
      <c r="X93" s="94">
        <f>IF($B93="","",IFERROR(INDEX(cal_Season,MATCH($B93,cal_Key,0)),""))</f>
        <v/>
      </c>
      <c r="Y93" s="94">
        <f>IF($B93="","",IFERROR(INDEX(cal_Key,MATCH(INDEX(cal_Serial,MATCH($B93,cal_Key,0))+p_Due,cal_Serial,0)),""))</f>
        <v/>
      </c>
      <c r="Z93" s="95">
        <f>IF($B93="","",IF(OR($I93="پرداخت‌شده",$I93="ابطال"),"—",IFERROR(IF(INDEX(cal_Serial,MATCH($B93,cal_Key,0))+p_Due&lt;TODAY(),"بله","خیر"),"تاریخ نامعتبر")))</f>
        <v/>
      </c>
    </row>
    <row r="94" ht="20" customHeight="1">
      <c r="B94" s="86" t="n"/>
      <c r="C94" s="87" t="n"/>
      <c r="D94" s="87" t="n"/>
      <c r="E94" s="87" t="n"/>
      <c r="F94" s="88" t="n"/>
      <c r="G94" s="89" t="n"/>
      <c r="H94" s="90" t="n"/>
      <c r="I94" s="86" t="n"/>
      <c r="J94" s="87" t="n"/>
      <c r="K94" s="91">
        <f>IF($F94="","",$F94*IF($G94="",1,$G94))</f>
        <v/>
      </c>
      <c r="L94" s="92">
        <f>IFERROR(IF($D94="","",INDEX(t_Svc_Rate,MATCH($D94,lst_Service,0))),"")</f>
        <v/>
      </c>
      <c r="M94" s="92">
        <f>IF($L94="","",$L94*IF(p_TierMode="پلکانی",LOOKUP($K94,t_Tier_From,t_Tier_Rate),1))</f>
        <v/>
      </c>
      <c r="N94" s="91">
        <f>IF($K94="","",$K94*$M94)</f>
        <v/>
      </c>
      <c r="O94" s="91">
        <f>IF($N94="","",IF($I94="ابطال",0,MAX(p_Min,MIN(p_Max,$N94))))</f>
        <v/>
      </c>
      <c r="P94" s="91">
        <f>IF($O94="","",ROUND($O94*p_Tax,0))</f>
        <v/>
      </c>
      <c r="Q94" s="91">
        <f>IF($O94="","",$O94+$P94)</f>
        <v/>
      </c>
      <c r="R94" s="92">
        <f>IF($A94="","",IF($H94&lt;&gt;"",$H94,IFERROR(INDEX(t_Member_Share,MATCH($C94,t_Members,0)),p_DefaultShare)))</f>
        <v/>
      </c>
      <c r="S94" s="91">
        <f>IF(OR($Q94="",$R94=""),"",ROUND($Q94*$R94,0))</f>
        <v/>
      </c>
      <c r="T94" s="91">
        <f>IF(OR($Q94="",$S94=""),"",$Q94-$S94)</f>
        <v/>
      </c>
      <c r="U94" s="93">
        <f>IF($B94="","",IFERROR(INDEX(cal_JYear,MATCH($B94,cal_Key,0)),""))</f>
        <v/>
      </c>
      <c r="V94" s="93">
        <f>IF($B94="","",IFERROR(INDEX(cal_JMonth,MATCH($B94,cal_Key,0)),""))</f>
        <v/>
      </c>
      <c r="W94" s="94">
        <f>IF($B94="","",IFERROR(INDEX(cal_YM,MATCH($B94,cal_Key,0)),""))</f>
        <v/>
      </c>
      <c r="X94" s="94">
        <f>IF($B94="","",IFERROR(INDEX(cal_Season,MATCH($B94,cal_Key,0)),""))</f>
        <v/>
      </c>
      <c r="Y94" s="94">
        <f>IF($B94="","",IFERROR(INDEX(cal_Key,MATCH(INDEX(cal_Serial,MATCH($B94,cal_Key,0))+p_Due,cal_Serial,0)),""))</f>
        <v/>
      </c>
      <c r="Z94" s="95">
        <f>IF($B94="","",IF(OR($I94="پرداخت‌شده",$I94="ابطال"),"—",IFERROR(IF(INDEX(cal_Serial,MATCH($B94,cal_Key,0))+p_Due&lt;TODAY(),"بله","خیر"),"تاریخ نامعتبر")))</f>
        <v/>
      </c>
    </row>
    <row r="95" ht="20" customHeight="1">
      <c r="B95" s="86" t="n"/>
      <c r="C95" s="87" t="n"/>
      <c r="D95" s="87" t="n"/>
      <c r="E95" s="87" t="n"/>
      <c r="F95" s="88" t="n"/>
      <c r="G95" s="89" t="n"/>
      <c r="H95" s="90" t="n"/>
      <c r="I95" s="86" t="n"/>
      <c r="J95" s="87" t="n"/>
      <c r="K95" s="91">
        <f>IF($F95="","",$F95*IF($G95="",1,$G95))</f>
        <v/>
      </c>
      <c r="L95" s="92">
        <f>IFERROR(IF($D95="","",INDEX(t_Svc_Rate,MATCH($D95,lst_Service,0))),"")</f>
        <v/>
      </c>
      <c r="M95" s="92">
        <f>IF($L95="","",$L95*IF(p_TierMode="پلکانی",LOOKUP($K95,t_Tier_From,t_Tier_Rate),1))</f>
        <v/>
      </c>
      <c r="N95" s="91">
        <f>IF($K95="","",$K95*$M95)</f>
        <v/>
      </c>
      <c r="O95" s="91">
        <f>IF($N95="","",IF($I95="ابطال",0,MAX(p_Min,MIN(p_Max,$N95))))</f>
        <v/>
      </c>
      <c r="P95" s="91">
        <f>IF($O95="","",ROUND($O95*p_Tax,0))</f>
        <v/>
      </c>
      <c r="Q95" s="91">
        <f>IF($O95="","",$O95+$P95)</f>
        <v/>
      </c>
      <c r="R95" s="92">
        <f>IF($A95="","",IF($H95&lt;&gt;"",$H95,IFERROR(INDEX(t_Member_Share,MATCH($C95,t_Members,0)),p_DefaultShare)))</f>
        <v/>
      </c>
      <c r="S95" s="91">
        <f>IF(OR($Q95="",$R95=""),"",ROUND($Q95*$R95,0))</f>
        <v/>
      </c>
      <c r="T95" s="91">
        <f>IF(OR($Q95="",$S95=""),"",$Q95-$S95)</f>
        <v/>
      </c>
      <c r="U95" s="93">
        <f>IF($B95="","",IFERROR(INDEX(cal_JYear,MATCH($B95,cal_Key,0)),""))</f>
        <v/>
      </c>
      <c r="V95" s="93">
        <f>IF($B95="","",IFERROR(INDEX(cal_JMonth,MATCH($B95,cal_Key,0)),""))</f>
        <v/>
      </c>
      <c r="W95" s="94">
        <f>IF($B95="","",IFERROR(INDEX(cal_YM,MATCH($B95,cal_Key,0)),""))</f>
        <v/>
      </c>
      <c r="X95" s="94">
        <f>IF($B95="","",IFERROR(INDEX(cal_Season,MATCH($B95,cal_Key,0)),""))</f>
        <v/>
      </c>
      <c r="Y95" s="94">
        <f>IF($B95="","",IFERROR(INDEX(cal_Key,MATCH(INDEX(cal_Serial,MATCH($B95,cal_Key,0))+p_Due,cal_Serial,0)),""))</f>
        <v/>
      </c>
      <c r="Z95" s="95">
        <f>IF($B95="","",IF(OR($I95="پرداخت‌شده",$I95="ابطال"),"—",IFERROR(IF(INDEX(cal_Serial,MATCH($B95,cal_Key,0))+p_Due&lt;TODAY(),"بله","خیر"),"تاریخ نامعتبر")))</f>
        <v/>
      </c>
    </row>
    <row r="96" ht="20" customHeight="1">
      <c r="B96" s="86" t="n"/>
      <c r="C96" s="87" t="n"/>
      <c r="D96" s="87" t="n"/>
      <c r="E96" s="87" t="n"/>
      <c r="F96" s="88" t="n"/>
      <c r="G96" s="89" t="n"/>
      <c r="H96" s="90" t="n"/>
      <c r="I96" s="86" t="n"/>
      <c r="J96" s="87" t="n"/>
      <c r="K96" s="91">
        <f>IF($F96="","",$F96*IF($G96="",1,$G96))</f>
        <v/>
      </c>
      <c r="L96" s="92">
        <f>IFERROR(IF($D96="","",INDEX(t_Svc_Rate,MATCH($D96,lst_Service,0))),"")</f>
        <v/>
      </c>
      <c r="M96" s="92">
        <f>IF($L96="","",$L96*IF(p_TierMode="پلکانی",LOOKUP($K96,t_Tier_From,t_Tier_Rate),1))</f>
        <v/>
      </c>
      <c r="N96" s="91">
        <f>IF($K96="","",$K96*$M96)</f>
        <v/>
      </c>
      <c r="O96" s="91">
        <f>IF($N96="","",IF($I96="ابطال",0,MAX(p_Min,MIN(p_Max,$N96))))</f>
        <v/>
      </c>
      <c r="P96" s="91">
        <f>IF($O96="","",ROUND($O96*p_Tax,0))</f>
        <v/>
      </c>
      <c r="Q96" s="91">
        <f>IF($O96="","",$O96+$P96)</f>
        <v/>
      </c>
      <c r="R96" s="92">
        <f>IF($A96="","",IF($H96&lt;&gt;"",$H96,IFERROR(INDEX(t_Member_Share,MATCH($C96,t_Members,0)),p_DefaultShare)))</f>
        <v/>
      </c>
      <c r="S96" s="91">
        <f>IF(OR($Q96="",$R96=""),"",ROUND($Q96*$R96,0))</f>
        <v/>
      </c>
      <c r="T96" s="91">
        <f>IF(OR($Q96="",$S96=""),"",$Q96-$S96)</f>
        <v/>
      </c>
      <c r="U96" s="93">
        <f>IF($B96="","",IFERROR(INDEX(cal_JYear,MATCH($B96,cal_Key,0)),""))</f>
        <v/>
      </c>
      <c r="V96" s="93">
        <f>IF($B96="","",IFERROR(INDEX(cal_JMonth,MATCH($B96,cal_Key,0)),""))</f>
        <v/>
      </c>
      <c r="W96" s="94">
        <f>IF($B96="","",IFERROR(INDEX(cal_YM,MATCH($B96,cal_Key,0)),""))</f>
        <v/>
      </c>
      <c r="X96" s="94">
        <f>IF($B96="","",IFERROR(INDEX(cal_Season,MATCH($B96,cal_Key,0)),""))</f>
        <v/>
      </c>
      <c r="Y96" s="94">
        <f>IF($B96="","",IFERROR(INDEX(cal_Key,MATCH(INDEX(cal_Serial,MATCH($B96,cal_Key,0))+p_Due,cal_Serial,0)),""))</f>
        <v/>
      </c>
      <c r="Z96" s="95">
        <f>IF($B96="","",IF(OR($I96="پرداخت‌شده",$I96="ابطال"),"—",IFERROR(IF(INDEX(cal_Serial,MATCH($B96,cal_Key,0))+p_Due&lt;TODAY(),"بله","خیر"),"تاریخ نامعتبر")))</f>
        <v/>
      </c>
    </row>
    <row r="97" ht="20" customHeight="1">
      <c r="B97" s="86" t="n"/>
      <c r="C97" s="87" t="n"/>
      <c r="D97" s="87" t="n"/>
      <c r="E97" s="87" t="n"/>
      <c r="F97" s="88" t="n"/>
      <c r="G97" s="89" t="n"/>
      <c r="H97" s="90" t="n"/>
      <c r="I97" s="86" t="n"/>
      <c r="J97" s="87" t="n"/>
      <c r="K97" s="91">
        <f>IF($F97="","",$F97*IF($G97="",1,$G97))</f>
        <v/>
      </c>
      <c r="L97" s="92">
        <f>IFERROR(IF($D97="","",INDEX(t_Svc_Rate,MATCH($D97,lst_Service,0))),"")</f>
        <v/>
      </c>
      <c r="M97" s="92">
        <f>IF($L97="","",$L97*IF(p_TierMode="پلکانی",LOOKUP($K97,t_Tier_From,t_Tier_Rate),1))</f>
        <v/>
      </c>
      <c r="N97" s="91">
        <f>IF($K97="","",$K97*$M97)</f>
        <v/>
      </c>
      <c r="O97" s="91">
        <f>IF($N97="","",IF($I97="ابطال",0,MAX(p_Min,MIN(p_Max,$N97))))</f>
        <v/>
      </c>
      <c r="P97" s="91">
        <f>IF($O97="","",ROUND($O97*p_Tax,0))</f>
        <v/>
      </c>
      <c r="Q97" s="91">
        <f>IF($O97="","",$O97+$P97)</f>
        <v/>
      </c>
      <c r="R97" s="92">
        <f>IF($A97="","",IF($H97&lt;&gt;"",$H97,IFERROR(INDEX(t_Member_Share,MATCH($C97,t_Members,0)),p_DefaultShare)))</f>
        <v/>
      </c>
      <c r="S97" s="91">
        <f>IF(OR($Q97="",$R97=""),"",ROUND($Q97*$R97,0))</f>
        <v/>
      </c>
      <c r="T97" s="91">
        <f>IF(OR($Q97="",$S97=""),"",$Q97-$S97)</f>
        <v/>
      </c>
      <c r="U97" s="93">
        <f>IF($B97="","",IFERROR(INDEX(cal_JYear,MATCH($B97,cal_Key,0)),""))</f>
        <v/>
      </c>
      <c r="V97" s="93">
        <f>IF($B97="","",IFERROR(INDEX(cal_JMonth,MATCH($B97,cal_Key,0)),""))</f>
        <v/>
      </c>
      <c r="W97" s="94">
        <f>IF($B97="","",IFERROR(INDEX(cal_YM,MATCH($B97,cal_Key,0)),""))</f>
        <v/>
      </c>
      <c r="X97" s="94">
        <f>IF($B97="","",IFERROR(INDEX(cal_Season,MATCH($B97,cal_Key,0)),""))</f>
        <v/>
      </c>
      <c r="Y97" s="94">
        <f>IF($B97="","",IFERROR(INDEX(cal_Key,MATCH(INDEX(cal_Serial,MATCH($B97,cal_Key,0))+p_Due,cal_Serial,0)),""))</f>
        <v/>
      </c>
      <c r="Z97" s="95">
        <f>IF($B97="","",IF(OR($I97="پرداخت‌شده",$I97="ابطال"),"—",IFERROR(IF(INDEX(cal_Serial,MATCH($B97,cal_Key,0))+p_Due&lt;TODAY(),"بله","خیر"),"تاریخ نامعتبر")))</f>
        <v/>
      </c>
    </row>
    <row r="98" ht="20" customHeight="1">
      <c r="B98" s="86" t="n"/>
      <c r="C98" s="87" t="n"/>
      <c r="D98" s="87" t="n"/>
      <c r="E98" s="87" t="n"/>
      <c r="F98" s="88" t="n"/>
      <c r="G98" s="89" t="n"/>
      <c r="H98" s="90" t="n"/>
      <c r="I98" s="86" t="n"/>
      <c r="J98" s="87" t="n"/>
      <c r="K98" s="91">
        <f>IF($F98="","",$F98*IF($G98="",1,$G98))</f>
        <v/>
      </c>
      <c r="L98" s="92">
        <f>IFERROR(IF($D98="","",INDEX(t_Svc_Rate,MATCH($D98,lst_Service,0))),"")</f>
        <v/>
      </c>
      <c r="M98" s="92">
        <f>IF($L98="","",$L98*IF(p_TierMode="پلکانی",LOOKUP($K98,t_Tier_From,t_Tier_Rate),1))</f>
        <v/>
      </c>
      <c r="N98" s="91">
        <f>IF($K98="","",$K98*$M98)</f>
        <v/>
      </c>
      <c r="O98" s="91">
        <f>IF($N98="","",IF($I98="ابطال",0,MAX(p_Min,MIN(p_Max,$N98))))</f>
        <v/>
      </c>
      <c r="P98" s="91">
        <f>IF($O98="","",ROUND($O98*p_Tax,0))</f>
        <v/>
      </c>
      <c r="Q98" s="91">
        <f>IF($O98="","",$O98+$P98)</f>
        <v/>
      </c>
      <c r="R98" s="92">
        <f>IF($A98="","",IF($H98&lt;&gt;"",$H98,IFERROR(INDEX(t_Member_Share,MATCH($C98,t_Members,0)),p_DefaultShare)))</f>
        <v/>
      </c>
      <c r="S98" s="91">
        <f>IF(OR($Q98="",$R98=""),"",ROUND($Q98*$R98,0))</f>
        <v/>
      </c>
      <c r="T98" s="91">
        <f>IF(OR($Q98="",$S98=""),"",$Q98-$S98)</f>
        <v/>
      </c>
      <c r="U98" s="93">
        <f>IF($B98="","",IFERROR(INDEX(cal_JYear,MATCH($B98,cal_Key,0)),""))</f>
        <v/>
      </c>
      <c r="V98" s="93">
        <f>IF($B98="","",IFERROR(INDEX(cal_JMonth,MATCH($B98,cal_Key,0)),""))</f>
        <v/>
      </c>
      <c r="W98" s="94">
        <f>IF($B98="","",IFERROR(INDEX(cal_YM,MATCH($B98,cal_Key,0)),""))</f>
        <v/>
      </c>
      <c r="X98" s="94">
        <f>IF($B98="","",IFERROR(INDEX(cal_Season,MATCH($B98,cal_Key,0)),""))</f>
        <v/>
      </c>
      <c r="Y98" s="94">
        <f>IF($B98="","",IFERROR(INDEX(cal_Key,MATCH(INDEX(cal_Serial,MATCH($B98,cal_Key,0))+p_Due,cal_Serial,0)),""))</f>
        <v/>
      </c>
      <c r="Z98" s="95">
        <f>IF($B98="","",IF(OR($I98="پرداخت‌شده",$I98="ابطال"),"—",IFERROR(IF(INDEX(cal_Serial,MATCH($B98,cal_Key,0))+p_Due&lt;TODAY(),"بله","خیر"),"تاریخ نامعتبر")))</f>
        <v/>
      </c>
    </row>
    <row r="99" ht="20" customHeight="1">
      <c r="B99" s="86" t="n"/>
      <c r="C99" s="87" t="n"/>
      <c r="D99" s="87" t="n"/>
      <c r="E99" s="87" t="n"/>
      <c r="F99" s="88" t="n"/>
      <c r="G99" s="89" t="n"/>
      <c r="H99" s="90" t="n"/>
      <c r="I99" s="86" t="n"/>
      <c r="J99" s="87" t="n"/>
      <c r="K99" s="91">
        <f>IF($F99="","",$F99*IF($G99="",1,$G99))</f>
        <v/>
      </c>
      <c r="L99" s="92">
        <f>IFERROR(IF($D99="","",INDEX(t_Svc_Rate,MATCH($D99,lst_Service,0))),"")</f>
        <v/>
      </c>
      <c r="M99" s="92">
        <f>IF($L99="","",$L99*IF(p_TierMode="پلکانی",LOOKUP($K99,t_Tier_From,t_Tier_Rate),1))</f>
        <v/>
      </c>
      <c r="N99" s="91">
        <f>IF($K99="","",$K99*$M99)</f>
        <v/>
      </c>
      <c r="O99" s="91">
        <f>IF($N99="","",IF($I99="ابطال",0,MAX(p_Min,MIN(p_Max,$N99))))</f>
        <v/>
      </c>
      <c r="P99" s="91">
        <f>IF($O99="","",ROUND($O99*p_Tax,0))</f>
        <v/>
      </c>
      <c r="Q99" s="91">
        <f>IF($O99="","",$O99+$P99)</f>
        <v/>
      </c>
      <c r="R99" s="92">
        <f>IF($A99="","",IF($H99&lt;&gt;"",$H99,IFERROR(INDEX(t_Member_Share,MATCH($C99,t_Members,0)),p_DefaultShare)))</f>
        <v/>
      </c>
      <c r="S99" s="91">
        <f>IF(OR($Q99="",$R99=""),"",ROUND($Q99*$R99,0))</f>
        <v/>
      </c>
      <c r="T99" s="91">
        <f>IF(OR($Q99="",$S99=""),"",$Q99-$S99)</f>
        <v/>
      </c>
      <c r="U99" s="93">
        <f>IF($B99="","",IFERROR(INDEX(cal_JYear,MATCH($B99,cal_Key,0)),""))</f>
        <v/>
      </c>
      <c r="V99" s="93">
        <f>IF($B99="","",IFERROR(INDEX(cal_JMonth,MATCH($B99,cal_Key,0)),""))</f>
        <v/>
      </c>
      <c r="W99" s="94">
        <f>IF($B99="","",IFERROR(INDEX(cal_YM,MATCH($B99,cal_Key,0)),""))</f>
        <v/>
      </c>
      <c r="X99" s="94">
        <f>IF($B99="","",IFERROR(INDEX(cal_Season,MATCH($B99,cal_Key,0)),""))</f>
        <v/>
      </c>
      <c r="Y99" s="94">
        <f>IF($B99="","",IFERROR(INDEX(cal_Key,MATCH(INDEX(cal_Serial,MATCH($B99,cal_Key,0))+p_Due,cal_Serial,0)),""))</f>
        <v/>
      </c>
      <c r="Z99" s="95">
        <f>IF($B99="","",IF(OR($I99="پرداخت‌شده",$I99="ابطال"),"—",IFERROR(IF(INDEX(cal_Serial,MATCH($B99,cal_Key,0))+p_Due&lt;TODAY(),"بله","خیر"),"تاریخ نامعتبر")))</f>
        <v/>
      </c>
    </row>
    <row r="100" ht="20" customHeight="1">
      <c r="B100" s="86" t="n"/>
      <c r="C100" s="87" t="n"/>
      <c r="D100" s="87" t="n"/>
      <c r="E100" s="87" t="n"/>
      <c r="F100" s="88" t="n"/>
      <c r="G100" s="89" t="n"/>
      <c r="H100" s="90" t="n"/>
      <c r="I100" s="86" t="n"/>
      <c r="J100" s="87" t="n"/>
      <c r="K100" s="91">
        <f>IF($F100="","",$F100*IF($G100="",1,$G100))</f>
        <v/>
      </c>
      <c r="L100" s="92">
        <f>IFERROR(IF($D100="","",INDEX(t_Svc_Rate,MATCH($D100,lst_Service,0))),"")</f>
        <v/>
      </c>
      <c r="M100" s="92">
        <f>IF($L100="","",$L100*IF(p_TierMode="پلکانی",LOOKUP($K100,t_Tier_From,t_Tier_Rate),1))</f>
        <v/>
      </c>
      <c r="N100" s="91">
        <f>IF($K100="","",$K100*$M100)</f>
        <v/>
      </c>
      <c r="O100" s="91">
        <f>IF($N100="","",IF($I100="ابطال",0,MAX(p_Min,MIN(p_Max,$N100))))</f>
        <v/>
      </c>
      <c r="P100" s="91">
        <f>IF($O100="","",ROUND($O100*p_Tax,0))</f>
        <v/>
      </c>
      <c r="Q100" s="91">
        <f>IF($O100="","",$O100+$P100)</f>
        <v/>
      </c>
      <c r="R100" s="92">
        <f>IF($A100="","",IF($H100&lt;&gt;"",$H100,IFERROR(INDEX(t_Member_Share,MATCH($C100,t_Members,0)),p_DefaultShare)))</f>
        <v/>
      </c>
      <c r="S100" s="91">
        <f>IF(OR($Q100="",$R100=""),"",ROUND($Q100*$R100,0))</f>
        <v/>
      </c>
      <c r="T100" s="91">
        <f>IF(OR($Q100="",$S100=""),"",$Q100-$S100)</f>
        <v/>
      </c>
      <c r="U100" s="93">
        <f>IF($B100="","",IFERROR(INDEX(cal_JYear,MATCH($B100,cal_Key,0)),""))</f>
        <v/>
      </c>
      <c r="V100" s="93">
        <f>IF($B100="","",IFERROR(INDEX(cal_JMonth,MATCH($B100,cal_Key,0)),""))</f>
        <v/>
      </c>
      <c r="W100" s="94">
        <f>IF($B100="","",IFERROR(INDEX(cal_YM,MATCH($B100,cal_Key,0)),""))</f>
        <v/>
      </c>
      <c r="X100" s="94">
        <f>IF($B100="","",IFERROR(INDEX(cal_Season,MATCH($B100,cal_Key,0)),""))</f>
        <v/>
      </c>
      <c r="Y100" s="94">
        <f>IF($B100="","",IFERROR(INDEX(cal_Key,MATCH(INDEX(cal_Serial,MATCH($B100,cal_Key,0))+p_Due,cal_Serial,0)),""))</f>
        <v/>
      </c>
      <c r="Z100" s="95">
        <f>IF($B100="","",IF(OR($I100="پرداخت‌شده",$I100="ابطال"),"—",IFERROR(IF(INDEX(cal_Serial,MATCH($B100,cal_Key,0))+p_Due&lt;TODAY(),"بله","خیر"),"تاریخ نامعتبر")))</f>
        <v/>
      </c>
    </row>
    <row r="101" ht="20" customHeight="1">
      <c r="B101" s="86" t="n"/>
      <c r="C101" s="87" t="n"/>
      <c r="D101" s="87" t="n"/>
      <c r="E101" s="87" t="n"/>
      <c r="F101" s="88" t="n"/>
      <c r="G101" s="89" t="n"/>
      <c r="H101" s="90" t="n"/>
      <c r="I101" s="86" t="n"/>
      <c r="J101" s="87" t="n"/>
      <c r="K101" s="91">
        <f>IF($F101="","",$F101*IF($G101="",1,$G101))</f>
        <v/>
      </c>
      <c r="L101" s="92">
        <f>IFERROR(IF($D101="","",INDEX(t_Svc_Rate,MATCH($D101,lst_Service,0))),"")</f>
        <v/>
      </c>
      <c r="M101" s="92">
        <f>IF($L101="","",$L101*IF(p_TierMode="پلکانی",LOOKUP($K101,t_Tier_From,t_Tier_Rate),1))</f>
        <v/>
      </c>
      <c r="N101" s="91">
        <f>IF($K101="","",$K101*$M101)</f>
        <v/>
      </c>
      <c r="O101" s="91">
        <f>IF($N101="","",IF($I101="ابطال",0,MAX(p_Min,MIN(p_Max,$N101))))</f>
        <v/>
      </c>
      <c r="P101" s="91">
        <f>IF($O101="","",ROUND($O101*p_Tax,0))</f>
        <v/>
      </c>
      <c r="Q101" s="91">
        <f>IF($O101="","",$O101+$P101)</f>
        <v/>
      </c>
      <c r="R101" s="92">
        <f>IF($A101="","",IF($H101&lt;&gt;"",$H101,IFERROR(INDEX(t_Member_Share,MATCH($C101,t_Members,0)),p_DefaultShare)))</f>
        <v/>
      </c>
      <c r="S101" s="91">
        <f>IF(OR($Q101="",$R101=""),"",ROUND($Q101*$R101,0))</f>
        <v/>
      </c>
      <c r="T101" s="91">
        <f>IF(OR($Q101="",$S101=""),"",$Q101-$S101)</f>
        <v/>
      </c>
      <c r="U101" s="93">
        <f>IF($B101="","",IFERROR(INDEX(cal_JYear,MATCH($B101,cal_Key,0)),""))</f>
        <v/>
      </c>
      <c r="V101" s="93">
        <f>IF($B101="","",IFERROR(INDEX(cal_JMonth,MATCH($B101,cal_Key,0)),""))</f>
        <v/>
      </c>
      <c r="W101" s="94">
        <f>IF($B101="","",IFERROR(INDEX(cal_YM,MATCH($B101,cal_Key,0)),""))</f>
        <v/>
      </c>
      <c r="X101" s="94">
        <f>IF($B101="","",IFERROR(INDEX(cal_Season,MATCH($B101,cal_Key,0)),""))</f>
        <v/>
      </c>
      <c r="Y101" s="94">
        <f>IF($B101="","",IFERROR(INDEX(cal_Key,MATCH(INDEX(cal_Serial,MATCH($B101,cal_Key,0))+p_Due,cal_Serial,0)),""))</f>
        <v/>
      </c>
      <c r="Z101" s="95">
        <f>IF($B101="","",IF(OR($I101="پرداخت‌شده",$I101="ابطال"),"—",IFERROR(IF(INDEX(cal_Serial,MATCH($B101,cal_Key,0))+p_Due&lt;TODAY(),"بله","خیر"),"تاریخ نامعتبر")))</f>
        <v/>
      </c>
    </row>
    <row r="102" ht="20" customHeight="1">
      <c r="B102" s="86" t="n"/>
      <c r="C102" s="87" t="n"/>
      <c r="D102" s="87" t="n"/>
      <c r="E102" s="87" t="n"/>
      <c r="F102" s="88" t="n"/>
      <c r="G102" s="89" t="n"/>
      <c r="H102" s="90" t="n"/>
      <c r="I102" s="86" t="n"/>
      <c r="J102" s="87" t="n"/>
      <c r="K102" s="91">
        <f>IF($F102="","",$F102*IF($G102="",1,$G102))</f>
        <v/>
      </c>
      <c r="L102" s="92">
        <f>IFERROR(IF($D102="","",INDEX(t_Svc_Rate,MATCH($D102,lst_Service,0))),"")</f>
        <v/>
      </c>
      <c r="M102" s="92">
        <f>IF($L102="","",$L102*IF(p_TierMode="پلکانی",LOOKUP($K102,t_Tier_From,t_Tier_Rate),1))</f>
        <v/>
      </c>
      <c r="N102" s="91">
        <f>IF($K102="","",$K102*$M102)</f>
        <v/>
      </c>
      <c r="O102" s="91">
        <f>IF($N102="","",IF($I102="ابطال",0,MAX(p_Min,MIN(p_Max,$N102))))</f>
        <v/>
      </c>
      <c r="P102" s="91">
        <f>IF($O102="","",ROUND($O102*p_Tax,0))</f>
        <v/>
      </c>
      <c r="Q102" s="91">
        <f>IF($O102="","",$O102+$P102)</f>
        <v/>
      </c>
      <c r="R102" s="92">
        <f>IF($A102="","",IF($H102&lt;&gt;"",$H102,IFERROR(INDEX(t_Member_Share,MATCH($C102,t_Members,0)),p_DefaultShare)))</f>
        <v/>
      </c>
      <c r="S102" s="91">
        <f>IF(OR($Q102="",$R102=""),"",ROUND($Q102*$R102,0))</f>
        <v/>
      </c>
      <c r="T102" s="91">
        <f>IF(OR($Q102="",$S102=""),"",$Q102-$S102)</f>
        <v/>
      </c>
      <c r="U102" s="93">
        <f>IF($B102="","",IFERROR(INDEX(cal_JYear,MATCH($B102,cal_Key,0)),""))</f>
        <v/>
      </c>
      <c r="V102" s="93">
        <f>IF($B102="","",IFERROR(INDEX(cal_JMonth,MATCH($B102,cal_Key,0)),""))</f>
        <v/>
      </c>
      <c r="W102" s="94">
        <f>IF($B102="","",IFERROR(INDEX(cal_YM,MATCH($B102,cal_Key,0)),""))</f>
        <v/>
      </c>
      <c r="X102" s="94">
        <f>IF($B102="","",IFERROR(INDEX(cal_Season,MATCH($B102,cal_Key,0)),""))</f>
        <v/>
      </c>
      <c r="Y102" s="94">
        <f>IF($B102="","",IFERROR(INDEX(cal_Key,MATCH(INDEX(cal_Serial,MATCH($B102,cal_Key,0))+p_Due,cal_Serial,0)),""))</f>
        <v/>
      </c>
      <c r="Z102" s="95">
        <f>IF($B102="","",IF(OR($I102="پرداخت‌شده",$I102="ابطال"),"—",IFERROR(IF(INDEX(cal_Serial,MATCH($B102,cal_Key,0))+p_Due&lt;TODAY(),"بله","خیر"),"تاریخ نامعتبر")))</f>
        <v/>
      </c>
    </row>
    <row r="103" ht="20" customHeight="1">
      <c r="B103" s="86" t="n"/>
      <c r="C103" s="87" t="n"/>
      <c r="D103" s="87" t="n"/>
      <c r="E103" s="87" t="n"/>
      <c r="F103" s="88" t="n"/>
      <c r="G103" s="89" t="n"/>
      <c r="H103" s="90" t="n"/>
      <c r="I103" s="86" t="n"/>
      <c r="J103" s="87" t="n"/>
      <c r="K103" s="91">
        <f>IF($F103="","",$F103*IF($G103="",1,$G103))</f>
        <v/>
      </c>
      <c r="L103" s="92">
        <f>IFERROR(IF($D103="","",INDEX(t_Svc_Rate,MATCH($D103,lst_Service,0))),"")</f>
        <v/>
      </c>
      <c r="M103" s="92">
        <f>IF($L103="","",$L103*IF(p_TierMode="پلکانی",LOOKUP($K103,t_Tier_From,t_Tier_Rate),1))</f>
        <v/>
      </c>
      <c r="N103" s="91">
        <f>IF($K103="","",$K103*$M103)</f>
        <v/>
      </c>
      <c r="O103" s="91">
        <f>IF($N103="","",IF($I103="ابطال",0,MAX(p_Min,MIN(p_Max,$N103))))</f>
        <v/>
      </c>
      <c r="P103" s="91">
        <f>IF($O103="","",ROUND($O103*p_Tax,0))</f>
        <v/>
      </c>
      <c r="Q103" s="91">
        <f>IF($O103="","",$O103+$P103)</f>
        <v/>
      </c>
      <c r="R103" s="92">
        <f>IF($A103="","",IF($H103&lt;&gt;"",$H103,IFERROR(INDEX(t_Member_Share,MATCH($C103,t_Members,0)),p_DefaultShare)))</f>
        <v/>
      </c>
      <c r="S103" s="91">
        <f>IF(OR($Q103="",$R103=""),"",ROUND($Q103*$R103,0))</f>
        <v/>
      </c>
      <c r="T103" s="91">
        <f>IF(OR($Q103="",$S103=""),"",$Q103-$S103)</f>
        <v/>
      </c>
      <c r="U103" s="93">
        <f>IF($B103="","",IFERROR(INDEX(cal_JYear,MATCH($B103,cal_Key,0)),""))</f>
        <v/>
      </c>
      <c r="V103" s="93">
        <f>IF($B103="","",IFERROR(INDEX(cal_JMonth,MATCH($B103,cal_Key,0)),""))</f>
        <v/>
      </c>
      <c r="W103" s="94">
        <f>IF($B103="","",IFERROR(INDEX(cal_YM,MATCH($B103,cal_Key,0)),""))</f>
        <v/>
      </c>
      <c r="X103" s="94">
        <f>IF($B103="","",IFERROR(INDEX(cal_Season,MATCH($B103,cal_Key,0)),""))</f>
        <v/>
      </c>
      <c r="Y103" s="94">
        <f>IF($B103="","",IFERROR(INDEX(cal_Key,MATCH(INDEX(cal_Serial,MATCH($B103,cal_Key,0))+p_Due,cal_Serial,0)),""))</f>
        <v/>
      </c>
      <c r="Z103" s="95">
        <f>IF($B103="","",IF(OR($I103="پرداخت‌شده",$I103="ابطال"),"—",IFERROR(IF(INDEX(cal_Serial,MATCH($B103,cal_Key,0))+p_Due&lt;TODAY(),"بله","خیر"),"تاریخ نامعتبر")))</f>
        <v/>
      </c>
    </row>
    <row r="104" ht="20" customHeight="1">
      <c r="B104" s="86" t="n"/>
      <c r="C104" s="87" t="n"/>
      <c r="D104" s="87" t="n"/>
      <c r="E104" s="87" t="n"/>
      <c r="F104" s="88" t="n"/>
      <c r="G104" s="89" t="n"/>
      <c r="H104" s="90" t="n"/>
      <c r="I104" s="86" t="n"/>
      <c r="J104" s="87" t="n"/>
      <c r="K104" s="91">
        <f>IF($F104="","",$F104*IF($G104="",1,$G104))</f>
        <v/>
      </c>
      <c r="L104" s="92">
        <f>IFERROR(IF($D104="","",INDEX(t_Svc_Rate,MATCH($D104,lst_Service,0))),"")</f>
        <v/>
      </c>
      <c r="M104" s="92">
        <f>IF($L104="","",$L104*IF(p_TierMode="پلکانی",LOOKUP($K104,t_Tier_From,t_Tier_Rate),1))</f>
        <v/>
      </c>
      <c r="N104" s="91">
        <f>IF($K104="","",$K104*$M104)</f>
        <v/>
      </c>
      <c r="O104" s="91">
        <f>IF($N104="","",IF($I104="ابطال",0,MAX(p_Min,MIN(p_Max,$N104))))</f>
        <v/>
      </c>
      <c r="P104" s="91">
        <f>IF($O104="","",ROUND($O104*p_Tax,0))</f>
        <v/>
      </c>
      <c r="Q104" s="91">
        <f>IF($O104="","",$O104+$P104)</f>
        <v/>
      </c>
      <c r="R104" s="92">
        <f>IF($A104="","",IF($H104&lt;&gt;"",$H104,IFERROR(INDEX(t_Member_Share,MATCH($C104,t_Members,0)),p_DefaultShare)))</f>
        <v/>
      </c>
      <c r="S104" s="91">
        <f>IF(OR($Q104="",$R104=""),"",ROUND($Q104*$R104,0))</f>
        <v/>
      </c>
      <c r="T104" s="91">
        <f>IF(OR($Q104="",$S104=""),"",$Q104-$S104)</f>
        <v/>
      </c>
      <c r="U104" s="93">
        <f>IF($B104="","",IFERROR(INDEX(cal_JYear,MATCH($B104,cal_Key,0)),""))</f>
        <v/>
      </c>
      <c r="V104" s="93">
        <f>IF($B104="","",IFERROR(INDEX(cal_JMonth,MATCH($B104,cal_Key,0)),""))</f>
        <v/>
      </c>
      <c r="W104" s="94">
        <f>IF($B104="","",IFERROR(INDEX(cal_YM,MATCH($B104,cal_Key,0)),""))</f>
        <v/>
      </c>
      <c r="X104" s="94">
        <f>IF($B104="","",IFERROR(INDEX(cal_Season,MATCH($B104,cal_Key,0)),""))</f>
        <v/>
      </c>
      <c r="Y104" s="94">
        <f>IF($B104="","",IFERROR(INDEX(cal_Key,MATCH(INDEX(cal_Serial,MATCH($B104,cal_Key,0))+p_Due,cal_Serial,0)),""))</f>
        <v/>
      </c>
      <c r="Z104" s="95">
        <f>IF($B104="","",IF(OR($I104="پرداخت‌شده",$I104="ابطال"),"—",IFERROR(IF(INDEX(cal_Serial,MATCH($B104,cal_Key,0))+p_Due&lt;TODAY(),"بله","خیر"),"تاریخ نامعتبر")))</f>
        <v/>
      </c>
    </row>
    <row r="105" ht="20" customHeight="1">
      <c r="B105" s="86" t="n"/>
      <c r="C105" s="87" t="n"/>
      <c r="D105" s="87" t="n"/>
      <c r="E105" s="87" t="n"/>
      <c r="F105" s="88" t="n"/>
      <c r="G105" s="89" t="n"/>
      <c r="H105" s="90" t="n"/>
      <c r="I105" s="86" t="n"/>
      <c r="J105" s="87" t="n"/>
      <c r="K105" s="91">
        <f>IF($F105="","",$F105*IF($G105="",1,$G105))</f>
        <v/>
      </c>
      <c r="L105" s="92">
        <f>IFERROR(IF($D105="","",INDEX(t_Svc_Rate,MATCH($D105,lst_Service,0))),"")</f>
        <v/>
      </c>
      <c r="M105" s="92">
        <f>IF($L105="","",$L105*IF(p_TierMode="پلکانی",LOOKUP($K105,t_Tier_From,t_Tier_Rate),1))</f>
        <v/>
      </c>
      <c r="N105" s="91">
        <f>IF($K105="","",$K105*$M105)</f>
        <v/>
      </c>
      <c r="O105" s="91">
        <f>IF($N105="","",IF($I105="ابطال",0,MAX(p_Min,MIN(p_Max,$N105))))</f>
        <v/>
      </c>
      <c r="P105" s="91">
        <f>IF($O105="","",ROUND($O105*p_Tax,0))</f>
        <v/>
      </c>
      <c r="Q105" s="91">
        <f>IF($O105="","",$O105+$P105)</f>
        <v/>
      </c>
      <c r="R105" s="92">
        <f>IF($A105="","",IF($H105&lt;&gt;"",$H105,IFERROR(INDEX(t_Member_Share,MATCH($C105,t_Members,0)),p_DefaultShare)))</f>
        <v/>
      </c>
      <c r="S105" s="91">
        <f>IF(OR($Q105="",$R105=""),"",ROUND($Q105*$R105,0))</f>
        <v/>
      </c>
      <c r="T105" s="91">
        <f>IF(OR($Q105="",$S105=""),"",$Q105-$S105)</f>
        <v/>
      </c>
      <c r="U105" s="93">
        <f>IF($B105="","",IFERROR(INDEX(cal_JYear,MATCH($B105,cal_Key,0)),""))</f>
        <v/>
      </c>
      <c r="V105" s="93">
        <f>IF($B105="","",IFERROR(INDEX(cal_JMonth,MATCH($B105,cal_Key,0)),""))</f>
        <v/>
      </c>
      <c r="W105" s="94">
        <f>IF($B105="","",IFERROR(INDEX(cal_YM,MATCH($B105,cal_Key,0)),""))</f>
        <v/>
      </c>
      <c r="X105" s="94">
        <f>IF($B105="","",IFERROR(INDEX(cal_Season,MATCH($B105,cal_Key,0)),""))</f>
        <v/>
      </c>
      <c r="Y105" s="94">
        <f>IF($B105="","",IFERROR(INDEX(cal_Key,MATCH(INDEX(cal_Serial,MATCH($B105,cal_Key,0))+p_Due,cal_Serial,0)),""))</f>
        <v/>
      </c>
      <c r="Z105" s="95">
        <f>IF($B105="","",IF(OR($I105="پرداخت‌شده",$I105="ابطال"),"—",IFERROR(IF(INDEX(cal_Serial,MATCH($B105,cal_Key,0))+p_Due&lt;TODAY(),"بله","خیر"),"تاریخ نامعتبر")))</f>
        <v/>
      </c>
    </row>
    <row r="106" ht="20" customHeight="1">
      <c r="B106" s="86" t="n"/>
      <c r="C106" s="87" t="n"/>
      <c r="D106" s="87" t="n"/>
      <c r="E106" s="87" t="n"/>
      <c r="F106" s="88" t="n"/>
      <c r="G106" s="89" t="n"/>
      <c r="H106" s="90" t="n"/>
      <c r="I106" s="86" t="n"/>
      <c r="J106" s="87" t="n"/>
      <c r="K106" s="91">
        <f>IF($F106="","",$F106*IF($G106="",1,$G106))</f>
        <v/>
      </c>
      <c r="L106" s="92">
        <f>IFERROR(IF($D106="","",INDEX(t_Svc_Rate,MATCH($D106,lst_Service,0))),"")</f>
        <v/>
      </c>
      <c r="M106" s="92">
        <f>IF($L106="","",$L106*IF(p_TierMode="پلکانی",LOOKUP($K106,t_Tier_From,t_Tier_Rate),1))</f>
        <v/>
      </c>
      <c r="N106" s="91">
        <f>IF($K106="","",$K106*$M106)</f>
        <v/>
      </c>
      <c r="O106" s="91">
        <f>IF($N106="","",IF($I106="ابطال",0,MAX(p_Min,MIN(p_Max,$N106))))</f>
        <v/>
      </c>
      <c r="P106" s="91">
        <f>IF($O106="","",ROUND($O106*p_Tax,0))</f>
        <v/>
      </c>
      <c r="Q106" s="91">
        <f>IF($O106="","",$O106+$P106)</f>
        <v/>
      </c>
      <c r="R106" s="92">
        <f>IF($A106="","",IF($H106&lt;&gt;"",$H106,IFERROR(INDEX(t_Member_Share,MATCH($C106,t_Members,0)),p_DefaultShare)))</f>
        <v/>
      </c>
      <c r="S106" s="91">
        <f>IF(OR($Q106="",$R106=""),"",ROUND($Q106*$R106,0))</f>
        <v/>
      </c>
      <c r="T106" s="91">
        <f>IF(OR($Q106="",$S106=""),"",$Q106-$S106)</f>
        <v/>
      </c>
      <c r="U106" s="93">
        <f>IF($B106="","",IFERROR(INDEX(cal_JYear,MATCH($B106,cal_Key,0)),""))</f>
        <v/>
      </c>
      <c r="V106" s="93">
        <f>IF($B106="","",IFERROR(INDEX(cal_JMonth,MATCH($B106,cal_Key,0)),""))</f>
        <v/>
      </c>
      <c r="W106" s="94">
        <f>IF($B106="","",IFERROR(INDEX(cal_YM,MATCH($B106,cal_Key,0)),""))</f>
        <v/>
      </c>
      <c r="X106" s="94">
        <f>IF($B106="","",IFERROR(INDEX(cal_Season,MATCH($B106,cal_Key,0)),""))</f>
        <v/>
      </c>
      <c r="Y106" s="94">
        <f>IF($B106="","",IFERROR(INDEX(cal_Key,MATCH(INDEX(cal_Serial,MATCH($B106,cal_Key,0))+p_Due,cal_Serial,0)),""))</f>
        <v/>
      </c>
      <c r="Z106" s="95">
        <f>IF($B106="","",IF(OR($I106="پرداخت‌شده",$I106="ابطال"),"—",IFERROR(IF(INDEX(cal_Serial,MATCH($B106,cal_Key,0))+p_Due&lt;TODAY(),"بله","خیر"),"تاریخ نامعتبر")))</f>
        <v/>
      </c>
    </row>
    <row r="107" ht="20" customHeight="1">
      <c r="B107" s="86" t="n"/>
      <c r="C107" s="87" t="n"/>
      <c r="D107" s="87" t="n"/>
      <c r="E107" s="87" t="n"/>
      <c r="F107" s="88" t="n"/>
      <c r="G107" s="89" t="n"/>
      <c r="H107" s="90" t="n"/>
      <c r="I107" s="86" t="n"/>
      <c r="J107" s="87" t="n"/>
      <c r="K107" s="91">
        <f>IF($F107="","",$F107*IF($G107="",1,$G107))</f>
        <v/>
      </c>
      <c r="L107" s="92">
        <f>IFERROR(IF($D107="","",INDEX(t_Svc_Rate,MATCH($D107,lst_Service,0))),"")</f>
        <v/>
      </c>
      <c r="M107" s="92">
        <f>IF($L107="","",$L107*IF(p_TierMode="پلکانی",LOOKUP($K107,t_Tier_From,t_Tier_Rate),1))</f>
        <v/>
      </c>
      <c r="N107" s="91">
        <f>IF($K107="","",$K107*$M107)</f>
        <v/>
      </c>
      <c r="O107" s="91">
        <f>IF($N107="","",IF($I107="ابطال",0,MAX(p_Min,MIN(p_Max,$N107))))</f>
        <v/>
      </c>
      <c r="P107" s="91">
        <f>IF($O107="","",ROUND($O107*p_Tax,0))</f>
        <v/>
      </c>
      <c r="Q107" s="91">
        <f>IF($O107="","",$O107+$P107)</f>
        <v/>
      </c>
      <c r="R107" s="92">
        <f>IF($A107="","",IF($H107&lt;&gt;"",$H107,IFERROR(INDEX(t_Member_Share,MATCH($C107,t_Members,0)),p_DefaultShare)))</f>
        <v/>
      </c>
      <c r="S107" s="91">
        <f>IF(OR($Q107="",$R107=""),"",ROUND($Q107*$R107,0))</f>
        <v/>
      </c>
      <c r="T107" s="91">
        <f>IF(OR($Q107="",$S107=""),"",$Q107-$S107)</f>
        <v/>
      </c>
      <c r="U107" s="93">
        <f>IF($B107="","",IFERROR(INDEX(cal_JYear,MATCH($B107,cal_Key,0)),""))</f>
        <v/>
      </c>
      <c r="V107" s="93">
        <f>IF($B107="","",IFERROR(INDEX(cal_JMonth,MATCH($B107,cal_Key,0)),""))</f>
        <v/>
      </c>
      <c r="W107" s="94">
        <f>IF($B107="","",IFERROR(INDEX(cal_YM,MATCH($B107,cal_Key,0)),""))</f>
        <v/>
      </c>
      <c r="X107" s="94">
        <f>IF($B107="","",IFERROR(INDEX(cal_Season,MATCH($B107,cal_Key,0)),""))</f>
        <v/>
      </c>
      <c r="Y107" s="94">
        <f>IF($B107="","",IFERROR(INDEX(cal_Key,MATCH(INDEX(cal_Serial,MATCH($B107,cal_Key,0))+p_Due,cal_Serial,0)),""))</f>
        <v/>
      </c>
      <c r="Z107" s="95">
        <f>IF($B107="","",IF(OR($I107="پرداخت‌شده",$I107="ابطال"),"—",IFERROR(IF(INDEX(cal_Serial,MATCH($B107,cal_Key,0))+p_Due&lt;TODAY(),"بله","خیر"),"تاریخ نامعتبر")))</f>
        <v/>
      </c>
    </row>
    <row r="108" ht="20" customHeight="1">
      <c r="B108" s="86" t="n"/>
      <c r="C108" s="87" t="n"/>
      <c r="D108" s="87" t="n"/>
      <c r="E108" s="87" t="n"/>
      <c r="F108" s="88" t="n"/>
      <c r="G108" s="89" t="n"/>
      <c r="H108" s="90" t="n"/>
      <c r="I108" s="86" t="n"/>
      <c r="J108" s="87" t="n"/>
      <c r="K108" s="91">
        <f>IF($F108="","",$F108*IF($G108="",1,$G108))</f>
        <v/>
      </c>
      <c r="L108" s="92">
        <f>IFERROR(IF($D108="","",INDEX(t_Svc_Rate,MATCH($D108,lst_Service,0))),"")</f>
        <v/>
      </c>
      <c r="M108" s="92">
        <f>IF($L108="","",$L108*IF(p_TierMode="پلکانی",LOOKUP($K108,t_Tier_From,t_Tier_Rate),1))</f>
        <v/>
      </c>
      <c r="N108" s="91">
        <f>IF($K108="","",$K108*$M108)</f>
        <v/>
      </c>
      <c r="O108" s="91">
        <f>IF($N108="","",IF($I108="ابطال",0,MAX(p_Min,MIN(p_Max,$N108))))</f>
        <v/>
      </c>
      <c r="P108" s="91">
        <f>IF($O108="","",ROUND($O108*p_Tax,0))</f>
        <v/>
      </c>
      <c r="Q108" s="91">
        <f>IF($O108="","",$O108+$P108)</f>
        <v/>
      </c>
      <c r="R108" s="92">
        <f>IF($A108="","",IF($H108&lt;&gt;"",$H108,IFERROR(INDEX(t_Member_Share,MATCH($C108,t_Members,0)),p_DefaultShare)))</f>
        <v/>
      </c>
      <c r="S108" s="91">
        <f>IF(OR($Q108="",$R108=""),"",ROUND($Q108*$R108,0))</f>
        <v/>
      </c>
      <c r="T108" s="91">
        <f>IF(OR($Q108="",$S108=""),"",$Q108-$S108)</f>
        <v/>
      </c>
      <c r="U108" s="93">
        <f>IF($B108="","",IFERROR(INDEX(cal_JYear,MATCH($B108,cal_Key,0)),""))</f>
        <v/>
      </c>
      <c r="V108" s="93">
        <f>IF($B108="","",IFERROR(INDEX(cal_JMonth,MATCH($B108,cal_Key,0)),""))</f>
        <v/>
      </c>
      <c r="W108" s="94">
        <f>IF($B108="","",IFERROR(INDEX(cal_YM,MATCH($B108,cal_Key,0)),""))</f>
        <v/>
      </c>
      <c r="X108" s="94">
        <f>IF($B108="","",IFERROR(INDEX(cal_Season,MATCH($B108,cal_Key,0)),""))</f>
        <v/>
      </c>
      <c r="Y108" s="94">
        <f>IF($B108="","",IFERROR(INDEX(cal_Key,MATCH(INDEX(cal_Serial,MATCH($B108,cal_Key,0))+p_Due,cal_Serial,0)),""))</f>
        <v/>
      </c>
      <c r="Z108" s="95">
        <f>IF($B108="","",IF(OR($I108="پرداخت‌شده",$I108="ابطال"),"—",IFERROR(IF(INDEX(cal_Serial,MATCH($B108,cal_Key,0))+p_Due&lt;TODAY(),"بله","خیر"),"تاریخ نامعتبر")))</f>
        <v/>
      </c>
    </row>
    <row r="109" ht="20" customHeight="1">
      <c r="B109" s="86" t="n"/>
      <c r="C109" s="87" t="n"/>
      <c r="D109" s="87" t="n"/>
      <c r="E109" s="87" t="n"/>
      <c r="F109" s="88" t="n"/>
      <c r="G109" s="89" t="n"/>
      <c r="H109" s="90" t="n"/>
      <c r="I109" s="86" t="n"/>
      <c r="J109" s="87" t="n"/>
      <c r="K109" s="91">
        <f>IF($F109="","",$F109*IF($G109="",1,$G109))</f>
        <v/>
      </c>
      <c r="L109" s="92">
        <f>IFERROR(IF($D109="","",INDEX(t_Svc_Rate,MATCH($D109,lst_Service,0))),"")</f>
        <v/>
      </c>
      <c r="M109" s="92">
        <f>IF($L109="","",$L109*IF(p_TierMode="پلکانی",LOOKUP($K109,t_Tier_From,t_Tier_Rate),1))</f>
        <v/>
      </c>
      <c r="N109" s="91">
        <f>IF($K109="","",$K109*$M109)</f>
        <v/>
      </c>
      <c r="O109" s="91">
        <f>IF($N109="","",IF($I109="ابطال",0,MAX(p_Min,MIN(p_Max,$N109))))</f>
        <v/>
      </c>
      <c r="P109" s="91">
        <f>IF($O109="","",ROUND($O109*p_Tax,0))</f>
        <v/>
      </c>
      <c r="Q109" s="91">
        <f>IF($O109="","",$O109+$P109)</f>
        <v/>
      </c>
      <c r="R109" s="92">
        <f>IF($A109="","",IF($H109&lt;&gt;"",$H109,IFERROR(INDEX(t_Member_Share,MATCH($C109,t_Members,0)),p_DefaultShare)))</f>
        <v/>
      </c>
      <c r="S109" s="91">
        <f>IF(OR($Q109="",$R109=""),"",ROUND($Q109*$R109,0))</f>
        <v/>
      </c>
      <c r="T109" s="91">
        <f>IF(OR($Q109="",$S109=""),"",$Q109-$S109)</f>
        <v/>
      </c>
      <c r="U109" s="93">
        <f>IF($B109="","",IFERROR(INDEX(cal_JYear,MATCH($B109,cal_Key,0)),""))</f>
        <v/>
      </c>
      <c r="V109" s="93">
        <f>IF($B109="","",IFERROR(INDEX(cal_JMonth,MATCH($B109,cal_Key,0)),""))</f>
        <v/>
      </c>
      <c r="W109" s="94">
        <f>IF($B109="","",IFERROR(INDEX(cal_YM,MATCH($B109,cal_Key,0)),""))</f>
        <v/>
      </c>
      <c r="X109" s="94">
        <f>IF($B109="","",IFERROR(INDEX(cal_Season,MATCH($B109,cal_Key,0)),""))</f>
        <v/>
      </c>
      <c r="Y109" s="94">
        <f>IF($B109="","",IFERROR(INDEX(cal_Key,MATCH(INDEX(cal_Serial,MATCH($B109,cal_Key,0))+p_Due,cal_Serial,0)),""))</f>
        <v/>
      </c>
      <c r="Z109" s="95">
        <f>IF($B109="","",IF(OR($I109="پرداخت‌شده",$I109="ابطال"),"—",IFERROR(IF(INDEX(cal_Serial,MATCH($B109,cal_Key,0))+p_Due&lt;TODAY(),"بله","خیر"),"تاریخ نامعتبر")))</f>
        <v/>
      </c>
    </row>
    <row r="110" ht="20" customHeight="1">
      <c r="B110" s="86" t="n"/>
      <c r="C110" s="87" t="n"/>
      <c r="D110" s="87" t="n"/>
      <c r="E110" s="87" t="n"/>
      <c r="F110" s="88" t="n"/>
      <c r="G110" s="89" t="n"/>
      <c r="H110" s="90" t="n"/>
      <c r="I110" s="86" t="n"/>
      <c r="J110" s="87" t="n"/>
      <c r="K110" s="91">
        <f>IF($F110="","",$F110*IF($G110="",1,$G110))</f>
        <v/>
      </c>
      <c r="L110" s="92">
        <f>IFERROR(IF($D110="","",INDEX(t_Svc_Rate,MATCH($D110,lst_Service,0))),"")</f>
        <v/>
      </c>
      <c r="M110" s="92">
        <f>IF($L110="","",$L110*IF(p_TierMode="پلکانی",LOOKUP($K110,t_Tier_From,t_Tier_Rate),1))</f>
        <v/>
      </c>
      <c r="N110" s="91">
        <f>IF($K110="","",$K110*$M110)</f>
        <v/>
      </c>
      <c r="O110" s="91">
        <f>IF($N110="","",IF($I110="ابطال",0,MAX(p_Min,MIN(p_Max,$N110))))</f>
        <v/>
      </c>
      <c r="P110" s="91">
        <f>IF($O110="","",ROUND($O110*p_Tax,0))</f>
        <v/>
      </c>
      <c r="Q110" s="91">
        <f>IF($O110="","",$O110+$P110)</f>
        <v/>
      </c>
      <c r="R110" s="92">
        <f>IF($A110="","",IF($H110&lt;&gt;"",$H110,IFERROR(INDEX(t_Member_Share,MATCH($C110,t_Members,0)),p_DefaultShare)))</f>
        <v/>
      </c>
      <c r="S110" s="91">
        <f>IF(OR($Q110="",$R110=""),"",ROUND($Q110*$R110,0))</f>
        <v/>
      </c>
      <c r="T110" s="91">
        <f>IF(OR($Q110="",$S110=""),"",$Q110-$S110)</f>
        <v/>
      </c>
      <c r="U110" s="93">
        <f>IF($B110="","",IFERROR(INDEX(cal_JYear,MATCH($B110,cal_Key,0)),""))</f>
        <v/>
      </c>
      <c r="V110" s="93">
        <f>IF($B110="","",IFERROR(INDEX(cal_JMonth,MATCH($B110,cal_Key,0)),""))</f>
        <v/>
      </c>
      <c r="W110" s="94">
        <f>IF($B110="","",IFERROR(INDEX(cal_YM,MATCH($B110,cal_Key,0)),""))</f>
        <v/>
      </c>
      <c r="X110" s="94">
        <f>IF($B110="","",IFERROR(INDEX(cal_Season,MATCH($B110,cal_Key,0)),""))</f>
        <v/>
      </c>
      <c r="Y110" s="94">
        <f>IF($B110="","",IFERROR(INDEX(cal_Key,MATCH(INDEX(cal_Serial,MATCH($B110,cal_Key,0))+p_Due,cal_Serial,0)),""))</f>
        <v/>
      </c>
      <c r="Z110" s="95">
        <f>IF($B110="","",IF(OR($I110="پرداخت‌شده",$I110="ابطال"),"—",IFERROR(IF(INDEX(cal_Serial,MATCH($B110,cal_Key,0))+p_Due&lt;TODAY(),"بله","خیر"),"تاریخ نامعتبر")))</f>
        <v/>
      </c>
    </row>
    <row r="111" ht="20" customHeight="1">
      <c r="B111" s="86" t="n"/>
      <c r="C111" s="87" t="n"/>
      <c r="D111" s="87" t="n"/>
      <c r="E111" s="87" t="n"/>
      <c r="F111" s="88" t="n"/>
      <c r="G111" s="89" t="n"/>
      <c r="H111" s="90" t="n"/>
      <c r="I111" s="86" t="n"/>
      <c r="J111" s="87" t="n"/>
      <c r="K111" s="91">
        <f>IF($F111="","",$F111*IF($G111="",1,$G111))</f>
        <v/>
      </c>
      <c r="L111" s="92">
        <f>IFERROR(IF($D111="","",INDEX(t_Svc_Rate,MATCH($D111,lst_Service,0))),"")</f>
        <v/>
      </c>
      <c r="M111" s="92">
        <f>IF($L111="","",$L111*IF(p_TierMode="پلکانی",LOOKUP($K111,t_Tier_From,t_Tier_Rate),1))</f>
        <v/>
      </c>
      <c r="N111" s="91">
        <f>IF($K111="","",$K111*$M111)</f>
        <v/>
      </c>
      <c r="O111" s="91">
        <f>IF($N111="","",IF($I111="ابطال",0,MAX(p_Min,MIN(p_Max,$N111))))</f>
        <v/>
      </c>
      <c r="P111" s="91">
        <f>IF($O111="","",ROUND($O111*p_Tax,0))</f>
        <v/>
      </c>
      <c r="Q111" s="91">
        <f>IF($O111="","",$O111+$P111)</f>
        <v/>
      </c>
      <c r="R111" s="92">
        <f>IF($A111="","",IF($H111&lt;&gt;"",$H111,IFERROR(INDEX(t_Member_Share,MATCH($C111,t_Members,0)),p_DefaultShare)))</f>
        <v/>
      </c>
      <c r="S111" s="91">
        <f>IF(OR($Q111="",$R111=""),"",ROUND($Q111*$R111,0))</f>
        <v/>
      </c>
      <c r="T111" s="91">
        <f>IF(OR($Q111="",$S111=""),"",$Q111-$S111)</f>
        <v/>
      </c>
      <c r="U111" s="93">
        <f>IF($B111="","",IFERROR(INDEX(cal_JYear,MATCH($B111,cal_Key,0)),""))</f>
        <v/>
      </c>
      <c r="V111" s="93">
        <f>IF($B111="","",IFERROR(INDEX(cal_JMonth,MATCH($B111,cal_Key,0)),""))</f>
        <v/>
      </c>
      <c r="W111" s="94">
        <f>IF($B111="","",IFERROR(INDEX(cal_YM,MATCH($B111,cal_Key,0)),""))</f>
        <v/>
      </c>
      <c r="X111" s="94">
        <f>IF($B111="","",IFERROR(INDEX(cal_Season,MATCH($B111,cal_Key,0)),""))</f>
        <v/>
      </c>
      <c r="Y111" s="94">
        <f>IF($B111="","",IFERROR(INDEX(cal_Key,MATCH(INDEX(cal_Serial,MATCH($B111,cal_Key,0))+p_Due,cal_Serial,0)),""))</f>
        <v/>
      </c>
      <c r="Z111" s="95">
        <f>IF($B111="","",IF(OR($I111="پرداخت‌شده",$I111="ابطال"),"—",IFERROR(IF(INDEX(cal_Serial,MATCH($B111,cal_Key,0))+p_Due&lt;TODAY(),"بله","خیر"),"تاریخ نامعتبر")))</f>
        <v/>
      </c>
    </row>
    <row r="112" ht="20" customHeight="1">
      <c r="B112" s="86" t="n"/>
      <c r="C112" s="87" t="n"/>
      <c r="D112" s="87" t="n"/>
      <c r="E112" s="87" t="n"/>
      <c r="F112" s="88" t="n"/>
      <c r="G112" s="89" t="n"/>
      <c r="H112" s="90" t="n"/>
      <c r="I112" s="86" t="n"/>
      <c r="J112" s="87" t="n"/>
      <c r="K112" s="91">
        <f>IF($F112="","",$F112*IF($G112="",1,$G112))</f>
        <v/>
      </c>
      <c r="L112" s="92">
        <f>IFERROR(IF($D112="","",INDEX(t_Svc_Rate,MATCH($D112,lst_Service,0))),"")</f>
        <v/>
      </c>
      <c r="M112" s="92">
        <f>IF($L112="","",$L112*IF(p_TierMode="پلکانی",LOOKUP($K112,t_Tier_From,t_Tier_Rate),1))</f>
        <v/>
      </c>
      <c r="N112" s="91">
        <f>IF($K112="","",$K112*$M112)</f>
        <v/>
      </c>
      <c r="O112" s="91">
        <f>IF($N112="","",IF($I112="ابطال",0,MAX(p_Min,MIN(p_Max,$N112))))</f>
        <v/>
      </c>
      <c r="P112" s="91">
        <f>IF($O112="","",ROUND($O112*p_Tax,0))</f>
        <v/>
      </c>
      <c r="Q112" s="91">
        <f>IF($O112="","",$O112+$P112)</f>
        <v/>
      </c>
      <c r="R112" s="92">
        <f>IF($A112="","",IF($H112&lt;&gt;"",$H112,IFERROR(INDEX(t_Member_Share,MATCH($C112,t_Members,0)),p_DefaultShare)))</f>
        <v/>
      </c>
      <c r="S112" s="91">
        <f>IF(OR($Q112="",$R112=""),"",ROUND($Q112*$R112,0))</f>
        <v/>
      </c>
      <c r="T112" s="91">
        <f>IF(OR($Q112="",$S112=""),"",$Q112-$S112)</f>
        <v/>
      </c>
      <c r="U112" s="93">
        <f>IF($B112="","",IFERROR(INDEX(cal_JYear,MATCH($B112,cal_Key,0)),""))</f>
        <v/>
      </c>
      <c r="V112" s="93">
        <f>IF($B112="","",IFERROR(INDEX(cal_JMonth,MATCH($B112,cal_Key,0)),""))</f>
        <v/>
      </c>
      <c r="W112" s="94">
        <f>IF($B112="","",IFERROR(INDEX(cal_YM,MATCH($B112,cal_Key,0)),""))</f>
        <v/>
      </c>
      <c r="X112" s="94">
        <f>IF($B112="","",IFERROR(INDEX(cal_Season,MATCH($B112,cal_Key,0)),""))</f>
        <v/>
      </c>
      <c r="Y112" s="94">
        <f>IF($B112="","",IFERROR(INDEX(cal_Key,MATCH(INDEX(cal_Serial,MATCH($B112,cal_Key,0))+p_Due,cal_Serial,0)),""))</f>
        <v/>
      </c>
      <c r="Z112" s="95">
        <f>IF($B112="","",IF(OR($I112="پرداخت‌شده",$I112="ابطال"),"—",IFERROR(IF(INDEX(cal_Serial,MATCH($B112,cal_Key,0))+p_Due&lt;TODAY(),"بله","خیر"),"تاریخ نامعتبر")))</f>
        <v/>
      </c>
    </row>
    <row r="113" ht="20" customHeight="1">
      <c r="B113" s="86" t="n"/>
      <c r="C113" s="87" t="n"/>
      <c r="D113" s="87" t="n"/>
      <c r="E113" s="87" t="n"/>
      <c r="F113" s="88" t="n"/>
      <c r="G113" s="89" t="n"/>
      <c r="H113" s="90" t="n"/>
      <c r="I113" s="86" t="n"/>
      <c r="J113" s="87" t="n"/>
      <c r="K113" s="91">
        <f>IF($F113="","",$F113*IF($G113="",1,$G113))</f>
        <v/>
      </c>
      <c r="L113" s="92">
        <f>IFERROR(IF($D113="","",INDEX(t_Svc_Rate,MATCH($D113,lst_Service,0))),"")</f>
        <v/>
      </c>
      <c r="M113" s="92">
        <f>IF($L113="","",$L113*IF(p_TierMode="پلکانی",LOOKUP($K113,t_Tier_From,t_Tier_Rate),1))</f>
        <v/>
      </c>
      <c r="N113" s="91">
        <f>IF($K113="","",$K113*$M113)</f>
        <v/>
      </c>
      <c r="O113" s="91">
        <f>IF($N113="","",IF($I113="ابطال",0,MAX(p_Min,MIN(p_Max,$N113))))</f>
        <v/>
      </c>
      <c r="P113" s="91">
        <f>IF($O113="","",ROUND($O113*p_Tax,0))</f>
        <v/>
      </c>
      <c r="Q113" s="91">
        <f>IF($O113="","",$O113+$P113)</f>
        <v/>
      </c>
      <c r="R113" s="92">
        <f>IF($A113="","",IF($H113&lt;&gt;"",$H113,IFERROR(INDEX(t_Member_Share,MATCH($C113,t_Members,0)),p_DefaultShare)))</f>
        <v/>
      </c>
      <c r="S113" s="91">
        <f>IF(OR($Q113="",$R113=""),"",ROUND($Q113*$R113,0))</f>
        <v/>
      </c>
      <c r="T113" s="91">
        <f>IF(OR($Q113="",$S113=""),"",$Q113-$S113)</f>
        <v/>
      </c>
      <c r="U113" s="93">
        <f>IF($B113="","",IFERROR(INDEX(cal_JYear,MATCH($B113,cal_Key,0)),""))</f>
        <v/>
      </c>
      <c r="V113" s="93">
        <f>IF($B113="","",IFERROR(INDEX(cal_JMonth,MATCH($B113,cal_Key,0)),""))</f>
        <v/>
      </c>
      <c r="W113" s="94">
        <f>IF($B113="","",IFERROR(INDEX(cal_YM,MATCH($B113,cal_Key,0)),""))</f>
        <v/>
      </c>
      <c r="X113" s="94">
        <f>IF($B113="","",IFERROR(INDEX(cal_Season,MATCH($B113,cal_Key,0)),""))</f>
        <v/>
      </c>
      <c r="Y113" s="94">
        <f>IF($B113="","",IFERROR(INDEX(cal_Key,MATCH(INDEX(cal_Serial,MATCH($B113,cal_Key,0))+p_Due,cal_Serial,0)),""))</f>
        <v/>
      </c>
      <c r="Z113" s="95">
        <f>IF($B113="","",IF(OR($I113="پرداخت‌شده",$I113="ابطال"),"—",IFERROR(IF(INDEX(cal_Serial,MATCH($B113,cal_Key,0))+p_Due&lt;TODAY(),"بله","خیر"),"تاریخ نامعتبر")))</f>
        <v/>
      </c>
    </row>
    <row r="114" ht="20" customHeight="1">
      <c r="B114" s="86" t="n"/>
      <c r="C114" s="87" t="n"/>
      <c r="D114" s="87" t="n"/>
      <c r="E114" s="87" t="n"/>
      <c r="F114" s="88" t="n"/>
      <c r="G114" s="89" t="n"/>
      <c r="H114" s="90" t="n"/>
      <c r="I114" s="86" t="n"/>
      <c r="J114" s="87" t="n"/>
      <c r="K114" s="91">
        <f>IF($F114="","",$F114*IF($G114="",1,$G114))</f>
        <v/>
      </c>
      <c r="L114" s="92">
        <f>IFERROR(IF($D114="","",INDEX(t_Svc_Rate,MATCH($D114,lst_Service,0))),"")</f>
        <v/>
      </c>
      <c r="M114" s="92">
        <f>IF($L114="","",$L114*IF(p_TierMode="پلکانی",LOOKUP($K114,t_Tier_From,t_Tier_Rate),1))</f>
        <v/>
      </c>
      <c r="N114" s="91">
        <f>IF($K114="","",$K114*$M114)</f>
        <v/>
      </c>
      <c r="O114" s="91">
        <f>IF($N114="","",IF($I114="ابطال",0,MAX(p_Min,MIN(p_Max,$N114))))</f>
        <v/>
      </c>
      <c r="P114" s="91">
        <f>IF($O114="","",ROUND($O114*p_Tax,0))</f>
        <v/>
      </c>
      <c r="Q114" s="91">
        <f>IF($O114="","",$O114+$P114)</f>
        <v/>
      </c>
      <c r="R114" s="92">
        <f>IF($A114="","",IF($H114&lt;&gt;"",$H114,IFERROR(INDEX(t_Member_Share,MATCH($C114,t_Members,0)),p_DefaultShare)))</f>
        <v/>
      </c>
      <c r="S114" s="91">
        <f>IF(OR($Q114="",$R114=""),"",ROUND($Q114*$R114,0))</f>
        <v/>
      </c>
      <c r="T114" s="91">
        <f>IF(OR($Q114="",$S114=""),"",$Q114-$S114)</f>
        <v/>
      </c>
      <c r="U114" s="93">
        <f>IF($B114="","",IFERROR(INDEX(cal_JYear,MATCH($B114,cal_Key,0)),""))</f>
        <v/>
      </c>
      <c r="V114" s="93">
        <f>IF($B114="","",IFERROR(INDEX(cal_JMonth,MATCH($B114,cal_Key,0)),""))</f>
        <v/>
      </c>
      <c r="W114" s="94">
        <f>IF($B114="","",IFERROR(INDEX(cal_YM,MATCH($B114,cal_Key,0)),""))</f>
        <v/>
      </c>
      <c r="X114" s="94">
        <f>IF($B114="","",IFERROR(INDEX(cal_Season,MATCH($B114,cal_Key,0)),""))</f>
        <v/>
      </c>
      <c r="Y114" s="94">
        <f>IF($B114="","",IFERROR(INDEX(cal_Key,MATCH(INDEX(cal_Serial,MATCH($B114,cal_Key,0))+p_Due,cal_Serial,0)),""))</f>
        <v/>
      </c>
      <c r="Z114" s="95">
        <f>IF($B114="","",IF(OR($I114="پرداخت‌شده",$I114="ابطال"),"—",IFERROR(IF(INDEX(cal_Serial,MATCH($B114,cal_Key,0))+p_Due&lt;TODAY(),"بله","خیر"),"تاریخ نامعتبر")))</f>
        <v/>
      </c>
    </row>
    <row r="115" ht="20" customHeight="1">
      <c r="B115" s="86" t="n"/>
      <c r="C115" s="87" t="n"/>
      <c r="D115" s="87" t="n"/>
      <c r="E115" s="87" t="n"/>
      <c r="F115" s="88" t="n"/>
      <c r="G115" s="89" t="n"/>
      <c r="H115" s="90" t="n"/>
      <c r="I115" s="86" t="n"/>
      <c r="J115" s="87" t="n"/>
      <c r="K115" s="91">
        <f>IF($F115="","",$F115*IF($G115="",1,$G115))</f>
        <v/>
      </c>
      <c r="L115" s="92">
        <f>IFERROR(IF($D115="","",INDEX(t_Svc_Rate,MATCH($D115,lst_Service,0))),"")</f>
        <v/>
      </c>
      <c r="M115" s="92">
        <f>IF($L115="","",$L115*IF(p_TierMode="پلکانی",LOOKUP($K115,t_Tier_From,t_Tier_Rate),1))</f>
        <v/>
      </c>
      <c r="N115" s="91">
        <f>IF($K115="","",$K115*$M115)</f>
        <v/>
      </c>
      <c r="O115" s="91">
        <f>IF($N115="","",IF($I115="ابطال",0,MAX(p_Min,MIN(p_Max,$N115))))</f>
        <v/>
      </c>
      <c r="P115" s="91">
        <f>IF($O115="","",ROUND($O115*p_Tax,0))</f>
        <v/>
      </c>
      <c r="Q115" s="91">
        <f>IF($O115="","",$O115+$P115)</f>
        <v/>
      </c>
      <c r="R115" s="92">
        <f>IF($A115="","",IF($H115&lt;&gt;"",$H115,IFERROR(INDEX(t_Member_Share,MATCH($C115,t_Members,0)),p_DefaultShare)))</f>
        <v/>
      </c>
      <c r="S115" s="91">
        <f>IF(OR($Q115="",$R115=""),"",ROUND($Q115*$R115,0))</f>
        <v/>
      </c>
      <c r="T115" s="91">
        <f>IF(OR($Q115="",$S115=""),"",$Q115-$S115)</f>
        <v/>
      </c>
      <c r="U115" s="93">
        <f>IF($B115="","",IFERROR(INDEX(cal_JYear,MATCH($B115,cal_Key,0)),""))</f>
        <v/>
      </c>
      <c r="V115" s="93">
        <f>IF($B115="","",IFERROR(INDEX(cal_JMonth,MATCH($B115,cal_Key,0)),""))</f>
        <v/>
      </c>
      <c r="W115" s="94">
        <f>IF($B115="","",IFERROR(INDEX(cal_YM,MATCH($B115,cal_Key,0)),""))</f>
        <v/>
      </c>
      <c r="X115" s="94">
        <f>IF($B115="","",IFERROR(INDEX(cal_Season,MATCH($B115,cal_Key,0)),""))</f>
        <v/>
      </c>
      <c r="Y115" s="94">
        <f>IF($B115="","",IFERROR(INDEX(cal_Key,MATCH(INDEX(cal_Serial,MATCH($B115,cal_Key,0))+p_Due,cal_Serial,0)),""))</f>
        <v/>
      </c>
      <c r="Z115" s="95">
        <f>IF($B115="","",IF(OR($I115="پرداخت‌شده",$I115="ابطال"),"—",IFERROR(IF(INDEX(cal_Serial,MATCH($B115,cal_Key,0))+p_Due&lt;TODAY(),"بله","خیر"),"تاریخ نامعتبر")))</f>
        <v/>
      </c>
    </row>
    <row r="116" ht="20" customHeight="1">
      <c r="B116" s="86" t="n"/>
      <c r="C116" s="87" t="n"/>
      <c r="D116" s="87" t="n"/>
      <c r="E116" s="87" t="n"/>
      <c r="F116" s="88" t="n"/>
      <c r="G116" s="89" t="n"/>
      <c r="H116" s="90" t="n"/>
      <c r="I116" s="86" t="n"/>
      <c r="J116" s="87" t="n"/>
      <c r="K116" s="91">
        <f>IF($F116="","",$F116*IF($G116="",1,$G116))</f>
        <v/>
      </c>
      <c r="L116" s="92">
        <f>IFERROR(IF($D116="","",INDEX(t_Svc_Rate,MATCH($D116,lst_Service,0))),"")</f>
        <v/>
      </c>
      <c r="M116" s="92">
        <f>IF($L116="","",$L116*IF(p_TierMode="پلکانی",LOOKUP($K116,t_Tier_From,t_Tier_Rate),1))</f>
        <v/>
      </c>
      <c r="N116" s="91">
        <f>IF($K116="","",$K116*$M116)</f>
        <v/>
      </c>
      <c r="O116" s="91">
        <f>IF($N116="","",IF($I116="ابطال",0,MAX(p_Min,MIN(p_Max,$N116))))</f>
        <v/>
      </c>
      <c r="P116" s="91">
        <f>IF($O116="","",ROUND($O116*p_Tax,0))</f>
        <v/>
      </c>
      <c r="Q116" s="91">
        <f>IF($O116="","",$O116+$P116)</f>
        <v/>
      </c>
      <c r="R116" s="92">
        <f>IF($A116="","",IF($H116&lt;&gt;"",$H116,IFERROR(INDEX(t_Member_Share,MATCH($C116,t_Members,0)),p_DefaultShare)))</f>
        <v/>
      </c>
      <c r="S116" s="91">
        <f>IF(OR($Q116="",$R116=""),"",ROUND($Q116*$R116,0))</f>
        <v/>
      </c>
      <c r="T116" s="91">
        <f>IF(OR($Q116="",$S116=""),"",$Q116-$S116)</f>
        <v/>
      </c>
      <c r="U116" s="93">
        <f>IF($B116="","",IFERROR(INDEX(cal_JYear,MATCH($B116,cal_Key,0)),""))</f>
        <v/>
      </c>
      <c r="V116" s="93">
        <f>IF($B116="","",IFERROR(INDEX(cal_JMonth,MATCH($B116,cal_Key,0)),""))</f>
        <v/>
      </c>
      <c r="W116" s="94">
        <f>IF($B116="","",IFERROR(INDEX(cal_YM,MATCH($B116,cal_Key,0)),""))</f>
        <v/>
      </c>
      <c r="X116" s="94">
        <f>IF($B116="","",IFERROR(INDEX(cal_Season,MATCH($B116,cal_Key,0)),""))</f>
        <v/>
      </c>
      <c r="Y116" s="94">
        <f>IF($B116="","",IFERROR(INDEX(cal_Key,MATCH(INDEX(cal_Serial,MATCH($B116,cal_Key,0))+p_Due,cal_Serial,0)),""))</f>
        <v/>
      </c>
      <c r="Z116" s="95">
        <f>IF($B116="","",IF(OR($I116="پرداخت‌شده",$I116="ابطال"),"—",IFERROR(IF(INDEX(cal_Serial,MATCH($B116,cal_Key,0))+p_Due&lt;TODAY(),"بله","خیر"),"تاریخ نامعتبر")))</f>
        <v/>
      </c>
    </row>
    <row r="117" ht="20" customHeight="1">
      <c r="B117" s="86" t="n"/>
      <c r="C117" s="87" t="n"/>
      <c r="D117" s="87" t="n"/>
      <c r="E117" s="87" t="n"/>
      <c r="F117" s="88" t="n"/>
      <c r="G117" s="89" t="n"/>
      <c r="H117" s="90" t="n"/>
      <c r="I117" s="86" t="n"/>
      <c r="J117" s="87" t="n"/>
      <c r="K117" s="91">
        <f>IF($F117="","",$F117*IF($G117="",1,$G117))</f>
        <v/>
      </c>
      <c r="L117" s="92">
        <f>IFERROR(IF($D117="","",INDEX(t_Svc_Rate,MATCH($D117,lst_Service,0))),"")</f>
        <v/>
      </c>
      <c r="M117" s="92">
        <f>IF($L117="","",$L117*IF(p_TierMode="پلکانی",LOOKUP($K117,t_Tier_From,t_Tier_Rate),1))</f>
        <v/>
      </c>
      <c r="N117" s="91">
        <f>IF($K117="","",$K117*$M117)</f>
        <v/>
      </c>
      <c r="O117" s="91">
        <f>IF($N117="","",IF($I117="ابطال",0,MAX(p_Min,MIN(p_Max,$N117))))</f>
        <v/>
      </c>
      <c r="P117" s="91">
        <f>IF($O117="","",ROUND($O117*p_Tax,0))</f>
        <v/>
      </c>
      <c r="Q117" s="91">
        <f>IF($O117="","",$O117+$P117)</f>
        <v/>
      </c>
      <c r="R117" s="92">
        <f>IF($A117="","",IF($H117&lt;&gt;"",$H117,IFERROR(INDEX(t_Member_Share,MATCH($C117,t_Members,0)),p_DefaultShare)))</f>
        <v/>
      </c>
      <c r="S117" s="91">
        <f>IF(OR($Q117="",$R117=""),"",ROUND($Q117*$R117,0))</f>
        <v/>
      </c>
      <c r="T117" s="91">
        <f>IF(OR($Q117="",$S117=""),"",$Q117-$S117)</f>
        <v/>
      </c>
      <c r="U117" s="93">
        <f>IF($B117="","",IFERROR(INDEX(cal_JYear,MATCH($B117,cal_Key,0)),""))</f>
        <v/>
      </c>
      <c r="V117" s="93">
        <f>IF($B117="","",IFERROR(INDEX(cal_JMonth,MATCH($B117,cal_Key,0)),""))</f>
        <v/>
      </c>
      <c r="W117" s="94">
        <f>IF($B117="","",IFERROR(INDEX(cal_YM,MATCH($B117,cal_Key,0)),""))</f>
        <v/>
      </c>
      <c r="X117" s="94">
        <f>IF($B117="","",IFERROR(INDEX(cal_Season,MATCH($B117,cal_Key,0)),""))</f>
        <v/>
      </c>
      <c r="Y117" s="94">
        <f>IF($B117="","",IFERROR(INDEX(cal_Key,MATCH(INDEX(cal_Serial,MATCH($B117,cal_Key,0))+p_Due,cal_Serial,0)),""))</f>
        <v/>
      </c>
      <c r="Z117" s="95">
        <f>IF($B117="","",IF(OR($I117="پرداخت‌شده",$I117="ابطال"),"—",IFERROR(IF(INDEX(cal_Serial,MATCH($B117,cal_Key,0))+p_Due&lt;TODAY(),"بله","خیر"),"تاریخ نامعتبر")))</f>
        <v/>
      </c>
    </row>
    <row r="118" ht="20" customHeight="1">
      <c r="B118" s="86" t="n"/>
      <c r="C118" s="87" t="n"/>
      <c r="D118" s="87" t="n"/>
      <c r="E118" s="87" t="n"/>
      <c r="F118" s="88" t="n"/>
      <c r="G118" s="89" t="n"/>
      <c r="H118" s="90" t="n"/>
      <c r="I118" s="86" t="n"/>
      <c r="J118" s="87" t="n"/>
      <c r="K118" s="91">
        <f>IF($F118="","",$F118*IF($G118="",1,$G118))</f>
        <v/>
      </c>
      <c r="L118" s="92">
        <f>IFERROR(IF($D118="","",INDEX(t_Svc_Rate,MATCH($D118,lst_Service,0))),"")</f>
        <v/>
      </c>
      <c r="M118" s="92">
        <f>IF($L118="","",$L118*IF(p_TierMode="پلکانی",LOOKUP($K118,t_Tier_From,t_Tier_Rate),1))</f>
        <v/>
      </c>
      <c r="N118" s="91">
        <f>IF($K118="","",$K118*$M118)</f>
        <v/>
      </c>
      <c r="O118" s="91">
        <f>IF($N118="","",IF($I118="ابطال",0,MAX(p_Min,MIN(p_Max,$N118))))</f>
        <v/>
      </c>
      <c r="P118" s="91">
        <f>IF($O118="","",ROUND($O118*p_Tax,0))</f>
        <v/>
      </c>
      <c r="Q118" s="91">
        <f>IF($O118="","",$O118+$P118)</f>
        <v/>
      </c>
      <c r="R118" s="92">
        <f>IF($A118="","",IF($H118&lt;&gt;"",$H118,IFERROR(INDEX(t_Member_Share,MATCH($C118,t_Members,0)),p_DefaultShare)))</f>
        <v/>
      </c>
      <c r="S118" s="91">
        <f>IF(OR($Q118="",$R118=""),"",ROUND($Q118*$R118,0))</f>
        <v/>
      </c>
      <c r="T118" s="91">
        <f>IF(OR($Q118="",$S118=""),"",$Q118-$S118)</f>
        <v/>
      </c>
      <c r="U118" s="93">
        <f>IF($B118="","",IFERROR(INDEX(cal_JYear,MATCH($B118,cal_Key,0)),""))</f>
        <v/>
      </c>
      <c r="V118" s="93">
        <f>IF($B118="","",IFERROR(INDEX(cal_JMonth,MATCH($B118,cal_Key,0)),""))</f>
        <v/>
      </c>
      <c r="W118" s="94">
        <f>IF($B118="","",IFERROR(INDEX(cal_YM,MATCH($B118,cal_Key,0)),""))</f>
        <v/>
      </c>
      <c r="X118" s="94">
        <f>IF($B118="","",IFERROR(INDEX(cal_Season,MATCH($B118,cal_Key,0)),""))</f>
        <v/>
      </c>
      <c r="Y118" s="94">
        <f>IF($B118="","",IFERROR(INDEX(cal_Key,MATCH(INDEX(cal_Serial,MATCH($B118,cal_Key,0))+p_Due,cal_Serial,0)),""))</f>
        <v/>
      </c>
      <c r="Z118" s="95">
        <f>IF($B118="","",IF(OR($I118="پرداخت‌شده",$I118="ابطال"),"—",IFERROR(IF(INDEX(cal_Serial,MATCH($B118,cal_Key,0))+p_Due&lt;TODAY(),"بله","خیر"),"تاریخ نامعتبر")))</f>
        <v/>
      </c>
    </row>
    <row r="119" ht="20" customHeight="1">
      <c r="B119" s="86" t="n"/>
      <c r="C119" s="87" t="n"/>
      <c r="D119" s="87" t="n"/>
      <c r="E119" s="87" t="n"/>
      <c r="F119" s="88" t="n"/>
      <c r="G119" s="89" t="n"/>
      <c r="H119" s="90" t="n"/>
      <c r="I119" s="86" t="n"/>
      <c r="J119" s="87" t="n"/>
      <c r="K119" s="91">
        <f>IF($F119="","",$F119*IF($G119="",1,$G119))</f>
        <v/>
      </c>
      <c r="L119" s="92">
        <f>IFERROR(IF($D119="","",INDEX(t_Svc_Rate,MATCH($D119,lst_Service,0))),"")</f>
        <v/>
      </c>
      <c r="M119" s="92">
        <f>IF($L119="","",$L119*IF(p_TierMode="پلکانی",LOOKUP($K119,t_Tier_From,t_Tier_Rate),1))</f>
        <v/>
      </c>
      <c r="N119" s="91">
        <f>IF($K119="","",$K119*$M119)</f>
        <v/>
      </c>
      <c r="O119" s="91">
        <f>IF($N119="","",IF($I119="ابطال",0,MAX(p_Min,MIN(p_Max,$N119))))</f>
        <v/>
      </c>
      <c r="P119" s="91">
        <f>IF($O119="","",ROUND($O119*p_Tax,0))</f>
        <v/>
      </c>
      <c r="Q119" s="91">
        <f>IF($O119="","",$O119+$P119)</f>
        <v/>
      </c>
      <c r="R119" s="92">
        <f>IF($A119="","",IF($H119&lt;&gt;"",$H119,IFERROR(INDEX(t_Member_Share,MATCH($C119,t_Members,0)),p_DefaultShare)))</f>
        <v/>
      </c>
      <c r="S119" s="91">
        <f>IF(OR($Q119="",$R119=""),"",ROUND($Q119*$R119,0))</f>
        <v/>
      </c>
      <c r="T119" s="91">
        <f>IF(OR($Q119="",$S119=""),"",$Q119-$S119)</f>
        <v/>
      </c>
      <c r="U119" s="93">
        <f>IF($B119="","",IFERROR(INDEX(cal_JYear,MATCH($B119,cal_Key,0)),""))</f>
        <v/>
      </c>
      <c r="V119" s="93">
        <f>IF($B119="","",IFERROR(INDEX(cal_JMonth,MATCH($B119,cal_Key,0)),""))</f>
        <v/>
      </c>
      <c r="W119" s="94">
        <f>IF($B119="","",IFERROR(INDEX(cal_YM,MATCH($B119,cal_Key,0)),""))</f>
        <v/>
      </c>
      <c r="X119" s="94">
        <f>IF($B119="","",IFERROR(INDEX(cal_Season,MATCH($B119,cal_Key,0)),""))</f>
        <v/>
      </c>
      <c r="Y119" s="94">
        <f>IF($B119="","",IFERROR(INDEX(cal_Key,MATCH(INDEX(cal_Serial,MATCH($B119,cal_Key,0))+p_Due,cal_Serial,0)),""))</f>
        <v/>
      </c>
      <c r="Z119" s="95">
        <f>IF($B119="","",IF(OR($I119="پرداخت‌شده",$I119="ابطال"),"—",IFERROR(IF(INDEX(cal_Serial,MATCH($B119,cal_Key,0))+p_Due&lt;TODAY(),"بله","خیر"),"تاریخ نامعتبر")))</f>
        <v/>
      </c>
    </row>
    <row r="120" ht="20" customHeight="1">
      <c r="B120" s="86" t="n"/>
      <c r="C120" s="87" t="n"/>
      <c r="D120" s="87" t="n"/>
      <c r="E120" s="87" t="n"/>
      <c r="F120" s="88" t="n"/>
      <c r="G120" s="89" t="n"/>
      <c r="H120" s="90" t="n"/>
      <c r="I120" s="86" t="n"/>
      <c r="J120" s="87" t="n"/>
      <c r="K120" s="91">
        <f>IF($F120="","",$F120*IF($G120="",1,$G120))</f>
        <v/>
      </c>
      <c r="L120" s="92">
        <f>IFERROR(IF($D120="","",INDEX(t_Svc_Rate,MATCH($D120,lst_Service,0))),"")</f>
        <v/>
      </c>
      <c r="M120" s="92">
        <f>IF($L120="","",$L120*IF(p_TierMode="پلکانی",LOOKUP($K120,t_Tier_From,t_Tier_Rate),1))</f>
        <v/>
      </c>
      <c r="N120" s="91">
        <f>IF($K120="","",$K120*$M120)</f>
        <v/>
      </c>
      <c r="O120" s="91">
        <f>IF($N120="","",IF($I120="ابطال",0,MAX(p_Min,MIN(p_Max,$N120))))</f>
        <v/>
      </c>
      <c r="P120" s="91">
        <f>IF($O120="","",ROUND($O120*p_Tax,0))</f>
        <v/>
      </c>
      <c r="Q120" s="91">
        <f>IF($O120="","",$O120+$P120)</f>
        <v/>
      </c>
      <c r="R120" s="92">
        <f>IF($A120="","",IF($H120&lt;&gt;"",$H120,IFERROR(INDEX(t_Member_Share,MATCH($C120,t_Members,0)),p_DefaultShare)))</f>
        <v/>
      </c>
      <c r="S120" s="91">
        <f>IF(OR($Q120="",$R120=""),"",ROUND($Q120*$R120,0))</f>
        <v/>
      </c>
      <c r="T120" s="91">
        <f>IF(OR($Q120="",$S120=""),"",$Q120-$S120)</f>
        <v/>
      </c>
      <c r="U120" s="93">
        <f>IF($B120="","",IFERROR(INDEX(cal_JYear,MATCH($B120,cal_Key,0)),""))</f>
        <v/>
      </c>
      <c r="V120" s="93">
        <f>IF($B120="","",IFERROR(INDEX(cal_JMonth,MATCH($B120,cal_Key,0)),""))</f>
        <v/>
      </c>
      <c r="W120" s="94">
        <f>IF($B120="","",IFERROR(INDEX(cal_YM,MATCH($B120,cal_Key,0)),""))</f>
        <v/>
      </c>
      <c r="X120" s="94">
        <f>IF($B120="","",IFERROR(INDEX(cal_Season,MATCH($B120,cal_Key,0)),""))</f>
        <v/>
      </c>
      <c r="Y120" s="94">
        <f>IF($B120="","",IFERROR(INDEX(cal_Key,MATCH(INDEX(cal_Serial,MATCH($B120,cal_Key,0))+p_Due,cal_Serial,0)),""))</f>
        <v/>
      </c>
      <c r="Z120" s="95">
        <f>IF($B120="","",IF(OR($I120="پرداخت‌شده",$I120="ابطال"),"—",IFERROR(IF(INDEX(cal_Serial,MATCH($B120,cal_Key,0))+p_Due&lt;TODAY(),"بله","خیر"),"تاریخ نامعتبر")))</f>
        <v/>
      </c>
    </row>
    <row r="121" ht="20" customHeight="1">
      <c r="B121" s="86" t="n"/>
      <c r="C121" s="87" t="n"/>
      <c r="D121" s="87" t="n"/>
      <c r="E121" s="87" t="n"/>
      <c r="F121" s="88" t="n"/>
      <c r="G121" s="89" t="n"/>
      <c r="H121" s="90" t="n"/>
      <c r="I121" s="86" t="n"/>
      <c r="J121" s="87" t="n"/>
      <c r="K121" s="91">
        <f>IF($F121="","",$F121*IF($G121="",1,$G121))</f>
        <v/>
      </c>
      <c r="L121" s="92">
        <f>IFERROR(IF($D121="","",INDEX(t_Svc_Rate,MATCH($D121,lst_Service,0))),"")</f>
        <v/>
      </c>
      <c r="M121" s="92">
        <f>IF($L121="","",$L121*IF(p_TierMode="پلکانی",LOOKUP($K121,t_Tier_From,t_Tier_Rate),1))</f>
        <v/>
      </c>
      <c r="N121" s="91">
        <f>IF($K121="","",$K121*$M121)</f>
        <v/>
      </c>
      <c r="O121" s="91">
        <f>IF($N121="","",IF($I121="ابطال",0,MAX(p_Min,MIN(p_Max,$N121))))</f>
        <v/>
      </c>
      <c r="P121" s="91">
        <f>IF($O121="","",ROUND($O121*p_Tax,0))</f>
        <v/>
      </c>
      <c r="Q121" s="91">
        <f>IF($O121="","",$O121+$P121)</f>
        <v/>
      </c>
      <c r="R121" s="92">
        <f>IF($A121="","",IF($H121&lt;&gt;"",$H121,IFERROR(INDEX(t_Member_Share,MATCH($C121,t_Members,0)),p_DefaultShare)))</f>
        <v/>
      </c>
      <c r="S121" s="91">
        <f>IF(OR($Q121="",$R121=""),"",ROUND($Q121*$R121,0))</f>
        <v/>
      </c>
      <c r="T121" s="91">
        <f>IF(OR($Q121="",$S121=""),"",$Q121-$S121)</f>
        <v/>
      </c>
      <c r="U121" s="93">
        <f>IF($B121="","",IFERROR(INDEX(cal_JYear,MATCH($B121,cal_Key,0)),""))</f>
        <v/>
      </c>
      <c r="V121" s="93">
        <f>IF($B121="","",IFERROR(INDEX(cal_JMonth,MATCH($B121,cal_Key,0)),""))</f>
        <v/>
      </c>
      <c r="W121" s="94">
        <f>IF($B121="","",IFERROR(INDEX(cal_YM,MATCH($B121,cal_Key,0)),""))</f>
        <v/>
      </c>
      <c r="X121" s="94">
        <f>IF($B121="","",IFERROR(INDEX(cal_Season,MATCH($B121,cal_Key,0)),""))</f>
        <v/>
      </c>
      <c r="Y121" s="94">
        <f>IF($B121="","",IFERROR(INDEX(cal_Key,MATCH(INDEX(cal_Serial,MATCH($B121,cal_Key,0))+p_Due,cal_Serial,0)),""))</f>
        <v/>
      </c>
      <c r="Z121" s="95">
        <f>IF($B121="","",IF(OR($I121="پرداخت‌شده",$I121="ابطال"),"—",IFERROR(IF(INDEX(cal_Serial,MATCH($B121,cal_Key,0))+p_Due&lt;TODAY(),"بله","خیر"),"تاریخ نامعتبر")))</f>
        <v/>
      </c>
    </row>
    <row r="122" ht="20" customHeight="1">
      <c r="B122" s="86" t="n"/>
      <c r="C122" s="87" t="n"/>
      <c r="D122" s="87" t="n"/>
      <c r="E122" s="87" t="n"/>
      <c r="F122" s="88" t="n"/>
      <c r="G122" s="89" t="n"/>
      <c r="H122" s="90" t="n"/>
      <c r="I122" s="86" t="n"/>
      <c r="J122" s="87" t="n"/>
      <c r="K122" s="91">
        <f>IF($F122="","",$F122*IF($G122="",1,$G122))</f>
        <v/>
      </c>
      <c r="L122" s="92">
        <f>IFERROR(IF($D122="","",INDEX(t_Svc_Rate,MATCH($D122,lst_Service,0))),"")</f>
        <v/>
      </c>
      <c r="M122" s="92">
        <f>IF($L122="","",$L122*IF(p_TierMode="پلکانی",LOOKUP($K122,t_Tier_From,t_Tier_Rate),1))</f>
        <v/>
      </c>
      <c r="N122" s="91">
        <f>IF($K122="","",$K122*$M122)</f>
        <v/>
      </c>
      <c r="O122" s="91">
        <f>IF($N122="","",IF($I122="ابطال",0,MAX(p_Min,MIN(p_Max,$N122))))</f>
        <v/>
      </c>
      <c r="P122" s="91">
        <f>IF($O122="","",ROUND($O122*p_Tax,0))</f>
        <v/>
      </c>
      <c r="Q122" s="91">
        <f>IF($O122="","",$O122+$P122)</f>
        <v/>
      </c>
      <c r="R122" s="92">
        <f>IF($A122="","",IF($H122&lt;&gt;"",$H122,IFERROR(INDEX(t_Member_Share,MATCH($C122,t_Members,0)),p_DefaultShare)))</f>
        <v/>
      </c>
      <c r="S122" s="91">
        <f>IF(OR($Q122="",$R122=""),"",ROUND($Q122*$R122,0))</f>
        <v/>
      </c>
      <c r="T122" s="91">
        <f>IF(OR($Q122="",$S122=""),"",$Q122-$S122)</f>
        <v/>
      </c>
      <c r="U122" s="93">
        <f>IF($B122="","",IFERROR(INDEX(cal_JYear,MATCH($B122,cal_Key,0)),""))</f>
        <v/>
      </c>
      <c r="V122" s="93">
        <f>IF($B122="","",IFERROR(INDEX(cal_JMonth,MATCH($B122,cal_Key,0)),""))</f>
        <v/>
      </c>
      <c r="W122" s="94">
        <f>IF($B122="","",IFERROR(INDEX(cal_YM,MATCH($B122,cal_Key,0)),""))</f>
        <v/>
      </c>
      <c r="X122" s="94">
        <f>IF($B122="","",IFERROR(INDEX(cal_Season,MATCH($B122,cal_Key,0)),""))</f>
        <v/>
      </c>
      <c r="Y122" s="94">
        <f>IF($B122="","",IFERROR(INDEX(cal_Key,MATCH(INDEX(cal_Serial,MATCH($B122,cal_Key,0))+p_Due,cal_Serial,0)),""))</f>
        <v/>
      </c>
      <c r="Z122" s="95">
        <f>IF($B122="","",IF(OR($I122="پرداخت‌شده",$I122="ابطال"),"—",IFERROR(IF(INDEX(cal_Serial,MATCH($B122,cal_Key,0))+p_Due&lt;TODAY(),"بله","خیر"),"تاریخ نامعتبر")))</f>
        <v/>
      </c>
    </row>
    <row r="123" ht="20" customHeight="1">
      <c r="B123" s="86" t="n"/>
      <c r="C123" s="87" t="n"/>
      <c r="D123" s="87" t="n"/>
      <c r="E123" s="87" t="n"/>
      <c r="F123" s="88" t="n"/>
      <c r="G123" s="89" t="n"/>
      <c r="H123" s="90" t="n"/>
      <c r="I123" s="86" t="n"/>
      <c r="J123" s="87" t="n"/>
      <c r="K123" s="91">
        <f>IF($F123="","",$F123*IF($G123="",1,$G123))</f>
        <v/>
      </c>
      <c r="L123" s="92">
        <f>IFERROR(IF($D123="","",INDEX(t_Svc_Rate,MATCH($D123,lst_Service,0))),"")</f>
        <v/>
      </c>
      <c r="M123" s="92">
        <f>IF($L123="","",$L123*IF(p_TierMode="پلکانی",LOOKUP($K123,t_Tier_From,t_Tier_Rate),1))</f>
        <v/>
      </c>
      <c r="N123" s="91">
        <f>IF($K123="","",$K123*$M123)</f>
        <v/>
      </c>
      <c r="O123" s="91">
        <f>IF($N123="","",IF($I123="ابطال",0,MAX(p_Min,MIN(p_Max,$N123))))</f>
        <v/>
      </c>
      <c r="P123" s="91">
        <f>IF($O123="","",ROUND($O123*p_Tax,0))</f>
        <v/>
      </c>
      <c r="Q123" s="91">
        <f>IF($O123="","",$O123+$P123)</f>
        <v/>
      </c>
      <c r="R123" s="92">
        <f>IF($A123="","",IF($H123&lt;&gt;"",$H123,IFERROR(INDEX(t_Member_Share,MATCH($C123,t_Members,0)),p_DefaultShare)))</f>
        <v/>
      </c>
      <c r="S123" s="91">
        <f>IF(OR($Q123="",$R123=""),"",ROUND($Q123*$R123,0))</f>
        <v/>
      </c>
      <c r="T123" s="91">
        <f>IF(OR($Q123="",$S123=""),"",$Q123-$S123)</f>
        <v/>
      </c>
      <c r="U123" s="93">
        <f>IF($B123="","",IFERROR(INDEX(cal_JYear,MATCH($B123,cal_Key,0)),""))</f>
        <v/>
      </c>
      <c r="V123" s="93">
        <f>IF($B123="","",IFERROR(INDEX(cal_JMonth,MATCH($B123,cal_Key,0)),""))</f>
        <v/>
      </c>
      <c r="W123" s="94">
        <f>IF($B123="","",IFERROR(INDEX(cal_YM,MATCH($B123,cal_Key,0)),""))</f>
        <v/>
      </c>
      <c r="X123" s="94">
        <f>IF($B123="","",IFERROR(INDEX(cal_Season,MATCH($B123,cal_Key,0)),""))</f>
        <v/>
      </c>
      <c r="Y123" s="94">
        <f>IF($B123="","",IFERROR(INDEX(cal_Key,MATCH(INDEX(cal_Serial,MATCH($B123,cal_Key,0))+p_Due,cal_Serial,0)),""))</f>
        <v/>
      </c>
      <c r="Z123" s="95">
        <f>IF($B123="","",IF(OR($I123="پرداخت‌شده",$I123="ابطال"),"—",IFERROR(IF(INDEX(cal_Serial,MATCH($B123,cal_Key,0))+p_Due&lt;TODAY(),"بله","خیر"),"تاریخ نامعتبر")))</f>
        <v/>
      </c>
    </row>
    <row r="124" ht="20" customHeight="1">
      <c r="B124" s="86" t="n"/>
      <c r="C124" s="87" t="n"/>
      <c r="D124" s="87" t="n"/>
      <c r="E124" s="87" t="n"/>
      <c r="F124" s="88" t="n"/>
      <c r="G124" s="89" t="n"/>
      <c r="H124" s="90" t="n"/>
      <c r="I124" s="86" t="n"/>
      <c r="J124" s="87" t="n"/>
      <c r="K124" s="91">
        <f>IF($F124="","",$F124*IF($G124="",1,$G124))</f>
        <v/>
      </c>
      <c r="L124" s="92">
        <f>IFERROR(IF($D124="","",INDEX(t_Svc_Rate,MATCH($D124,lst_Service,0))),"")</f>
        <v/>
      </c>
      <c r="M124" s="92">
        <f>IF($L124="","",$L124*IF(p_TierMode="پلکانی",LOOKUP($K124,t_Tier_From,t_Tier_Rate),1))</f>
        <v/>
      </c>
      <c r="N124" s="91">
        <f>IF($K124="","",$K124*$M124)</f>
        <v/>
      </c>
      <c r="O124" s="91">
        <f>IF($N124="","",IF($I124="ابطال",0,MAX(p_Min,MIN(p_Max,$N124))))</f>
        <v/>
      </c>
      <c r="P124" s="91">
        <f>IF($O124="","",ROUND($O124*p_Tax,0))</f>
        <v/>
      </c>
      <c r="Q124" s="91">
        <f>IF($O124="","",$O124+$P124)</f>
        <v/>
      </c>
      <c r="R124" s="92">
        <f>IF($A124="","",IF($H124&lt;&gt;"",$H124,IFERROR(INDEX(t_Member_Share,MATCH($C124,t_Members,0)),p_DefaultShare)))</f>
        <v/>
      </c>
      <c r="S124" s="91">
        <f>IF(OR($Q124="",$R124=""),"",ROUND($Q124*$R124,0))</f>
        <v/>
      </c>
      <c r="T124" s="91">
        <f>IF(OR($Q124="",$S124=""),"",$Q124-$S124)</f>
        <v/>
      </c>
      <c r="U124" s="93">
        <f>IF($B124="","",IFERROR(INDEX(cal_JYear,MATCH($B124,cal_Key,0)),""))</f>
        <v/>
      </c>
      <c r="V124" s="93">
        <f>IF($B124="","",IFERROR(INDEX(cal_JMonth,MATCH($B124,cal_Key,0)),""))</f>
        <v/>
      </c>
      <c r="W124" s="94">
        <f>IF($B124="","",IFERROR(INDEX(cal_YM,MATCH($B124,cal_Key,0)),""))</f>
        <v/>
      </c>
      <c r="X124" s="94">
        <f>IF($B124="","",IFERROR(INDEX(cal_Season,MATCH($B124,cal_Key,0)),""))</f>
        <v/>
      </c>
      <c r="Y124" s="94">
        <f>IF($B124="","",IFERROR(INDEX(cal_Key,MATCH(INDEX(cal_Serial,MATCH($B124,cal_Key,0))+p_Due,cal_Serial,0)),""))</f>
        <v/>
      </c>
      <c r="Z124" s="95">
        <f>IF($B124="","",IF(OR($I124="پرداخت‌شده",$I124="ابطال"),"—",IFERROR(IF(INDEX(cal_Serial,MATCH($B124,cal_Key,0))+p_Due&lt;TODAY(),"بله","خیر"),"تاریخ نامعتبر")))</f>
        <v/>
      </c>
    </row>
    <row r="125" ht="20" customHeight="1">
      <c r="B125" s="86" t="n"/>
      <c r="C125" s="87" t="n"/>
      <c r="D125" s="87" t="n"/>
      <c r="E125" s="87" t="n"/>
      <c r="F125" s="88" t="n"/>
      <c r="G125" s="89" t="n"/>
      <c r="H125" s="90" t="n"/>
      <c r="I125" s="86" t="n"/>
      <c r="J125" s="87" t="n"/>
      <c r="K125" s="91">
        <f>IF($F125="","",$F125*IF($G125="",1,$G125))</f>
        <v/>
      </c>
      <c r="L125" s="92">
        <f>IFERROR(IF($D125="","",INDEX(t_Svc_Rate,MATCH($D125,lst_Service,0))),"")</f>
        <v/>
      </c>
      <c r="M125" s="92">
        <f>IF($L125="","",$L125*IF(p_TierMode="پلکانی",LOOKUP($K125,t_Tier_From,t_Tier_Rate),1))</f>
        <v/>
      </c>
      <c r="N125" s="91">
        <f>IF($K125="","",$K125*$M125)</f>
        <v/>
      </c>
      <c r="O125" s="91">
        <f>IF($N125="","",IF($I125="ابطال",0,MAX(p_Min,MIN(p_Max,$N125))))</f>
        <v/>
      </c>
      <c r="P125" s="91">
        <f>IF($O125="","",ROUND($O125*p_Tax,0))</f>
        <v/>
      </c>
      <c r="Q125" s="91">
        <f>IF($O125="","",$O125+$P125)</f>
        <v/>
      </c>
      <c r="R125" s="92">
        <f>IF($A125="","",IF($H125&lt;&gt;"",$H125,IFERROR(INDEX(t_Member_Share,MATCH($C125,t_Members,0)),p_DefaultShare)))</f>
        <v/>
      </c>
      <c r="S125" s="91">
        <f>IF(OR($Q125="",$R125=""),"",ROUND($Q125*$R125,0))</f>
        <v/>
      </c>
      <c r="T125" s="91">
        <f>IF(OR($Q125="",$S125=""),"",$Q125-$S125)</f>
        <v/>
      </c>
      <c r="U125" s="93">
        <f>IF($B125="","",IFERROR(INDEX(cal_JYear,MATCH($B125,cal_Key,0)),""))</f>
        <v/>
      </c>
      <c r="V125" s="93">
        <f>IF($B125="","",IFERROR(INDEX(cal_JMonth,MATCH($B125,cal_Key,0)),""))</f>
        <v/>
      </c>
      <c r="W125" s="94">
        <f>IF($B125="","",IFERROR(INDEX(cal_YM,MATCH($B125,cal_Key,0)),""))</f>
        <v/>
      </c>
      <c r="X125" s="94">
        <f>IF($B125="","",IFERROR(INDEX(cal_Season,MATCH($B125,cal_Key,0)),""))</f>
        <v/>
      </c>
      <c r="Y125" s="94">
        <f>IF($B125="","",IFERROR(INDEX(cal_Key,MATCH(INDEX(cal_Serial,MATCH($B125,cal_Key,0))+p_Due,cal_Serial,0)),""))</f>
        <v/>
      </c>
      <c r="Z125" s="95">
        <f>IF($B125="","",IF(OR($I125="پرداخت‌شده",$I125="ابطال"),"—",IFERROR(IF(INDEX(cal_Serial,MATCH($B125,cal_Key,0))+p_Due&lt;TODAY(),"بله","خیر"),"تاریخ نامعتبر")))</f>
        <v/>
      </c>
    </row>
    <row r="126" ht="20" customHeight="1">
      <c r="B126" s="86" t="n"/>
      <c r="C126" s="87" t="n"/>
      <c r="D126" s="87" t="n"/>
      <c r="E126" s="87" t="n"/>
      <c r="F126" s="88" t="n"/>
      <c r="G126" s="89" t="n"/>
      <c r="H126" s="90" t="n"/>
      <c r="I126" s="86" t="n"/>
      <c r="J126" s="87" t="n"/>
      <c r="K126" s="91">
        <f>IF($F126="","",$F126*IF($G126="",1,$G126))</f>
        <v/>
      </c>
      <c r="L126" s="92">
        <f>IFERROR(IF($D126="","",INDEX(t_Svc_Rate,MATCH($D126,lst_Service,0))),"")</f>
        <v/>
      </c>
      <c r="M126" s="92">
        <f>IF($L126="","",$L126*IF(p_TierMode="پلکانی",LOOKUP($K126,t_Tier_From,t_Tier_Rate),1))</f>
        <v/>
      </c>
      <c r="N126" s="91">
        <f>IF($K126="","",$K126*$M126)</f>
        <v/>
      </c>
      <c r="O126" s="91">
        <f>IF($N126="","",IF($I126="ابطال",0,MAX(p_Min,MIN(p_Max,$N126))))</f>
        <v/>
      </c>
      <c r="P126" s="91">
        <f>IF($O126="","",ROUND($O126*p_Tax,0))</f>
        <v/>
      </c>
      <c r="Q126" s="91">
        <f>IF($O126="","",$O126+$P126)</f>
        <v/>
      </c>
      <c r="R126" s="92">
        <f>IF($A126="","",IF($H126&lt;&gt;"",$H126,IFERROR(INDEX(t_Member_Share,MATCH($C126,t_Members,0)),p_DefaultShare)))</f>
        <v/>
      </c>
      <c r="S126" s="91">
        <f>IF(OR($Q126="",$R126=""),"",ROUND($Q126*$R126,0))</f>
        <v/>
      </c>
      <c r="T126" s="91">
        <f>IF(OR($Q126="",$S126=""),"",$Q126-$S126)</f>
        <v/>
      </c>
      <c r="U126" s="93">
        <f>IF($B126="","",IFERROR(INDEX(cal_JYear,MATCH($B126,cal_Key,0)),""))</f>
        <v/>
      </c>
      <c r="V126" s="93">
        <f>IF($B126="","",IFERROR(INDEX(cal_JMonth,MATCH($B126,cal_Key,0)),""))</f>
        <v/>
      </c>
      <c r="W126" s="94">
        <f>IF($B126="","",IFERROR(INDEX(cal_YM,MATCH($B126,cal_Key,0)),""))</f>
        <v/>
      </c>
      <c r="X126" s="94">
        <f>IF($B126="","",IFERROR(INDEX(cal_Season,MATCH($B126,cal_Key,0)),""))</f>
        <v/>
      </c>
      <c r="Y126" s="94">
        <f>IF($B126="","",IFERROR(INDEX(cal_Key,MATCH(INDEX(cal_Serial,MATCH($B126,cal_Key,0))+p_Due,cal_Serial,0)),""))</f>
        <v/>
      </c>
      <c r="Z126" s="95">
        <f>IF($B126="","",IF(OR($I126="پرداخت‌شده",$I126="ابطال"),"—",IFERROR(IF(INDEX(cal_Serial,MATCH($B126,cal_Key,0))+p_Due&lt;TODAY(),"بله","خیر"),"تاریخ نامعتبر")))</f>
        <v/>
      </c>
    </row>
    <row r="127" ht="20" customHeight="1">
      <c r="B127" s="86" t="n"/>
      <c r="C127" s="87" t="n"/>
      <c r="D127" s="87" t="n"/>
      <c r="E127" s="87" t="n"/>
      <c r="F127" s="88" t="n"/>
      <c r="G127" s="89" t="n"/>
      <c r="H127" s="90" t="n"/>
      <c r="I127" s="86" t="n"/>
      <c r="J127" s="87" t="n"/>
      <c r="K127" s="91">
        <f>IF($F127="","",$F127*IF($G127="",1,$G127))</f>
        <v/>
      </c>
      <c r="L127" s="92">
        <f>IFERROR(IF($D127="","",INDEX(t_Svc_Rate,MATCH($D127,lst_Service,0))),"")</f>
        <v/>
      </c>
      <c r="M127" s="92">
        <f>IF($L127="","",$L127*IF(p_TierMode="پلکانی",LOOKUP($K127,t_Tier_From,t_Tier_Rate),1))</f>
        <v/>
      </c>
      <c r="N127" s="91">
        <f>IF($K127="","",$K127*$M127)</f>
        <v/>
      </c>
      <c r="O127" s="91">
        <f>IF($N127="","",IF($I127="ابطال",0,MAX(p_Min,MIN(p_Max,$N127))))</f>
        <v/>
      </c>
      <c r="P127" s="91">
        <f>IF($O127="","",ROUND($O127*p_Tax,0))</f>
        <v/>
      </c>
      <c r="Q127" s="91">
        <f>IF($O127="","",$O127+$P127)</f>
        <v/>
      </c>
      <c r="R127" s="92">
        <f>IF($A127="","",IF($H127&lt;&gt;"",$H127,IFERROR(INDEX(t_Member_Share,MATCH($C127,t_Members,0)),p_DefaultShare)))</f>
        <v/>
      </c>
      <c r="S127" s="91">
        <f>IF(OR($Q127="",$R127=""),"",ROUND($Q127*$R127,0))</f>
        <v/>
      </c>
      <c r="T127" s="91">
        <f>IF(OR($Q127="",$S127=""),"",$Q127-$S127)</f>
        <v/>
      </c>
      <c r="U127" s="93">
        <f>IF($B127="","",IFERROR(INDEX(cal_JYear,MATCH($B127,cal_Key,0)),""))</f>
        <v/>
      </c>
      <c r="V127" s="93">
        <f>IF($B127="","",IFERROR(INDEX(cal_JMonth,MATCH($B127,cal_Key,0)),""))</f>
        <v/>
      </c>
      <c r="W127" s="94">
        <f>IF($B127="","",IFERROR(INDEX(cal_YM,MATCH($B127,cal_Key,0)),""))</f>
        <v/>
      </c>
      <c r="X127" s="94">
        <f>IF($B127="","",IFERROR(INDEX(cal_Season,MATCH($B127,cal_Key,0)),""))</f>
        <v/>
      </c>
      <c r="Y127" s="94">
        <f>IF($B127="","",IFERROR(INDEX(cal_Key,MATCH(INDEX(cal_Serial,MATCH($B127,cal_Key,0))+p_Due,cal_Serial,0)),""))</f>
        <v/>
      </c>
      <c r="Z127" s="95">
        <f>IF($B127="","",IF(OR($I127="پرداخت‌شده",$I127="ابطال"),"—",IFERROR(IF(INDEX(cal_Serial,MATCH($B127,cal_Key,0))+p_Due&lt;TODAY(),"بله","خیر"),"تاریخ نامعتبر")))</f>
        <v/>
      </c>
    </row>
    <row r="128" ht="20" customHeight="1">
      <c r="B128" s="86" t="n"/>
      <c r="C128" s="87" t="n"/>
      <c r="D128" s="87" t="n"/>
      <c r="E128" s="87" t="n"/>
      <c r="F128" s="88" t="n"/>
      <c r="G128" s="89" t="n"/>
      <c r="H128" s="90" t="n"/>
      <c r="I128" s="86" t="n"/>
      <c r="J128" s="87" t="n"/>
      <c r="K128" s="91">
        <f>IF($F128="","",$F128*IF($G128="",1,$G128))</f>
        <v/>
      </c>
      <c r="L128" s="92">
        <f>IFERROR(IF($D128="","",INDEX(t_Svc_Rate,MATCH($D128,lst_Service,0))),"")</f>
        <v/>
      </c>
      <c r="M128" s="92">
        <f>IF($L128="","",$L128*IF(p_TierMode="پلکانی",LOOKUP($K128,t_Tier_From,t_Tier_Rate),1))</f>
        <v/>
      </c>
      <c r="N128" s="91">
        <f>IF($K128="","",$K128*$M128)</f>
        <v/>
      </c>
      <c r="O128" s="91">
        <f>IF($N128="","",IF($I128="ابطال",0,MAX(p_Min,MIN(p_Max,$N128))))</f>
        <v/>
      </c>
      <c r="P128" s="91">
        <f>IF($O128="","",ROUND($O128*p_Tax,0))</f>
        <v/>
      </c>
      <c r="Q128" s="91">
        <f>IF($O128="","",$O128+$P128)</f>
        <v/>
      </c>
      <c r="R128" s="92">
        <f>IF($A128="","",IF($H128&lt;&gt;"",$H128,IFERROR(INDEX(t_Member_Share,MATCH($C128,t_Members,0)),p_DefaultShare)))</f>
        <v/>
      </c>
      <c r="S128" s="91">
        <f>IF(OR($Q128="",$R128=""),"",ROUND($Q128*$R128,0))</f>
        <v/>
      </c>
      <c r="T128" s="91">
        <f>IF(OR($Q128="",$S128=""),"",$Q128-$S128)</f>
        <v/>
      </c>
      <c r="U128" s="93">
        <f>IF($B128="","",IFERROR(INDEX(cal_JYear,MATCH($B128,cal_Key,0)),""))</f>
        <v/>
      </c>
      <c r="V128" s="93">
        <f>IF($B128="","",IFERROR(INDEX(cal_JMonth,MATCH($B128,cal_Key,0)),""))</f>
        <v/>
      </c>
      <c r="W128" s="94">
        <f>IF($B128="","",IFERROR(INDEX(cal_YM,MATCH($B128,cal_Key,0)),""))</f>
        <v/>
      </c>
      <c r="X128" s="94">
        <f>IF($B128="","",IFERROR(INDEX(cal_Season,MATCH($B128,cal_Key,0)),""))</f>
        <v/>
      </c>
      <c r="Y128" s="94">
        <f>IF($B128="","",IFERROR(INDEX(cal_Key,MATCH(INDEX(cal_Serial,MATCH($B128,cal_Key,0))+p_Due,cal_Serial,0)),""))</f>
        <v/>
      </c>
      <c r="Z128" s="95">
        <f>IF($B128="","",IF(OR($I128="پرداخت‌شده",$I128="ابطال"),"—",IFERROR(IF(INDEX(cal_Serial,MATCH($B128,cal_Key,0))+p_Due&lt;TODAY(),"بله","خیر"),"تاریخ نامعتبر")))</f>
        <v/>
      </c>
    </row>
    <row r="129" ht="20" customHeight="1">
      <c r="B129" s="86" t="n"/>
      <c r="C129" s="87" t="n"/>
      <c r="D129" s="87" t="n"/>
      <c r="E129" s="87" t="n"/>
      <c r="F129" s="88" t="n"/>
      <c r="G129" s="89" t="n"/>
      <c r="H129" s="90" t="n"/>
      <c r="I129" s="86" t="n"/>
      <c r="J129" s="87" t="n"/>
      <c r="K129" s="91">
        <f>IF($F129="","",$F129*IF($G129="",1,$G129))</f>
        <v/>
      </c>
      <c r="L129" s="92">
        <f>IFERROR(IF($D129="","",INDEX(t_Svc_Rate,MATCH($D129,lst_Service,0))),"")</f>
        <v/>
      </c>
      <c r="M129" s="92">
        <f>IF($L129="","",$L129*IF(p_TierMode="پلکانی",LOOKUP($K129,t_Tier_From,t_Tier_Rate),1))</f>
        <v/>
      </c>
      <c r="N129" s="91">
        <f>IF($K129="","",$K129*$M129)</f>
        <v/>
      </c>
      <c r="O129" s="91">
        <f>IF($N129="","",IF($I129="ابطال",0,MAX(p_Min,MIN(p_Max,$N129))))</f>
        <v/>
      </c>
      <c r="P129" s="91">
        <f>IF($O129="","",ROUND($O129*p_Tax,0))</f>
        <v/>
      </c>
      <c r="Q129" s="91">
        <f>IF($O129="","",$O129+$P129)</f>
        <v/>
      </c>
      <c r="R129" s="92">
        <f>IF($A129="","",IF($H129&lt;&gt;"",$H129,IFERROR(INDEX(t_Member_Share,MATCH($C129,t_Members,0)),p_DefaultShare)))</f>
        <v/>
      </c>
      <c r="S129" s="91">
        <f>IF(OR($Q129="",$R129=""),"",ROUND($Q129*$R129,0))</f>
        <v/>
      </c>
      <c r="T129" s="91">
        <f>IF(OR($Q129="",$S129=""),"",$Q129-$S129)</f>
        <v/>
      </c>
      <c r="U129" s="93">
        <f>IF($B129="","",IFERROR(INDEX(cal_JYear,MATCH($B129,cal_Key,0)),""))</f>
        <v/>
      </c>
      <c r="V129" s="93">
        <f>IF($B129="","",IFERROR(INDEX(cal_JMonth,MATCH($B129,cal_Key,0)),""))</f>
        <v/>
      </c>
      <c r="W129" s="94">
        <f>IF($B129="","",IFERROR(INDEX(cal_YM,MATCH($B129,cal_Key,0)),""))</f>
        <v/>
      </c>
      <c r="X129" s="94">
        <f>IF($B129="","",IFERROR(INDEX(cal_Season,MATCH($B129,cal_Key,0)),""))</f>
        <v/>
      </c>
      <c r="Y129" s="94">
        <f>IF($B129="","",IFERROR(INDEX(cal_Key,MATCH(INDEX(cal_Serial,MATCH($B129,cal_Key,0))+p_Due,cal_Serial,0)),""))</f>
        <v/>
      </c>
      <c r="Z129" s="95">
        <f>IF($B129="","",IF(OR($I129="پرداخت‌شده",$I129="ابطال"),"—",IFERROR(IF(INDEX(cal_Serial,MATCH($B129,cal_Key,0))+p_Due&lt;TODAY(),"بله","خیر"),"تاریخ نامعتبر")))</f>
        <v/>
      </c>
    </row>
    <row r="130" ht="20" customHeight="1">
      <c r="B130" s="86" t="n"/>
      <c r="C130" s="87" t="n"/>
      <c r="D130" s="87" t="n"/>
      <c r="E130" s="87" t="n"/>
      <c r="F130" s="88" t="n"/>
      <c r="G130" s="89" t="n"/>
      <c r="H130" s="90" t="n"/>
      <c r="I130" s="86" t="n"/>
      <c r="J130" s="87" t="n"/>
      <c r="K130" s="91">
        <f>IF($F130="","",$F130*IF($G130="",1,$G130))</f>
        <v/>
      </c>
      <c r="L130" s="92">
        <f>IFERROR(IF($D130="","",INDEX(t_Svc_Rate,MATCH($D130,lst_Service,0))),"")</f>
        <v/>
      </c>
      <c r="M130" s="92">
        <f>IF($L130="","",$L130*IF(p_TierMode="پلکانی",LOOKUP($K130,t_Tier_From,t_Tier_Rate),1))</f>
        <v/>
      </c>
      <c r="N130" s="91">
        <f>IF($K130="","",$K130*$M130)</f>
        <v/>
      </c>
      <c r="O130" s="91">
        <f>IF($N130="","",IF($I130="ابطال",0,MAX(p_Min,MIN(p_Max,$N130))))</f>
        <v/>
      </c>
      <c r="P130" s="91">
        <f>IF($O130="","",ROUND($O130*p_Tax,0))</f>
        <v/>
      </c>
      <c r="Q130" s="91">
        <f>IF($O130="","",$O130+$P130)</f>
        <v/>
      </c>
      <c r="R130" s="92">
        <f>IF($A130="","",IF($H130&lt;&gt;"",$H130,IFERROR(INDEX(t_Member_Share,MATCH($C130,t_Members,0)),p_DefaultShare)))</f>
        <v/>
      </c>
      <c r="S130" s="91">
        <f>IF(OR($Q130="",$R130=""),"",ROUND($Q130*$R130,0))</f>
        <v/>
      </c>
      <c r="T130" s="91">
        <f>IF(OR($Q130="",$S130=""),"",$Q130-$S130)</f>
        <v/>
      </c>
      <c r="U130" s="93">
        <f>IF($B130="","",IFERROR(INDEX(cal_JYear,MATCH($B130,cal_Key,0)),""))</f>
        <v/>
      </c>
      <c r="V130" s="93">
        <f>IF($B130="","",IFERROR(INDEX(cal_JMonth,MATCH($B130,cal_Key,0)),""))</f>
        <v/>
      </c>
      <c r="W130" s="94">
        <f>IF($B130="","",IFERROR(INDEX(cal_YM,MATCH($B130,cal_Key,0)),""))</f>
        <v/>
      </c>
      <c r="X130" s="94">
        <f>IF($B130="","",IFERROR(INDEX(cal_Season,MATCH($B130,cal_Key,0)),""))</f>
        <v/>
      </c>
      <c r="Y130" s="94">
        <f>IF($B130="","",IFERROR(INDEX(cal_Key,MATCH(INDEX(cal_Serial,MATCH($B130,cal_Key,0))+p_Due,cal_Serial,0)),""))</f>
        <v/>
      </c>
      <c r="Z130" s="95">
        <f>IF($B130="","",IF(OR($I130="پرداخت‌شده",$I130="ابطال"),"—",IFERROR(IF(INDEX(cal_Serial,MATCH($B130,cal_Key,0))+p_Due&lt;TODAY(),"بله","خیر"),"تاریخ نامعتبر")))</f>
        <v/>
      </c>
    </row>
    <row r="131" ht="20" customHeight="1">
      <c r="B131" s="86" t="n"/>
      <c r="C131" s="87" t="n"/>
      <c r="D131" s="87" t="n"/>
      <c r="E131" s="87" t="n"/>
      <c r="F131" s="88" t="n"/>
      <c r="G131" s="89" t="n"/>
      <c r="H131" s="90" t="n"/>
      <c r="I131" s="86" t="n"/>
      <c r="J131" s="87" t="n"/>
      <c r="K131" s="91">
        <f>IF($F131="","",$F131*IF($G131="",1,$G131))</f>
        <v/>
      </c>
      <c r="L131" s="92">
        <f>IFERROR(IF($D131="","",INDEX(t_Svc_Rate,MATCH($D131,lst_Service,0))),"")</f>
        <v/>
      </c>
      <c r="M131" s="92">
        <f>IF($L131="","",$L131*IF(p_TierMode="پلکانی",LOOKUP($K131,t_Tier_From,t_Tier_Rate),1))</f>
        <v/>
      </c>
      <c r="N131" s="91">
        <f>IF($K131="","",$K131*$M131)</f>
        <v/>
      </c>
      <c r="O131" s="91">
        <f>IF($N131="","",IF($I131="ابطال",0,MAX(p_Min,MIN(p_Max,$N131))))</f>
        <v/>
      </c>
      <c r="P131" s="91">
        <f>IF($O131="","",ROUND($O131*p_Tax,0))</f>
        <v/>
      </c>
      <c r="Q131" s="91">
        <f>IF($O131="","",$O131+$P131)</f>
        <v/>
      </c>
      <c r="R131" s="92">
        <f>IF($A131="","",IF($H131&lt;&gt;"",$H131,IFERROR(INDEX(t_Member_Share,MATCH($C131,t_Members,0)),p_DefaultShare)))</f>
        <v/>
      </c>
      <c r="S131" s="91">
        <f>IF(OR($Q131="",$R131=""),"",ROUND($Q131*$R131,0))</f>
        <v/>
      </c>
      <c r="T131" s="91">
        <f>IF(OR($Q131="",$S131=""),"",$Q131-$S131)</f>
        <v/>
      </c>
      <c r="U131" s="93">
        <f>IF($B131="","",IFERROR(INDEX(cal_JYear,MATCH($B131,cal_Key,0)),""))</f>
        <v/>
      </c>
      <c r="V131" s="93">
        <f>IF($B131="","",IFERROR(INDEX(cal_JMonth,MATCH($B131,cal_Key,0)),""))</f>
        <v/>
      </c>
      <c r="W131" s="94">
        <f>IF($B131="","",IFERROR(INDEX(cal_YM,MATCH($B131,cal_Key,0)),""))</f>
        <v/>
      </c>
      <c r="X131" s="94">
        <f>IF($B131="","",IFERROR(INDEX(cal_Season,MATCH($B131,cal_Key,0)),""))</f>
        <v/>
      </c>
      <c r="Y131" s="94">
        <f>IF($B131="","",IFERROR(INDEX(cal_Key,MATCH(INDEX(cal_Serial,MATCH($B131,cal_Key,0))+p_Due,cal_Serial,0)),""))</f>
        <v/>
      </c>
      <c r="Z131" s="95">
        <f>IF($B131="","",IF(OR($I131="پرداخت‌شده",$I131="ابطال"),"—",IFERROR(IF(INDEX(cal_Serial,MATCH($B131,cal_Key,0))+p_Due&lt;TODAY(),"بله","خیر"),"تاریخ نامعتبر")))</f>
        <v/>
      </c>
    </row>
    <row r="132" ht="20" customHeight="1">
      <c r="B132" s="86" t="n"/>
      <c r="C132" s="87" t="n"/>
      <c r="D132" s="87" t="n"/>
      <c r="E132" s="87" t="n"/>
      <c r="F132" s="88" t="n"/>
      <c r="G132" s="89" t="n"/>
      <c r="H132" s="90" t="n"/>
      <c r="I132" s="86" t="n"/>
      <c r="J132" s="87" t="n"/>
      <c r="K132" s="91">
        <f>IF($F132="","",$F132*IF($G132="",1,$G132))</f>
        <v/>
      </c>
      <c r="L132" s="92">
        <f>IFERROR(IF($D132="","",INDEX(t_Svc_Rate,MATCH($D132,lst_Service,0))),"")</f>
        <v/>
      </c>
      <c r="M132" s="92">
        <f>IF($L132="","",$L132*IF(p_TierMode="پلکانی",LOOKUP($K132,t_Tier_From,t_Tier_Rate),1))</f>
        <v/>
      </c>
      <c r="N132" s="91">
        <f>IF($K132="","",$K132*$M132)</f>
        <v/>
      </c>
      <c r="O132" s="91">
        <f>IF($N132="","",IF($I132="ابطال",0,MAX(p_Min,MIN(p_Max,$N132))))</f>
        <v/>
      </c>
      <c r="P132" s="91">
        <f>IF($O132="","",ROUND($O132*p_Tax,0))</f>
        <v/>
      </c>
      <c r="Q132" s="91">
        <f>IF($O132="","",$O132+$P132)</f>
        <v/>
      </c>
      <c r="R132" s="92">
        <f>IF($A132="","",IF($H132&lt;&gt;"",$H132,IFERROR(INDEX(t_Member_Share,MATCH($C132,t_Members,0)),p_DefaultShare)))</f>
        <v/>
      </c>
      <c r="S132" s="91">
        <f>IF(OR($Q132="",$R132=""),"",ROUND($Q132*$R132,0))</f>
        <v/>
      </c>
      <c r="T132" s="91">
        <f>IF(OR($Q132="",$S132=""),"",$Q132-$S132)</f>
        <v/>
      </c>
      <c r="U132" s="93">
        <f>IF($B132="","",IFERROR(INDEX(cal_JYear,MATCH($B132,cal_Key,0)),""))</f>
        <v/>
      </c>
      <c r="V132" s="93">
        <f>IF($B132="","",IFERROR(INDEX(cal_JMonth,MATCH($B132,cal_Key,0)),""))</f>
        <v/>
      </c>
      <c r="W132" s="94">
        <f>IF($B132="","",IFERROR(INDEX(cal_YM,MATCH($B132,cal_Key,0)),""))</f>
        <v/>
      </c>
      <c r="X132" s="94">
        <f>IF($B132="","",IFERROR(INDEX(cal_Season,MATCH($B132,cal_Key,0)),""))</f>
        <v/>
      </c>
      <c r="Y132" s="94">
        <f>IF($B132="","",IFERROR(INDEX(cal_Key,MATCH(INDEX(cal_Serial,MATCH($B132,cal_Key,0))+p_Due,cal_Serial,0)),""))</f>
        <v/>
      </c>
      <c r="Z132" s="95">
        <f>IF($B132="","",IF(OR($I132="پرداخت‌شده",$I132="ابطال"),"—",IFERROR(IF(INDEX(cal_Serial,MATCH($B132,cal_Key,0))+p_Due&lt;TODAY(),"بله","خیر"),"تاریخ نامعتبر")))</f>
        <v/>
      </c>
    </row>
    <row r="133" ht="20" customHeight="1">
      <c r="B133" s="86" t="n"/>
      <c r="C133" s="87" t="n"/>
      <c r="D133" s="87" t="n"/>
      <c r="E133" s="87" t="n"/>
      <c r="F133" s="88" t="n"/>
      <c r="G133" s="89" t="n"/>
      <c r="H133" s="90" t="n"/>
      <c r="I133" s="86" t="n"/>
      <c r="J133" s="87" t="n"/>
      <c r="K133" s="91">
        <f>IF($F133="","",$F133*IF($G133="",1,$G133))</f>
        <v/>
      </c>
      <c r="L133" s="92">
        <f>IFERROR(IF($D133="","",INDEX(t_Svc_Rate,MATCH($D133,lst_Service,0))),"")</f>
        <v/>
      </c>
      <c r="M133" s="92">
        <f>IF($L133="","",$L133*IF(p_TierMode="پلکانی",LOOKUP($K133,t_Tier_From,t_Tier_Rate),1))</f>
        <v/>
      </c>
      <c r="N133" s="91">
        <f>IF($K133="","",$K133*$M133)</f>
        <v/>
      </c>
      <c r="O133" s="91">
        <f>IF($N133="","",IF($I133="ابطال",0,MAX(p_Min,MIN(p_Max,$N133))))</f>
        <v/>
      </c>
      <c r="P133" s="91">
        <f>IF($O133="","",ROUND($O133*p_Tax,0))</f>
        <v/>
      </c>
      <c r="Q133" s="91">
        <f>IF($O133="","",$O133+$P133)</f>
        <v/>
      </c>
      <c r="R133" s="92">
        <f>IF($A133="","",IF($H133&lt;&gt;"",$H133,IFERROR(INDEX(t_Member_Share,MATCH($C133,t_Members,0)),p_DefaultShare)))</f>
        <v/>
      </c>
      <c r="S133" s="91">
        <f>IF(OR($Q133="",$R133=""),"",ROUND($Q133*$R133,0))</f>
        <v/>
      </c>
      <c r="T133" s="91">
        <f>IF(OR($Q133="",$S133=""),"",$Q133-$S133)</f>
        <v/>
      </c>
      <c r="U133" s="93">
        <f>IF($B133="","",IFERROR(INDEX(cal_JYear,MATCH($B133,cal_Key,0)),""))</f>
        <v/>
      </c>
      <c r="V133" s="93">
        <f>IF($B133="","",IFERROR(INDEX(cal_JMonth,MATCH($B133,cal_Key,0)),""))</f>
        <v/>
      </c>
      <c r="W133" s="94">
        <f>IF($B133="","",IFERROR(INDEX(cal_YM,MATCH($B133,cal_Key,0)),""))</f>
        <v/>
      </c>
      <c r="X133" s="94">
        <f>IF($B133="","",IFERROR(INDEX(cal_Season,MATCH($B133,cal_Key,0)),""))</f>
        <v/>
      </c>
      <c r="Y133" s="94">
        <f>IF($B133="","",IFERROR(INDEX(cal_Key,MATCH(INDEX(cal_Serial,MATCH($B133,cal_Key,0))+p_Due,cal_Serial,0)),""))</f>
        <v/>
      </c>
      <c r="Z133" s="95">
        <f>IF($B133="","",IF(OR($I133="پرداخت‌شده",$I133="ابطال"),"—",IFERROR(IF(INDEX(cal_Serial,MATCH($B133,cal_Key,0))+p_Due&lt;TODAY(),"بله","خیر"),"تاریخ نامعتبر")))</f>
        <v/>
      </c>
    </row>
    <row r="134" ht="20" customHeight="1">
      <c r="B134" s="86" t="n"/>
      <c r="C134" s="87" t="n"/>
      <c r="D134" s="87" t="n"/>
      <c r="E134" s="87" t="n"/>
      <c r="F134" s="88" t="n"/>
      <c r="G134" s="89" t="n"/>
      <c r="H134" s="90" t="n"/>
      <c r="I134" s="86" t="n"/>
      <c r="J134" s="87" t="n"/>
      <c r="K134" s="91">
        <f>IF($F134="","",$F134*IF($G134="",1,$G134))</f>
        <v/>
      </c>
      <c r="L134" s="92">
        <f>IFERROR(IF($D134="","",INDEX(t_Svc_Rate,MATCH($D134,lst_Service,0))),"")</f>
        <v/>
      </c>
      <c r="M134" s="92">
        <f>IF($L134="","",$L134*IF(p_TierMode="پلکانی",LOOKUP($K134,t_Tier_From,t_Tier_Rate),1))</f>
        <v/>
      </c>
      <c r="N134" s="91">
        <f>IF($K134="","",$K134*$M134)</f>
        <v/>
      </c>
      <c r="O134" s="91">
        <f>IF($N134="","",IF($I134="ابطال",0,MAX(p_Min,MIN(p_Max,$N134))))</f>
        <v/>
      </c>
      <c r="P134" s="91">
        <f>IF($O134="","",ROUND($O134*p_Tax,0))</f>
        <v/>
      </c>
      <c r="Q134" s="91">
        <f>IF($O134="","",$O134+$P134)</f>
        <v/>
      </c>
      <c r="R134" s="92">
        <f>IF($A134="","",IF($H134&lt;&gt;"",$H134,IFERROR(INDEX(t_Member_Share,MATCH($C134,t_Members,0)),p_DefaultShare)))</f>
        <v/>
      </c>
      <c r="S134" s="91">
        <f>IF(OR($Q134="",$R134=""),"",ROUND($Q134*$R134,0))</f>
        <v/>
      </c>
      <c r="T134" s="91">
        <f>IF(OR($Q134="",$S134=""),"",$Q134-$S134)</f>
        <v/>
      </c>
      <c r="U134" s="93">
        <f>IF($B134="","",IFERROR(INDEX(cal_JYear,MATCH($B134,cal_Key,0)),""))</f>
        <v/>
      </c>
      <c r="V134" s="93">
        <f>IF($B134="","",IFERROR(INDEX(cal_JMonth,MATCH($B134,cal_Key,0)),""))</f>
        <v/>
      </c>
      <c r="W134" s="94">
        <f>IF($B134="","",IFERROR(INDEX(cal_YM,MATCH($B134,cal_Key,0)),""))</f>
        <v/>
      </c>
      <c r="X134" s="94">
        <f>IF($B134="","",IFERROR(INDEX(cal_Season,MATCH($B134,cal_Key,0)),""))</f>
        <v/>
      </c>
      <c r="Y134" s="94">
        <f>IF($B134="","",IFERROR(INDEX(cal_Key,MATCH(INDEX(cal_Serial,MATCH($B134,cal_Key,0))+p_Due,cal_Serial,0)),""))</f>
        <v/>
      </c>
      <c r="Z134" s="95">
        <f>IF($B134="","",IF(OR($I134="پرداخت‌شده",$I134="ابطال"),"—",IFERROR(IF(INDEX(cal_Serial,MATCH($B134,cal_Key,0))+p_Due&lt;TODAY(),"بله","خیر"),"تاریخ نامعتبر")))</f>
        <v/>
      </c>
    </row>
    <row r="135" ht="20" customHeight="1">
      <c r="B135" s="86" t="n"/>
      <c r="C135" s="87" t="n"/>
      <c r="D135" s="87" t="n"/>
      <c r="E135" s="87" t="n"/>
      <c r="F135" s="88" t="n"/>
      <c r="G135" s="89" t="n"/>
      <c r="H135" s="90" t="n"/>
      <c r="I135" s="86" t="n"/>
      <c r="J135" s="87" t="n"/>
      <c r="K135" s="91">
        <f>IF($F135="","",$F135*IF($G135="",1,$G135))</f>
        <v/>
      </c>
      <c r="L135" s="92">
        <f>IFERROR(IF($D135="","",INDEX(t_Svc_Rate,MATCH($D135,lst_Service,0))),"")</f>
        <v/>
      </c>
      <c r="M135" s="92">
        <f>IF($L135="","",$L135*IF(p_TierMode="پلکانی",LOOKUP($K135,t_Tier_From,t_Tier_Rate),1))</f>
        <v/>
      </c>
      <c r="N135" s="91">
        <f>IF($K135="","",$K135*$M135)</f>
        <v/>
      </c>
      <c r="O135" s="91">
        <f>IF($N135="","",IF($I135="ابطال",0,MAX(p_Min,MIN(p_Max,$N135))))</f>
        <v/>
      </c>
      <c r="P135" s="91">
        <f>IF($O135="","",ROUND($O135*p_Tax,0))</f>
        <v/>
      </c>
      <c r="Q135" s="91">
        <f>IF($O135="","",$O135+$P135)</f>
        <v/>
      </c>
      <c r="R135" s="92">
        <f>IF($A135="","",IF($H135&lt;&gt;"",$H135,IFERROR(INDEX(t_Member_Share,MATCH($C135,t_Members,0)),p_DefaultShare)))</f>
        <v/>
      </c>
      <c r="S135" s="91">
        <f>IF(OR($Q135="",$R135=""),"",ROUND($Q135*$R135,0))</f>
        <v/>
      </c>
      <c r="T135" s="91">
        <f>IF(OR($Q135="",$S135=""),"",$Q135-$S135)</f>
        <v/>
      </c>
      <c r="U135" s="93">
        <f>IF($B135="","",IFERROR(INDEX(cal_JYear,MATCH($B135,cal_Key,0)),""))</f>
        <v/>
      </c>
      <c r="V135" s="93">
        <f>IF($B135="","",IFERROR(INDEX(cal_JMonth,MATCH($B135,cal_Key,0)),""))</f>
        <v/>
      </c>
      <c r="W135" s="94">
        <f>IF($B135="","",IFERROR(INDEX(cal_YM,MATCH($B135,cal_Key,0)),""))</f>
        <v/>
      </c>
      <c r="X135" s="94">
        <f>IF($B135="","",IFERROR(INDEX(cal_Season,MATCH($B135,cal_Key,0)),""))</f>
        <v/>
      </c>
      <c r="Y135" s="94">
        <f>IF($B135="","",IFERROR(INDEX(cal_Key,MATCH(INDEX(cal_Serial,MATCH($B135,cal_Key,0))+p_Due,cal_Serial,0)),""))</f>
        <v/>
      </c>
      <c r="Z135" s="95">
        <f>IF($B135="","",IF(OR($I135="پرداخت‌شده",$I135="ابطال"),"—",IFERROR(IF(INDEX(cal_Serial,MATCH($B135,cal_Key,0))+p_Due&lt;TODAY(),"بله","خیر"),"تاریخ نامعتبر")))</f>
        <v/>
      </c>
    </row>
    <row r="136" ht="20" customHeight="1">
      <c r="B136" s="86" t="n"/>
      <c r="C136" s="87" t="n"/>
      <c r="D136" s="87" t="n"/>
      <c r="E136" s="87" t="n"/>
      <c r="F136" s="88" t="n"/>
      <c r="G136" s="89" t="n"/>
      <c r="H136" s="90" t="n"/>
      <c r="I136" s="86" t="n"/>
      <c r="J136" s="87" t="n"/>
      <c r="K136" s="91">
        <f>IF($F136="","",$F136*IF($G136="",1,$G136))</f>
        <v/>
      </c>
      <c r="L136" s="92">
        <f>IFERROR(IF($D136="","",INDEX(t_Svc_Rate,MATCH($D136,lst_Service,0))),"")</f>
        <v/>
      </c>
      <c r="M136" s="92">
        <f>IF($L136="","",$L136*IF(p_TierMode="پلکانی",LOOKUP($K136,t_Tier_From,t_Tier_Rate),1))</f>
        <v/>
      </c>
      <c r="N136" s="91">
        <f>IF($K136="","",$K136*$M136)</f>
        <v/>
      </c>
      <c r="O136" s="91">
        <f>IF($N136="","",IF($I136="ابطال",0,MAX(p_Min,MIN(p_Max,$N136))))</f>
        <v/>
      </c>
      <c r="P136" s="91">
        <f>IF($O136="","",ROUND($O136*p_Tax,0))</f>
        <v/>
      </c>
      <c r="Q136" s="91">
        <f>IF($O136="","",$O136+$P136)</f>
        <v/>
      </c>
      <c r="R136" s="92">
        <f>IF($A136="","",IF($H136&lt;&gt;"",$H136,IFERROR(INDEX(t_Member_Share,MATCH($C136,t_Members,0)),p_DefaultShare)))</f>
        <v/>
      </c>
      <c r="S136" s="91">
        <f>IF(OR($Q136="",$R136=""),"",ROUND($Q136*$R136,0))</f>
        <v/>
      </c>
      <c r="T136" s="91">
        <f>IF(OR($Q136="",$S136=""),"",$Q136-$S136)</f>
        <v/>
      </c>
      <c r="U136" s="93">
        <f>IF($B136="","",IFERROR(INDEX(cal_JYear,MATCH($B136,cal_Key,0)),""))</f>
        <v/>
      </c>
      <c r="V136" s="93">
        <f>IF($B136="","",IFERROR(INDEX(cal_JMonth,MATCH($B136,cal_Key,0)),""))</f>
        <v/>
      </c>
      <c r="W136" s="94">
        <f>IF($B136="","",IFERROR(INDEX(cal_YM,MATCH($B136,cal_Key,0)),""))</f>
        <v/>
      </c>
      <c r="X136" s="94">
        <f>IF($B136="","",IFERROR(INDEX(cal_Season,MATCH($B136,cal_Key,0)),""))</f>
        <v/>
      </c>
      <c r="Y136" s="94">
        <f>IF($B136="","",IFERROR(INDEX(cal_Key,MATCH(INDEX(cal_Serial,MATCH($B136,cal_Key,0))+p_Due,cal_Serial,0)),""))</f>
        <v/>
      </c>
      <c r="Z136" s="95">
        <f>IF($B136="","",IF(OR($I136="پرداخت‌شده",$I136="ابطال"),"—",IFERROR(IF(INDEX(cal_Serial,MATCH($B136,cal_Key,0))+p_Due&lt;TODAY(),"بله","خیر"),"تاریخ نامعتبر")))</f>
        <v/>
      </c>
    </row>
    <row r="137" ht="20" customHeight="1">
      <c r="B137" s="86" t="n"/>
      <c r="C137" s="87" t="n"/>
      <c r="D137" s="87" t="n"/>
      <c r="E137" s="87" t="n"/>
      <c r="F137" s="88" t="n"/>
      <c r="G137" s="89" t="n"/>
      <c r="H137" s="90" t="n"/>
      <c r="I137" s="86" t="n"/>
      <c r="J137" s="87" t="n"/>
      <c r="K137" s="91">
        <f>IF($F137="","",$F137*IF($G137="",1,$G137))</f>
        <v/>
      </c>
      <c r="L137" s="92">
        <f>IFERROR(IF($D137="","",INDEX(t_Svc_Rate,MATCH($D137,lst_Service,0))),"")</f>
        <v/>
      </c>
      <c r="M137" s="92">
        <f>IF($L137="","",$L137*IF(p_TierMode="پلکانی",LOOKUP($K137,t_Tier_From,t_Tier_Rate),1))</f>
        <v/>
      </c>
      <c r="N137" s="91">
        <f>IF($K137="","",$K137*$M137)</f>
        <v/>
      </c>
      <c r="O137" s="91">
        <f>IF($N137="","",IF($I137="ابطال",0,MAX(p_Min,MIN(p_Max,$N137))))</f>
        <v/>
      </c>
      <c r="P137" s="91">
        <f>IF($O137="","",ROUND($O137*p_Tax,0))</f>
        <v/>
      </c>
      <c r="Q137" s="91">
        <f>IF($O137="","",$O137+$P137)</f>
        <v/>
      </c>
      <c r="R137" s="92">
        <f>IF($A137="","",IF($H137&lt;&gt;"",$H137,IFERROR(INDEX(t_Member_Share,MATCH($C137,t_Members,0)),p_DefaultShare)))</f>
        <v/>
      </c>
      <c r="S137" s="91">
        <f>IF(OR($Q137="",$R137=""),"",ROUND($Q137*$R137,0))</f>
        <v/>
      </c>
      <c r="T137" s="91">
        <f>IF(OR($Q137="",$S137=""),"",$Q137-$S137)</f>
        <v/>
      </c>
      <c r="U137" s="93">
        <f>IF($B137="","",IFERROR(INDEX(cal_JYear,MATCH($B137,cal_Key,0)),""))</f>
        <v/>
      </c>
      <c r="V137" s="93">
        <f>IF($B137="","",IFERROR(INDEX(cal_JMonth,MATCH($B137,cal_Key,0)),""))</f>
        <v/>
      </c>
      <c r="W137" s="94">
        <f>IF($B137="","",IFERROR(INDEX(cal_YM,MATCH($B137,cal_Key,0)),""))</f>
        <v/>
      </c>
      <c r="X137" s="94">
        <f>IF($B137="","",IFERROR(INDEX(cal_Season,MATCH($B137,cal_Key,0)),""))</f>
        <v/>
      </c>
      <c r="Y137" s="94">
        <f>IF($B137="","",IFERROR(INDEX(cal_Key,MATCH(INDEX(cal_Serial,MATCH($B137,cal_Key,0))+p_Due,cal_Serial,0)),""))</f>
        <v/>
      </c>
      <c r="Z137" s="95">
        <f>IF($B137="","",IF(OR($I137="پرداخت‌شده",$I137="ابطال"),"—",IFERROR(IF(INDEX(cal_Serial,MATCH($B137,cal_Key,0))+p_Due&lt;TODAY(),"بله","خیر"),"تاریخ نامعتبر")))</f>
        <v/>
      </c>
    </row>
    <row r="138" ht="20" customHeight="1">
      <c r="B138" s="86" t="n"/>
      <c r="C138" s="87" t="n"/>
      <c r="D138" s="87" t="n"/>
      <c r="E138" s="87" t="n"/>
      <c r="F138" s="88" t="n"/>
      <c r="G138" s="89" t="n"/>
      <c r="H138" s="90" t="n"/>
      <c r="I138" s="86" t="n"/>
      <c r="J138" s="87" t="n"/>
      <c r="K138" s="91">
        <f>IF($F138="","",$F138*IF($G138="",1,$G138))</f>
        <v/>
      </c>
      <c r="L138" s="92">
        <f>IFERROR(IF($D138="","",INDEX(t_Svc_Rate,MATCH($D138,lst_Service,0))),"")</f>
        <v/>
      </c>
      <c r="M138" s="92">
        <f>IF($L138="","",$L138*IF(p_TierMode="پلکانی",LOOKUP($K138,t_Tier_From,t_Tier_Rate),1))</f>
        <v/>
      </c>
      <c r="N138" s="91">
        <f>IF($K138="","",$K138*$M138)</f>
        <v/>
      </c>
      <c r="O138" s="91">
        <f>IF($N138="","",IF($I138="ابطال",0,MAX(p_Min,MIN(p_Max,$N138))))</f>
        <v/>
      </c>
      <c r="P138" s="91">
        <f>IF($O138="","",ROUND($O138*p_Tax,0))</f>
        <v/>
      </c>
      <c r="Q138" s="91">
        <f>IF($O138="","",$O138+$P138)</f>
        <v/>
      </c>
      <c r="R138" s="92">
        <f>IF($A138="","",IF($H138&lt;&gt;"",$H138,IFERROR(INDEX(t_Member_Share,MATCH($C138,t_Members,0)),p_DefaultShare)))</f>
        <v/>
      </c>
      <c r="S138" s="91">
        <f>IF(OR($Q138="",$R138=""),"",ROUND($Q138*$R138,0))</f>
        <v/>
      </c>
      <c r="T138" s="91">
        <f>IF(OR($Q138="",$S138=""),"",$Q138-$S138)</f>
        <v/>
      </c>
      <c r="U138" s="93">
        <f>IF($B138="","",IFERROR(INDEX(cal_JYear,MATCH($B138,cal_Key,0)),""))</f>
        <v/>
      </c>
      <c r="V138" s="93">
        <f>IF($B138="","",IFERROR(INDEX(cal_JMonth,MATCH($B138,cal_Key,0)),""))</f>
        <v/>
      </c>
      <c r="W138" s="94">
        <f>IF($B138="","",IFERROR(INDEX(cal_YM,MATCH($B138,cal_Key,0)),""))</f>
        <v/>
      </c>
      <c r="X138" s="94">
        <f>IF($B138="","",IFERROR(INDEX(cal_Season,MATCH($B138,cal_Key,0)),""))</f>
        <v/>
      </c>
      <c r="Y138" s="94">
        <f>IF($B138="","",IFERROR(INDEX(cal_Key,MATCH(INDEX(cal_Serial,MATCH($B138,cal_Key,0))+p_Due,cal_Serial,0)),""))</f>
        <v/>
      </c>
      <c r="Z138" s="95">
        <f>IF($B138="","",IF(OR($I138="پرداخت‌شده",$I138="ابطال"),"—",IFERROR(IF(INDEX(cal_Serial,MATCH($B138,cal_Key,0))+p_Due&lt;TODAY(),"بله","خیر"),"تاریخ نامعتبر")))</f>
        <v/>
      </c>
    </row>
    <row r="139" ht="20" customHeight="1">
      <c r="B139" s="86" t="n"/>
      <c r="C139" s="87" t="n"/>
      <c r="D139" s="87" t="n"/>
      <c r="E139" s="87" t="n"/>
      <c r="F139" s="88" t="n"/>
      <c r="G139" s="89" t="n"/>
      <c r="H139" s="90" t="n"/>
      <c r="I139" s="86" t="n"/>
      <c r="J139" s="87" t="n"/>
      <c r="K139" s="91">
        <f>IF($F139="","",$F139*IF($G139="",1,$G139))</f>
        <v/>
      </c>
      <c r="L139" s="92">
        <f>IFERROR(IF($D139="","",INDEX(t_Svc_Rate,MATCH($D139,lst_Service,0))),"")</f>
        <v/>
      </c>
      <c r="M139" s="92">
        <f>IF($L139="","",$L139*IF(p_TierMode="پلکانی",LOOKUP($K139,t_Tier_From,t_Tier_Rate),1))</f>
        <v/>
      </c>
      <c r="N139" s="91">
        <f>IF($K139="","",$K139*$M139)</f>
        <v/>
      </c>
      <c r="O139" s="91">
        <f>IF($N139="","",IF($I139="ابطال",0,MAX(p_Min,MIN(p_Max,$N139))))</f>
        <v/>
      </c>
      <c r="P139" s="91">
        <f>IF($O139="","",ROUND($O139*p_Tax,0))</f>
        <v/>
      </c>
      <c r="Q139" s="91">
        <f>IF($O139="","",$O139+$P139)</f>
        <v/>
      </c>
      <c r="R139" s="92">
        <f>IF($A139="","",IF($H139&lt;&gt;"",$H139,IFERROR(INDEX(t_Member_Share,MATCH($C139,t_Members,0)),p_DefaultShare)))</f>
        <v/>
      </c>
      <c r="S139" s="91">
        <f>IF(OR($Q139="",$R139=""),"",ROUND($Q139*$R139,0))</f>
        <v/>
      </c>
      <c r="T139" s="91">
        <f>IF(OR($Q139="",$S139=""),"",$Q139-$S139)</f>
        <v/>
      </c>
      <c r="U139" s="93">
        <f>IF($B139="","",IFERROR(INDEX(cal_JYear,MATCH($B139,cal_Key,0)),""))</f>
        <v/>
      </c>
      <c r="V139" s="93">
        <f>IF($B139="","",IFERROR(INDEX(cal_JMonth,MATCH($B139,cal_Key,0)),""))</f>
        <v/>
      </c>
      <c r="W139" s="94">
        <f>IF($B139="","",IFERROR(INDEX(cal_YM,MATCH($B139,cal_Key,0)),""))</f>
        <v/>
      </c>
      <c r="X139" s="94">
        <f>IF($B139="","",IFERROR(INDEX(cal_Season,MATCH($B139,cal_Key,0)),""))</f>
        <v/>
      </c>
      <c r="Y139" s="94">
        <f>IF($B139="","",IFERROR(INDEX(cal_Key,MATCH(INDEX(cal_Serial,MATCH($B139,cal_Key,0))+p_Due,cal_Serial,0)),""))</f>
        <v/>
      </c>
      <c r="Z139" s="95">
        <f>IF($B139="","",IF(OR($I139="پرداخت‌شده",$I139="ابطال"),"—",IFERROR(IF(INDEX(cal_Serial,MATCH($B139,cal_Key,0))+p_Due&lt;TODAY(),"بله","خیر"),"تاریخ نامعتبر")))</f>
        <v/>
      </c>
    </row>
    <row r="140" ht="20" customHeight="1">
      <c r="B140" s="86" t="n"/>
      <c r="C140" s="87" t="n"/>
      <c r="D140" s="87" t="n"/>
      <c r="E140" s="87" t="n"/>
      <c r="F140" s="88" t="n"/>
      <c r="G140" s="89" t="n"/>
      <c r="H140" s="90" t="n"/>
      <c r="I140" s="86" t="n"/>
      <c r="J140" s="87" t="n"/>
      <c r="K140" s="91">
        <f>IF($F140="","",$F140*IF($G140="",1,$G140))</f>
        <v/>
      </c>
      <c r="L140" s="92">
        <f>IFERROR(IF($D140="","",INDEX(t_Svc_Rate,MATCH($D140,lst_Service,0))),"")</f>
        <v/>
      </c>
      <c r="M140" s="92">
        <f>IF($L140="","",$L140*IF(p_TierMode="پلکانی",LOOKUP($K140,t_Tier_From,t_Tier_Rate),1))</f>
        <v/>
      </c>
      <c r="N140" s="91">
        <f>IF($K140="","",$K140*$M140)</f>
        <v/>
      </c>
      <c r="O140" s="91">
        <f>IF($N140="","",IF($I140="ابطال",0,MAX(p_Min,MIN(p_Max,$N140))))</f>
        <v/>
      </c>
      <c r="P140" s="91">
        <f>IF($O140="","",ROUND($O140*p_Tax,0))</f>
        <v/>
      </c>
      <c r="Q140" s="91">
        <f>IF($O140="","",$O140+$P140)</f>
        <v/>
      </c>
      <c r="R140" s="92">
        <f>IF($A140="","",IF($H140&lt;&gt;"",$H140,IFERROR(INDEX(t_Member_Share,MATCH($C140,t_Members,0)),p_DefaultShare)))</f>
        <v/>
      </c>
      <c r="S140" s="91">
        <f>IF(OR($Q140="",$R140=""),"",ROUND($Q140*$R140,0))</f>
        <v/>
      </c>
      <c r="T140" s="91">
        <f>IF(OR($Q140="",$S140=""),"",$Q140-$S140)</f>
        <v/>
      </c>
      <c r="U140" s="93">
        <f>IF($B140="","",IFERROR(INDEX(cal_JYear,MATCH($B140,cal_Key,0)),""))</f>
        <v/>
      </c>
      <c r="V140" s="93">
        <f>IF($B140="","",IFERROR(INDEX(cal_JMonth,MATCH($B140,cal_Key,0)),""))</f>
        <v/>
      </c>
      <c r="W140" s="94">
        <f>IF($B140="","",IFERROR(INDEX(cal_YM,MATCH($B140,cal_Key,0)),""))</f>
        <v/>
      </c>
      <c r="X140" s="94">
        <f>IF($B140="","",IFERROR(INDEX(cal_Season,MATCH($B140,cal_Key,0)),""))</f>
        <v/>
      </c>
      <c r="Y140" s="94">
        <f>IF($B140="","",IFERROR(INDEX(cal_Key,MATCH(INDEX(cal_Serial,MATCH($B140,cal_Key,0))+p_Due,cal_Serial,0)),""))</f>
        <v/>
      </c>
      <c r="Z140" s="95">
        <f>IF($B140="","",IF(OR($I140="پرداخت‌شده",$I140="ابطال"),"—",IFERROR(IF(INDEX(cal_Serial,MATCH($B140,cal_Key,0))+p_Due&lt;TODAY(),"بله","خیر"),"تاریخ نامعتبر")))</f>
        <v/>
      </c>
    </row>
    <row r="141" ht="20" customHeight="1">
      <c r="B141" s="86" t="n"/>
      <c r="C141" s="87" t="n"/>
      <c r="D141" s="87" t="n"/>
      <c r="E141" s="87" t="n"/>
      <c r="F141" s="88" t="n"/>
      <c r="G141" s="89" t="n"/>
      <c r="H141" s="90" t="n"/>
      <c r="I141" s="86" t="n"/>
      <c r="J141" s="87" t="n"/>
      <c r="K141" s="91">
        <f>IF($F141="","",$F141*IF($G141="",1,$G141))</f>
        <v/>
      </c>
      <c r="L141" s="92">
        <f>IFERROR(IF($D141="","",INDEX(t_Svc_Rate,MATCH($D141,lst_Service,0))),"")</f>
        <v/>
      </c>
      <c r="M141" s="92">
        <f>IF($L141="","",$L141*IF(p_TierMode="پلکانی",LOOKUP($K141,t_Tier_From,t_Tier_Rate),1))</f>
        <v/>
      </c>
      <c r="N141" s="91">
        <f>IF($K141="","",$K141*$M141)</f>
        <v/>
      </c>
      <c r="O141" s="91">
        <f>IF($N141="","",IF($I141="ابطال",0,MAX(p_Min,MIN(p_Max,$N141))))</f>
        <v/>
      </c>
      <c r="P141" s="91">
        <f>IF($O141="","",ROUND($O141*p_Tax,0))</f>
        <v/>
      </c>
      <c r="Q141" s="91">
        <f>IF($O141="","",$O141+$P141)</f>
        <v/>
      </c>
      <c r="R141" s="92">
        <f>IF($A141="","",IF($H141&lt;&gt;"",$H141,IFERROR(INDEX(t_Member_Share,MATCH($C141,t_Members,0)),p_DefaultShare)))</f>
        <v/>
      </c>
      <c r="S141" s="91">
        <f>IF(OR($Q141="",$R141=""),"",ROUND($Q141*$R141,0))</f>
        <v/>
      </c>
      <c r="T141" s="91">
        <f>IF(OR($Q141="",$S141=""),"",$Q141-$S141)</f>
        <v/>
      </c>
      <c r="U141" s="93">
        <f>IF($B141="","",IFERROR(INDEX(cal_JYear,MATCH($B141,cal_Key,0)),""))</f>
        <v/>
      </c>
      <c r="V141" s="93">
        <f>IF($B141="","",IFERROR(INDEX(cal_JMonth,MATCH($B141,cal_Key,0)),""))</f>
        <v/>
      </c>
      <c r="W141" s="94">
        <f>IF($B141="","",IFERROR(INDEX(cal_YM,MATCH($B141,cal_Key,0)),""))</f>
        <v/>
      </c>
      <c r="X141" s="94">
        <f>IF($B141="","",IFERROR(INDEX(cal_Season,MATCH($B141,cal_Key,0)),""))</f>
        <v/>
      </c>
      <c r="Y141" s="94">
        <f>IF($B141="","",IFERROR(INDEX(cal_Key,MATCH(INDEX(cal_Serial,MATCH($B141,cal_Key,0))+p_Due,cal_Serial,0)),""))</f>
        <v/>
      </c>
      <c r="Z141" s="95">
        <f>IF($B141="","",IF(OR($I141="پرداخت‌شده",$I141="ابطال"),"—",IFERROR(IF(INDEX(cal_Serial,MATCH($B141,cal_Key,0))+p_Due&lt;TODAY(),"بله","خیر"),"تاریخ نامعتبر")))</f>
        <v/>
      </c>
    </row>
    <row r="142" ht="20" customHeight="1">
      <c r="B142" s="86" t="n"/>
      <c r="C142" s="87" t="n"/>
      <c r="D142" s="87" t="n"/>
      <c r="E142" s="87" t="n"/>
      <c r="F142" s="88" t="n"/>
      <c r="G142" s="89" t="n"/>
      <c r="H142" s="90" t="n"/>
      <c r="I142" s="86" t="n"/>
      <c r="J142" s="87" t="n"/>
      <c r="K142" s="91">
        <f>IF($F142="","",$F142*IF($G142="",1,$G142))</f>
        <v/>
      </c>
      <c r="L142" s="92">
        <f>IFERROR(IF($D142="","",INDEX(t_Svc_Rate,MATCH($D142,lst_Service,0))),"")</f>
        <v/>
      </c>
      <c r="M142" s="92">
        <f>IF($L142="","",$L142*IF(p_TierMode="پلکانی",LOOKUP($K142,t_Tier_From,t_Tier_Rate),1))</f>
        <v/>
      </c>
      <c r="N142" s="91">
        <f>IF($K142="","",$K142*$M142)</f>
        <v/>
      </c>
      <c r="O142" s="91">
        <f>IF($N142="","",IF($I142="ابطال",0,MAX(p_Min,MIN(p_Max,$N142))))</f>
        <v/>
      </c>
      <c r="P142" s="91">
        <f>IF($O142="","",ROUND($O142*p_Tax,0))</f>
        <v/>
      </c>
      <c r="Q142" s="91">
        <f>IF($O142="","",$O142+$P142)</f>
        <v/>
      </c>
      <c r="R142" s="92">
        <f>IF($A142="","",IF($H142&lt;&gt;"",$H142,IFERROR(INDEX(t_Member_Share,MATCH($C142,t_Members,0)),p_DefaultShare)))</f>
        <v/>
      </c>
      <c r="S142" s="91">
        <f>IF(OR($Q142="",$R142=""),"",ROUND($Q142*$R142,0))</f>
        <v/>
      </c>
      <c r="T142" s="91">
        <f>IF(OR($Q142="",$S142=""),"",$Q142-$S142)</f>
        <v/>
      </c>
      <c r="U142" s="93">
        <f>IF($B142="","",IFERROR(INDEX(cal_JYear,MATCH($B142,cal_Key,0)),""))</f>
        <v/>
      </c>
      <c r="V142" s="93">
        <f>IF($B142="","",IFERROR(INDEX(cal_JMonth,MATCH($B142,cal_Key,0)),""))</f>
        <v/>
      </c>
      <c r="W142" s="94">
        <f>IF($B142="","",IFERROR(INDEX(cal_YM,MATCH($B142,cal_Key,0)),""))</f>
        <v/>
      </c>
      <c r="X142" s="94">
        <f>IF($B142="","",IFERROR(INDEX(cal_Season,MATCH($B142,cal_Key,0)),""))</f>
        <v/>
      </c>
      <c r="Y142" s="94">
        <f>IF($B142="","",IFERROR(INDEX(cal_Key,MATCH(INDEX(cal_Serial,MATCH($B142,cal_Key,0))+p_Due,cal_Serial,0)),""))</f>
        <v/>
      </c>
      <c r="Z142" s="95">
        <f>IF($B142="","",IF(OR($I142="پرداخت‌شده",$I142="ابطال"),"—",IFERROR(IF(INDEX(cal_Serial,MATCH($B142,cal_Key,0))+p_Due&lt;TODAY(),"بله","خیر"),"تاریخ نامعتبر")))</f>
        <v/>
      </c>
    </row>
    <row r="143" ht="20" customHeight="1">
      <c r="B143" s="86" t="n"/>
      <c r="C143" s="87" t="n"/>
      <c r="D143" s="87" t="n"/>
      <c r="E143" s="87" t="n"/>
      <c r="F143" s="88" t="n"/>
      <c r="G143" s="89" t="n"/>
      <c r="H143" s="90" t="n"/>
      <c r="I143" s="86" t="n"/>
      <c r="J143" s="87" t="n"/>
      <c r="K143" s="91">
        <f>IF($F143="","",$F143*IF($G143="",1,$G143))</f>
        <v/>
      </c>
      <c r="L143" s="92">
        <f>IFERROR(IF($D143="","",INDEX(t_Svc_Rate,MATCH($D143,lst_Service,0))),"")</f>
        <v/>
      </c>
      <c r="M143" s="92">
        <f>IF($L143="","",$L143*IF(p_TierMode="پلکانی",LOOKUP($K143,t_Tier_From,t_Tier_Rate),1))</f>
        <v/>
      </c>
      <c r="N143" s="91">
        <f>IF($K143="","",$K143*$M143)</f>
        <v/>
      </c>
      <c r="O143" s="91">
        <f>IF($N143="","",IF($I143="ابطال",0,MAX(p_Min,MIN(p_Max,$N143))))</f>
        <v/>
      </c>
      <c r="P143" s="91">
        <f>IF($O143="","",ROUND($O143*p_Tax,0))</f>
        <v/>
      </c>
      <c r="Q143" s="91">
        <f>IF($O143="","",$O143+$P143)</f>
        <v/>
      </c>
      <c r="R143" s="92">
        <f>IF($A143="","",IF($H143&lt;&gt;"",$H143,IFERROR(INDEX(t_Member_Share,MATCH($C143,t_Members,0)),p_DefaultShare)))</f>
        <v/>
      </c>
      <c r="S143" s="91">
        <f>IF(OR($Q143="",$R143=""),"",ROUND($Q143*$R143,0))</f>
        <v/>
      </c>
      <c r="T143" s="91">
        <f>IF(OR($Q143="",$S143=""),"",$Q143-$S143)</f>
        <v/>
      </c>
      <c r="U143" s="93">
        <f>IF($B143="","",IFERROR(INDEX(cal_JYear,MATCH($B143,cal_Key,0)),""))</f>
        <v/>
      </c>
      <c r="V143" s="93">
        <f>IF($B143="","",IFERROR(INDEX(cal_JMonth,MATCH($B143,cal_Key,0)),""))</f>
        <v/>
      </c>
      <c r="W143" s="94">
        <f>IF($B143="","",IFERROR(INDEX(cal_YM,MATCH($B143,cal_Key,0)),""))</f>
        <v/>
      </c>
      <c r="X143" s="94">
        <f>IF($B143="","",IFERROR(INDEX(cal_Season,MATCH($B143,cal_Key,0)),""))</f>
        <v/>
      </c>
      <c r="Y143" s="94">
        <f>IF($B143="","",IFERROR(INDEX(cal_Key,MATCH(INDEX(cal_Serial,MATCH($B143,cal_Key,0))+p_Due,cal_Serial,0)),""))</f>
        <v/>
      </c>
      <c r="Z143" s="95">
        <f>IF($B143="","",IF(OR($I143="پرداخت‌شده",$I143="ابطال"),"—",IFERROR(IF(INDEX(cal_Serial,MATCH($B143,cal_Key,0))+p_Due&lt;TODAY(),"بله","خیر"),"تاریخ نامعتبر")))</f>
        <v/>
      </c>
    </row>
    <row r="144" ht="20" customHeight="1">
      <c r="B144" s="86" t="n"/>
      <c r="C144" s="87" t="n"/>
      <c r="D144" s="87" t="n"/>
      <c r="E144" s="87" t="n"/>
      <c r="F144" s="88" t="n"/>
      <c r="G144" s="89" t="n"/>
      <c r="H144" s="90" t="n"/>
      <c r="I144" s="86" t="n"/>
      <c r="J144" s="87" t="n"/>
      <c r="K144" s="91">
        <f>IF($F144="","",$F144*IF($G144="",1,$G144))</f>
        <v/>
      </c>
      <c r="L144" s="92">
        <f>IFERROR(IF($D144="","",INDEX(t_Svc_Rate,MATCH($D144,lst_Service,0))),"")</f>
        <v/>
      </c>
      <c r="M144" s="92">
        <f>IF($L144="","",$L144*IF(p_TierMode="پلکانی",LOOKUP($K144,t_Tier_From,t_Tier_Rate),1))</f>
        <v/>
      </c>
      <c r="N144" s="91">
        <f>IF($K144="","",$K144*$M144)</f>
        <v/>
      </c>
      <c r="O144" s="91">
        <f>IF($N144="","",IF($I144="ابطال",0,MAX(p_Min,MIN(p_Max,$N144))))</f>
        <v/>
      </c>
      <c r="P144" s="91">
        <f>IF($O144="","",ROUND($O144*p_Tax,0))</f>
        <v/>
      </c>
      <c r="Q144" s="91">
        <f>IF($O144="","",$O144+$P144)</f>
        <v/>
      </c>
      <c r="R144" s="92">
        <f>IF($A144="","",IF($H144&lt;&gt;"",$H144,IFERROR(INDEX(t_Member_Share,MATCH($C144,t_Members,0)),p_DefaultShare)))</f>
        <v/>
      </c>
      <c r="S144" s="91">
        <f>IF(OR($Q144="",$R144=""),"",ROUND($Q144*$R144,0))</f>
        <v/>
      </c>
      <c r="T144" s="91">
        <f>IF(OR($Q144="",$S144=""),"",$Q144-$S144)</f>
        <v/>
      </c>
      <c r="U144" s="93">
        <f>IF($B144="","",IFERROR(INDEX(cal_JYear,MATCH($B144,cal_Key,0)),""))</f>
        <v/>
      </c>
      <c r="V144" s="93">
        <f>IF($B144="","",IFERROR(INDEX(cal_JMonth,MATCH($B144,cal_Key,0)),""))</f>
        <v/>
      </c>
      <c r="W144" s="94">
        <f>IF($B144="","",IFERROR(INDEX(cal_YM,MATCH($B144,cal_Key,0)),""))</f>
        <v/>
      </c>
      <c r="X144" s="94">
        <f>IF($B144="","",IFERROR(INDEX(cal_Season,MATCH($B144,cal_Key,0)),""))</f>
        <v/>
      </c>
      <c r="Y144" s="94">
        <f>IF($B144="","",IFERROR(INDEX(cal_Key,MATCH(INDEX(cal_Serial,MATCH($B144,cal_Key,0))+p_Due,cal_Serial,0)),""))</f>
        <v/>
      </c>
      <c r="Z144" s="95">
        <f>IF($B144="","",IF(OR($I144="پرداخت‌شده",$I144="ابطال"),"—",IFERROR(IF(INDEX(cal_Serial,MATCH($B144,cal_Key,0))+p_Due&lt;TODAY(),"بله","خیر"),"تاریخ نامعتبر")))</f>
        <v/>
      </c>
    </row>
    <row r="145" ht="20" customHeight="1">
      <c r="B145" s="86" t="n"/>
      <c r="C145" s="87" t="n"/>
      <c r="D145" s="87" t="n"/>
      <c r="E145" s="87" t="n"/>
      <c r="F145" s="88" t="n"/>
      <c r="G145" s="89" t="n"/>
      <c r="H145" s="90" t="n"/>
      <c r="I145" s="86" t="n"/>
      <c r="J145" s="87" t="n"/>
      <c r="K145" s="91">
        <f>IF($F145="","",$F145*IF($G145="",1,$G145))</f>
        <v/>
      </c>
      <c r="L145" s="92">
        <f>IFERROR(IF($D145="","",INDEX(t_Svc_Rate,MATCH($D145,lst_Service,0))),"")</f>
        <v/>
      </c>
      <c r="M145" s="92">
        <f>IF($L145="","",$L145*IF(p_TierMode="پلکانی",LOOKUP($K145,t_Tier_From,t_Tier_Rate),1))</f>
        <v/>
      </c>
      <c r="N145" s="91">
        <f>IF($K145="","",$K145*$M145)</f>
        <v/>
      </c>
      <c r="O145" s="91">
        <f>IF($N145="","",IF($I145="ابطال",0,MAX(p_Min,MIN(p_Max,$N145))))</f>
        <v/>
      </c>
      <c r="P145" s="91">
        <f>IF($O145="","",ROUND($O145*p_Tax,0))</f>
        <v/>
      </c>
      <c r="Q145" s="91">
        <f>IF($O145="","",$O145+$P145)</f>
        <v/>
      </c>
      <c r="R145" s="92">
        <f>IF($A145="","",IF($H145&lt;&gt;"",$H145,IFERROR(INDEX(t_Member_Share,MATCH($C145,t_Members,0)),p_DefaultShare)))</f>
        <v/>
      </c>
      <c r="S145" s="91">
        <f>IF(OR($Q145="",$R145=""),"",ROUND($Q145*$R145,0))</f>
        <v/>
      </c>
      <c r="T145" s="91">
        <f>IF(OR($Q145="",$S145=""),"",$Q145-$S145)</f>
        <v/>
      </c>
      <c r="U145" s="93">
        <f>IF($B145="","",IFERROR(INDEX(cal_JYear,MATCH($B145,cal_Key,0)),""))</f>
        <v/>
      </c>
      <c r="V145" s="93">
        <f>IF($B145="","",IFERROR(INDEX(cal_JMonth,MATCH($B145,cal_Key,0)),""))</f>
        <v/>
      </c>
      <c r="W145" s="94">
        <f>IF($B145="","",IFERROR(INDEX(cal_YM,MATCH($B145,cal_Key,0)),""))</f>
        <v/>
      </c>
      <c r="X145" s="94">
        <f>IF($B145="","",IFERROR(INDEX(cal_Season,MATCH($B145,cal_Key,0)),""))</f>
        <v/>
      </c>
      <c r="Y145" s="94">
        <f>IF($B145="","",IFERROR(INDEX(cal_Key,MATCH(INDEX(cal_Serial,MATCH($B145,cal_Key,0))+p_Due,cal_Serial,0)),""))</f>
        <v/>
      </c>
      <c r="Z145" s="95">
        <f>IF($B145="","",IF(OR($I145="پرداخت‌شده",$I145="ابطال"),"—",IFERROR(IF(INDEX(cal_Serial,MATCH($B145,cal_Key,0))+p_Due&lt;TODAY(),"بله","خیر"),"تاریخ نامعتبر")))</f>
        <v/>
      </c>
    </row>
    <row r="146" ht="20" customHeight="1">
      <c r="B146" s="86" t="n"/>
      <c r="C146" s="87" t="n"/>
      <c r="D146" s="87" t="n"/>
      <c r="E146" s="87" t="n"/>
      <c r="F146" s="88" t="n"/>
      <c r="G146" s="89" t="n"/>
      <c r="H146" s="90" t="n"/>
      <c r="I146" s="86" t="n"/>
      <c r="J146" s="87" t="n"/>
      <c r="K146" s="91">
        <f>IF($F146="","",$F146*IF($G146="",1,$G146))</f>
        <v/>
      </c>
      <c r="L146" s="92">
        <f>IFERROR(IF($D146="","",INDEX(t_Svc_Rate,MATCH($D146,lst_Service,0))),"")</f>
        <v/>
      </c>
      <c r="M146" s="92">
        <f>IF($L146="","",$L146*IF(p_TierMode="پلکانی",LOOKUP($K146,t_Tier_From,t_Tier_Rate),1))</f>
        <v/>
      </c>
      <c r="N146" s="91">
        <f>IF($K146="","",$K146*$M146)</f>
        <v/>
      </c>
      <c r="O146" s="91">
        <f>IF($N146="","",IF($I146="ابطال",0,MAX(p_Min,MIN(p_Max,$N146))))</f>
        <v/>
      </c>
      <c r="P146" s="91">
        <f>IF($O146="","",ROUND($O146*p_Tax,0))</f>
        <v/>
      </c>
      <c r="Q146" s="91">
        <f>IF($O146="","",$O146+$P146)</f>
        <v/>
      </c>
      <c r="R146" s="92">
        <f>IF($A146="","",IF($H146&lt;&gt;"",$H146,IFERROR(INDEX(t_Member_Share,MATCH($C146,t_Members,0)),p_DefaultShare)))</f>
        <v/>
      </c>
      <c r="S146" s="91">
        <f>IF(OR($Q146="",$R146=""),"",ROUND($Q146*$R146,0))</f>
        <v/>
      </c>
      <c r="T146" s="91">
        <f>IF(OR($Q146="",$S146=""),"",$Q146-$S146)</f>
        <v/>
      </c>
      <c r="U146" s="93">
        <f>IF($B146="","",IFERROR(INDEX(cal_JYear,MATCH($B146,cal_Key,0)),""))</f>
        <v/>
      </c>
      <c r="V146" s="93">
        <f>IF($B146="","",IFERROR(INDEX(cal_JMonth,MATCH($B146,cal_Key,0)),""))</f>
        <v/>
      </c>
      <c r="W146" s="94">
        <f>IF($B146="","",IFERROR(INDEX(cal_YM,MATCH($B146,cal_Key,0)),""))</f>
        <v/>
      </c>
      <c r="X146" s="94">
        <f>IF($B146="","",IFERROR(INDEX(cal_Season,MATCH($B146,cal_Key,0)),""))</f>
        <v/>
      </c>
      <c r="Y146" s="94">
        <f>IF($B146="","",IFERROR(INDEX(cal_Key,MATCH(INDEX(cal_Serial,MATCH($B146,cal_Key,0))+p_Due,cal_Serial,0)),""))</f>
        <v/>
      </c>
      <c r="Z146" s="95">
        <f>IF($B146="","",IF(OR($I146="پرداخت‌شده",$I146="ابطال"),"—",IFERROR(IF(INDEX(cal_Serial,MATCH($B146,cal_Key,0))+p_Due&lt;TODAY(),"بله","خیر"),"تاریخ نامعتبر")))</f>
        <v/>
      </c>
    </row>
    <row r="147" ht="20" customHeight="1">
      <c r="B147" s="86" t="n"/>
      <c r="C147" s="87" t="n"/>
      <c r="D147" s="87" t="n"/>
      <c r="E147" s="87" t="n"/>
      <c r="F147" s="88" t="n"/>
      <c r="G147" s="89" t="n"/>
      <c r="H147" s="90" t="n"/>
      <c r="I147" s="86" t="n"/>
      <c r="J147" s="87" t="n"/>
      <c r="K147" s="91">
        <f>IF($F147="","",$F147*IF($G147="",1,$G147))</f>
        <v/>
      </c>
      <c r="L147" s="92">
        <f>IFERROR(IF($D147="","",INDEX(t_Svc_Rate,MATCH($D147,lst_Service,0))),"")</f>
        <v/>
      </c>
      <c r="M147" s="92">
        <f>IF($L147="","",$L147*IF(p_TierMode="پلکانی",LOOKUP($K147,t_Tier_From,t_Tier_Rate),1))</f>
        <v/>
      </c>
      <c r="N147" s="91">
        <f>IF($K147="","",$K147*$M147)</f>
        <v/>
      </c>
      <c r="O147" s="91">
        <f>IF($N147="","",IF($I147="ابطال",0,MAX(p_Min,MIN(p_Max,$N147))))</f>
        <v/>
      </c>
      <c r="P147" s="91">
        <f>IF($O147="","",ROUND($O147*p_Tax,0))</f>
        <v/>
      </c>
      <c r="Q147" s="91">
        <f>IF($O147="","",$O147+$P147)</f>
        <v/>
      </c>
      <c r="R147" s="92">
        <f>IF($A147="","",IF($H147&lt;&gt;"",$H147,IFERROR(INDEX(t_Member_Share,MATCH($C147,t_Members,0)),p_DefaultShare)))</f>
        <v/>
      </c>
      <c r="S147" s="91">
        <f>IF(OR($Q147="",$R147=""),"",ROUND($Q147*$R147,0))</f>
        <v/>
      </c>
      <c r="T147" s="91">
        <f>IF(OR($Q147="",$S147=""),"",$Q147-$S147)</f>
        <v/>
      </c>
      <c r="U147" s="93">
        <f>IF($B147="","",IFERROR(INDEX(cal_JYear,MATCH($B147,cal_Key,0)),""))</f>
        <v/>
      </c>
      <c r="V147" s="93">
        <f>IF($B147="","",IFERROR(INDEX(cal_JMonth,MATCH($B147,cal_Key,0)),""))</f>
        <v/>
      </c>
      <c r="W147" s="94">
        <f>IF($B147="","",IFERROR(INDEX(cal_YM,MATCH($B147,cal_Key,0)),""))</f>
        <v/>
      </c>
      <c r="X147" s="94">
        <f>IF($B147="","",IFERROR(INDEX(cal_Season,MATCH($B147,cal_Key,0)),""))</f>
        <v/>
      </c>
      <c r="Y147" s="94">
        <f>IF($B147="","",IFERROR(INDEX(cal_Key,MATCH(INDEX(cal_Serial,MATCH($B147,cal_Key,0))+p_Due,cal_Serial,0)),""))</f>
        <v/>
      </c>
      <c r="Z147" s="95">
        <f>IF($B147="","",IF(OR($I147="پرداخت‌شده",$I147="ابطال"),"—",IFERROR(IF(INDEX(cal_Serial,MATCH($B147,cal_Key,0))+p_Due&lt;TODAY(),"بله","خیر"),"تاریخ نامعتبر")))</f>
        <v/>
      </c>
    </row>
    <row r="148" ht="20" customHeight="1">
      <c r="B148" s="86" t="n"/>
      <c r="C148" s="87" t="n"/>
      <c r="D148" s="87" t="n"/>
      <c r="E148" s="87" t="n"/>
      <c r="F148" s="88" t="n"/>
      <c r="G148" s="89" t="n"/>
      <c r="H148" s="90" t="n"/>
      <c r="I148" s="86" t="n"/>
      <c r="J148" s="87" t="n"/>
      <c r="K148" s="91">
        <f>IF($F148="","",$F148*IF($G148="",1,$G148))</f>
        <v/>
      </c>
      <c r="L148" s="92">
        <f>IFERROR(IF($D148="","",INDEX(t_Svc_Rate,MATCH($D148,lst_Service,0))),"")</f>
        <v/>
      </c>
      <c r="M148" s="92">
        <f>IF($L148="","",$L148*IF(p_TierMode="پلکانی",LOOKUP($K148,t_Tier_From,t_Tier_Rate),1))</f>
        <v/>
      </c>
      <c r="N148" s="91">
        <f>IF($K148="","",$K148*$M148)</f>
        <v/>
      </c>
      <c r="O148" s="91">
        <f>IF($N148="","",IF($I148="ابطال",0,MAX(p_Min,MIN(p_Max,$N148))))</f>
        <v/>
      </c>
      <c r="P148" s="91">
        <f>IF($O148="","",ROUND($O148*p_Tax,0))</f>
        <v/>
      </c>
      <c r="Q148" s="91">
        <f>IF($O148="","",$O148+$P148)</f>
        <v/>
      </c>
      <c r="R148" s="92">
        <f>IF($A148="","",IF($H148&lt;&gt;"",$H148,IFERROR(INDEX(t_Member_Share,MATCH($C148,t_Members,0)),p_DefaultShare)))</f>
        <v/>
      </c>
      <c r="S148" s="91">
        <f>IF(OR($Q148="",$R148=""),"",ROUND($Q148*$R148,0))</f>
        <v/>
      </c>
      <c r="T148" s="91">
        <f>IF(OR($Q148="",$S148=""),"",$Q148-$S148)</f>
        <v/>
      </c>
      <c r="U148" s="93">
        <f>IF($B148="","",IFERROR(INDEX(cal_JYear,MATCH($B148,cal_Key,0)),""))</f>
        <v/>
      </c>
      <c r="V148" s="93">
        <f>IF($B148="","",IFERROR(INDEX(cal_JMonth,MATCH($B148,cal_Key,0)),""))</f>
        <v/>
      </c>
      <c r="W148" s="94">
        <f>IF($B148="","",IFERROR(INDEX(cal_YM,MATCH($B148,cal_Key,0)),""))</f>
        <v/>
      </c>
      <c r="X148" s="94">
        <f>IF($B148="","",IFERROR(INDEX(cal_Season,MATCH($B148,cal_Key,0)),""))</f>
        <v/>
      </c>
      <c r="Y148" s="94">
        <f>IF($B148="","",IFERROR(INDEX(cal_Key,MATCH(INDEX(cal_Serial,MATCH($B148,cal_Key,0))+p_Due,cal_Serial,0)),""))</f>
        <v/>
      </c>
      <c r="Z148" s="95">
        <f>IF($B148="","",IF(OR($I148="پرداخت‌شده",$I148="ابطال"),"—",IFERROR(IF(INDEX(cal_Serial,MATCH($B148,cal_Key,0))+p_Due&lt;TODAY(),"بله","خیر"),"تاریخ نامعتبر")))</f>
        <v/>
      </c>
    </row>
    <row r="149" ht="20" customHeight="1">
      <c r="B149" s="86" t="n"/>
      <c r="C149" s="87" t="n"/>
      <c r="D149" s="87" t="n"/>
      <c r="E149" s="87" t="n"/>
      <c r="F149" s="88" t="n"/>
      <c r="G149" s="89" t="n"/>
      <c r="H149" s="90" t="n"/>
      <c r="I149" s="86" t="n"/>
      <c r="J149" s="87" t="n"/>
      <c r="K149" s="91">
        <f>IF($F149="","",$F149*IF($G149="",1,$G149))</f>
        <v/>
      </c>
      <c r="L149" s="92">
        <f>IFERROR(IF($D149="","",INDEX(t_Svc_Rate,MATCH($D149,lst_Service,0))),"")</f>
        <v/>
      </c>
      <c r="M149" s="92">
        <f>IF($L149="","",$L149*IF(p_TierMode="پلکانی",LOOKUP($K149,t_Tier_From,t_Tier_Rate),1))</f>
        <v/>
      </c>
      <c r="N149" s="91">
        <f>IF($K149="","",$K149*$M149)</f>
        <v/>
      </c>
      <c r="O149" s="91">
        <f>IF($N149="","",IF($I149="ابطال",0,MAX(p_Min,MIN(p_Max,$N149))))</f>
        <v/>
      </c>
      <c r="P149" s="91">
        <f>IF($O149="","",ROUND($O149*p_Tax,0))</f>
        <v/>
      </c>
      <c r="Q149" s="91">
        <f>IF($O149="","",$O149+$P149)</f>
        <v/>
      </c>
      <c r="R149" s="92">
        <f>IF($A149="","",IF($H149&lt;&gt;"",$H149,IFERROR(INDEX(t_Member_Share,MATCH($C149,t_Members,0)),p_DefaultShare)))</f>
        <v/>
      </c>
      <c r="S149" s="91">
        <f>IF(OR($Q149="",$R149=""),"",ROUND($Q149*$R149,0))</f>
        <v/>
      </c>
      <c r="T149" s="91">
        <f>IF(OR($Q149="",$S149=""),"",$Q149-$S149)</f>
        <v/>
      </c>
      <c r="U149" s="93">
        <f>IF($B149="","",IFERROR(INDEX(cal_JYear,MATCH($B149,cal_Key,0)),""))</f>
        <v/>
      </c>
      <c r="V149" s="93">
        <f>IF($B149="","",IFERROR(INDEX(cal_JMonth,MATCH($B149,cal_Key,0)),""))</f>
        <v/>
      </c>
      <c r="W149" s="94">
        <f>IF($B149="","",IFERROR(INDEX(cal_YM,MATCH($B149,cal_Key,0)),""))</f>
        <v/>
      </c>
      <c r="X149" s="94">
        <f>IF($B149="","",IFERROR(INDEX(cal_Season,MATCH($B149,cal_Key,0)),""))</f>
        <v/>
      </c>
      <c r="Y149" s="94">
        <f>IF($B149="","",IFERROR(INDEX(cal_Key,MATCH(INDEX(cal_Serial,MATCH($B149,cal_Key,0))+p_Due,cal_Serial,0)),""))</f>
        <v/>
      </c>
      <c r="Z149" s="95">
        <f>IF($B149="","",IF(OR($I149="پرداخت‌شده",$I149="ابطال"),"—",IFERROR(IF(INDEX(cal_Serial,MATCH($B149,cal_Key,0))+p_Due&lt;TODAY(),"بله","خیر"),"تاریخ نامعتبر")))</f>
        <v/>
      </c>
    </row>
    <row r="150" ht="20" customHeight="1">
      <c r="B150" s="86" t="n"/>
      <c r="C150" s="87" t="n"/>
      <c r="D150" s="87" t="n"/>
      <c r="E150" s="87" t="n"/>
      <c r="F150" s="88" t="n"/>
      <c r="G150" s="89" t="n"/>
      <c r="H150" s="90" t="n"/>
      <c r="I150" s="86" t="n"/>
      <c r="J150" s="87" t="n"/>
      <c r="K150" s="91">
        <f>IF($F150="","",$F150*IF($G150="",1,$G150))</f>
        <v/>
      </c>
      <c r="L150" s="92">
        <f>IFERROR(IF($D150="","",INDEX(t_Svc_Rate,MATCH($D150,lst_Service,0))),"")</f>
        <v/>
      </c>
      <c r="M150" s="92">
        <f>IF($L150="","",$L150*IF(p_TierMode="پلکانی",LOOKUP($K150,t_Tier_From,t_Tier_Rate),1))</f>
        <v/>
      </c>
      <c r="N150" s="91">
        <f>IF($K150="","",$K150*$M150)</f>
        <v/>
      </c>
      <c r="O150" s="91">
        <f>IF($N150="","",IF($I150="ابطال",0,MAX(p_Min,MIN(p_Max,$N150))))</f>
        <v/>
      </c>
      <c r="P150" s="91">
        <f>IF($O150="","",ROUND($O150*p_Tax,0))</f>
        <v/>
      </c>
      <c r="Q150" s="91">
        <f>IF($O150="","",$O150+$P150)</f>
        <v/>
      </c>
      <c r="R150" s="92">
        <f>IF($A150="","",IF($H150&lt;&gt;"",$H150,IFERROR(INDEX(t_Member_Share,MATCH($C150,t_Members,0)),p_DefaultShare)))</f>
        <v/>
      </c>
      <c r="S150" s="91">
        <f>IF(OR($Q150="",$R150=""),"",ROUND($Q150*$R150,0))</f>
        <v/>
      </c>
      <c r="T150" s="91">
        <f>IF(OR($Q150="",$S150=""),"",$Q150-$S150)</f>
        <v/>
      </c>
      <c r="U150" s="93">
        <f>IF($B150="","",IFERROR(INDEX(cal_JYear,MATCH($B150,cal_Key,0)),""))</f>
        <v/>
      </c>
      <c r="V150" s="93">
        <f>IF($B150="","",IFERROR(INDEX(cal_JMonth,MATCH($B150,cal_Key,0)),""))</f>
        <v/>
      </c>
      <c r="W150" s="94">
        <f>IF($B150="","",IFERROR(INDEX(cal_YM,MATCH($B150,cal_Key,0)),""))</f>
        <v/>
      </c>
      <c r="X150" s="94">
        <f>IF($B150="","",IFERROR(INDEX(cal_Season,MATCH($B150,cal_Key,0)),""))</f>
        <v/>
      </c>
      <c r="Y150" s="94">
        <f>IF($B150="","",IFERROR(INDEX(cal_Key,MATCH(INDEX(cal_Serial,MATCH($B150,cal_Key,0))+p_Due,cal_Serial,0)),""))</f>
        <v/>
      </c>
      <c r="Z150" s="95">
        <f>IF($B150="","",IF(OR($I150="پرداخت‌شده",$I150="ابطال"),"—",IFERROR(IF(INDEX(cal_Serial,MATCH($B150,cal_Key,0))+p_Due&lt;TODAY(),"بله","خیر"),"تاریخ نامعتبر")))</f>
        <v/>
      </c>
    </row>
    <row r="151" ht="20" customHeight="1">
      <c r="B151" s="86" t="n"/>
      <c r="C151" s="87" t="n"/>
      <c r="D151" s="87" t="n"/>
      <c r="E151" s="87" t="n"/>
      <c r="F151" s="88" t="n"/>
      <c r="G151" s="89" t="n"/>
      <c r="H151" s="90" t="n"/>
      <c r="I151" s="86" t="n"/>
      <c r="J151" s="87" t="n"/>
      <c r="K151" s="91">
        <f>IF($F151="","",$F151*IF($G151="",1,$G151))</f>
        <v/>
      </c>
      <c r="L151" s="92">
        <f>IFERROR(IF($D151="","",INDEX(t_Svc_Rate,MATCH($D151,lst_Service,0))),"")</f>
        <v/>
      </c>
      <c r="M151" s="92">
        <f>IF($L151="","",$L151*IF(p_TierMode="پلکانی",LOOKUP($K151,t_Tier_From,t_Tier_Rate),1))</f>
        <v/>
      </c>
      <c r="N151" s="91">
        <f>IF($K151="","",$K151*$M151)</f>
        <v/>
      </c>
      <c r="O151" s="91">
        <f>IF($N151="","",IF($I151="ابطال",0,MAX(p_Min,MIN(p_Max,$N151))))</f>
        <v/>
      </c>
      <c r="P151" s="91">
        <f>IF($O151="","",ROUND($O151*p_Tax,0))</f>
        <v/>
      </c>
      <c r="Q151" s="91">
        <f>IF($O151="","",$O151+$P151)</f>
        <v/>
      </c>
      <c r="R151" s="92">
        <f>IF($A151="","",IF($H151&lt;&gt;"",$H151,IFERROR(INDEX(t_Member_Share,MATCH($C151,t_Members,0)),p_DefaultShare)))</f>
        <v/>
      </c>
      <c r="S151" s="91">
        <f>IF(OR($Q151="",$R151=""),"",ROUND($Q151*$R151,0))</f>
        <v/>
      </c>
      <c r="T151" s="91">
        <f>IF(OR($Q151="",$S151=""),"",$Q151-$S151)</f>
        <v/>
      </c>
      <c r="U151" s="93">
        <f>IF($B151="","",IFERROR(INDEX(cal_JYear,MATCH($B151,cal_Key,0)),""))</f>
        <v/>
      </c>
      <c r="V151" s="93">
        <f>IF($B151="","",IFERROR(INDEX(cal_JMonth,MATCH($B151,cal_Key,0)),""))</f>
        <v/>
      </c>
      <c r="W151" s="94">
        <f>IF($B151="","",IFERROR(INDEX(cal_YM,MATCH($B151,cal_Key,0)),""))</f>
        <v/>
      </c>
      <c r="X151" s="94">
        <f>IF($B151="","",IFERROR(INDEX(cal_Season,MATCH($B151,cal_Key,0)),""))</f>
        <v/>
      </c>
      <c r="Y151" s="94">
        <f>IF($B151="","",IFERROR(INDEX(cal_Key,MATCH(INDEX(cal_Serial,MATCH($B151,cal_Key,0))+p_Due,cal_Serial,0)),""))</f>
        <v/>
      </c>
      <c r="Z151" s="95">
        <f>IF($B151="","",IF(OR($I151="پرداخت‌شده",$I151="ابطال"),"—",IFERROR(IF(INDEX(cal_Serial,MATCH($B151,cal_Key,0))+p_Due&lt;TODAY(),"بله","خیر"),"تاریخ نامعتبر")))</f>
        <v/>
      </c>
    </row>
    <row r="152" ht="20" customHeight="1">
      <c r="B152" s="86" t="n"/>
      <c r="C152" s="87" t="n"/>
      <c r="D152" s="87" t="n"/>
      <c r="E152" s="87" t="n"/>
      <c r="F152" s="88" t="n"/>
      <c r="G152" s="89" t="n"/>
      <c r="H152" s="90" t="n"/>
      <c r="I152" s="86" t="n"/>
      <c r="J152" s="87" t="n"/>
      <c r="K152" s="91">
        <f>IF($F152="","",$F152*IF($G152="",1,$G152))</f>
        <v/>
      </c>
      <c r="L152" s="92">
        <f>IFERROR(IF($D152="","",INDEX(t_Svc_Rate,MATCH($D152,lst_Service,0))),"")</f>
        <v/>
      </c>
      <c r="M152" s="92">
        <f>IF($L152="","",$L152*IF(p_TierMode="پلکانی",LOOKUP($K152,t_Tier_From,t_Tier_Rate),1))</f>
        <v/>
      </c>
      <c r="N152" s="91">
        <f>IF($K152="","",$K152*$M152)</f>
        <v/>
      </c>
      <c r="O152" s="91">
        <f>IF($N152="","",IF($I152="ابطال",0,MAX(p_Min,MIN(p_Max,$N152))))</f>
        <v/>
      </c>
      <c r="P152" s="91">
        <f>IF($O152="","",ROUND($O152*p_Tax,0))</f>
        <v/>
      </c>
      <c r="Q152" s="91">
        <f>IF($O152="","",$O152+$P152)</f>
        <v/>
      </c>
      <c r="R152" s="92">
        <f>IF($A152="","",IF($H152&lt;&gt;"",$H152,IFERROR(INDEX(t_Member_Share,MATCH($C152,t_Members,0)),p_DefaultShare)))</f>
        <v/>
      </c>
      <c r="S152" s="91">
        <f>IF(OR($Q152="",$R152=""),"",ROUND($Q152*$R152,0))</f>
        <v/>
      </c>
      <c r="T152" s="91">
        <f>IF(OR($Q152="",$S152=""),"",$Q152-$S152)</f>
        <v/>
      </c>
      <c r="U152" s="93">
        <f>IF($B152="","",IFERROR(INDEX(cal_JYear,MATCH($B152,cal_Key,0)),""))</f>
        <v/>
      </c>
      <c r="V152" s="93">
        <f>IF($B152="","",IFERROR(INDEX(cal_JMonth,MATCH($B152,cal_Key,0)),""))</f>
        <v/>
      </c>
      <c r="W152" s="94">
        <f>IF($B152="","",IFERROR(INDEX(cal_YM,MATCH($B152,cal_Key,0)),""))</f>
        <v/>
      </c>
      <c r="X152" s="94">
        <f>IF($B152="","",IFERROR(INDEX(cal_Season,MATCH($B152,cal_Key,0)),""))</f>
        <v/>
      </c>
      <c r="Y152" s="94">
        <f>IF($B152="","",IFERROR(INDEX(cal_Key,MATCH(INDEX(cal_Serial,MATCH($B152,cal_Key,0))+p_Due,cal_Serial,0)),""))</f>
        <v/>
      </c>
      <c r="Z152" s="95">
        <f>IF($B152="","",IF(OR($I152="پرداخت‌شده",$I152="ابطال"),"—",IFERROR(IF(INDEX(cal_Serial,MATCH($B152,cal_Key,0))+p_Due&lt;TODAY(),"بله","خیر"),"تاریخ نامعتبر")))</f>
        <v/>
      </c>
    </row>
    <row r="153" ht="20" customHeight="1">
      <c r="B153" s="86" t="n"/>
      <c r="C153" s="87" t="n"/>
      <c r="D153" s="87" t="n"/>
      <c r="E153" s="87" t="n"/>
      <c r="F153" s="88" t="n"/>
      <c r="G153" s="89" t="n"/>
      <c r="H153" s="90" t="n"/>
      <c r="I153" s="86" t="n"/>
      <c r="J153" s="87" t="n"/>
      <c r="K153" s="91">
        <f>IF($F153="","",$F153*IF($G153="",1,$G153))</f>
        <v/>
      </c>
      <c r="L153" s="92">
        <f>IFERROR(IF($D153="","",INDEX(t_Svc_Rate,MATCH($D153,lst_Service,0))),"")</f>
        <v/>
      </c>
      <c r="M153" s="92">
        <f>IF($L153="","",$L153*IF(p_TierMode="پلکانی",LOOKUP($K153,t_Tier_From,t_Tier_Rate),1))</f>
        <v/>
      </c>
      <c r="N153" s="91">
        <f>IF($K153="","",$K153*$M153)</f>
        <v/>
      </c>
      <c r="O153" s="91">
        <f>IF($N153="","",IF($I153="ابطال",0,MAX(p_Min,MIN(p_Max,$N153))))</f>
        <v/>
      </c>
      <c r="P153" s="91">
        <f>IF($O153="","",ROUND($O153*p_Tax,0))</f>
        <v/>
      </c>
      <c r="Q153" s="91">
        <f>IF($O153="","",$O153+$P153)</f>
        <v/>
      </c>
      <c r="R153" s="92">
        <f>IF($A153="","",IF($H153&lt;&gt;"",$H153,IFERROR(INDEX(t_Member_Share,MATCH($C153,t_Members,0)),p_DefaultShare)))</f>
        <v/>
      </c>
      <c r="S153" s="91">
        <f>IF(OR($Q153="",$R153=""),"",ROUND($Q153*$R153,0))</f>
        <v/>
      </c>
      <c r="T153" s="91">
        <f>IF(OR($Q153="",$S153=""),"",$Q153-$S153)</f>
        <v/>
      </c>
      <c r="U153" s="93">
        <f>IF($B153="","",IFERROR(INDEX(cal_JYear,MATCH($B153,cal_Key,0)),""))</f>
        <v/>
      </c>
      <c r="V153" s="93">
        <f>IF($B153="","",IFERROR(INDEX(cal_JMonth,MATCH($B153,cal_Key,0)),""))</f>
        <v/>
      </c>
      <c r="W153" s="94">
        <f>IF($B153="","",IFERROR(INDEX(cal_YM,MATCH($B153,cal_Key,0)),""))</f>
        <v/>
      </c>
      <c r="X153" s="94">
        <f>IF($B153="","",IFERROR(INDEX(cal_Season,MATCH($B153,cal_Key,0)),""))</f>
        <v/>
      </c>
      <c r="Y153" s="94">
        <f>IF($B153="","",IFERROR(INDEX(cal_Key,MATCH(INDEX(cal_Serial,MATCH($B153,cal_Key,0))+p_Due,cal_Serial,0)),""))</f>
        <v/>
      </c>
      <c r="Z153" s="95">
        <f>IF($B153="","",IF(OR($I153="پرداخت‌شده",$I153="ابطال"),"—",IFERROR(IF(INDEX(cal_Serial,MATCH($B153,cal_Key,0))+p_Due&lt;TODAY(),"بله","خیر"),"تاریخ نامعتبر")))</f>
        <v/>
      </c>
    </row>
    <row r="154" ht="20" customHeight="1">
      <c r="B154" s="86" t="n"/>
      <c r="C154" s="87" t="n"/>
      <c r="D154" s="87" t="n"/>
      <c r="E154" s="87" t="n"/>
      <c r="F154" s="88" t="n"/>
      <c r="G154" s="89" t="n"/>
      <c r="H154" s="90" t="n"/>
      <c r="I154" s="86" t="n"/>
      <c r="J154" s="87" t="n"/>
      <c r="K154" s="91">
        <f>IF($F154="","",$F154*IF($G154="",1,$G154))</f>
        <v/>
      </c>
      <c r="L154" s="92">
        <f>IFERROR(IF($D154="","",INDEX(t_Svc_Rate,MATCH($D154,lst_Service,0))),"")</f>
        <v/>
      </c>
      <c r="M154" s="92">
        <f>IF($L154="","",$L154*IF(p_TierMode="پلکانی",LOOKUP($K154,t_Tier_From,t_Tier_Rate),1))</f>
        <v/>
      </c>
      <c r="N154" s="91">
        <f>IF($K154="","",$K154*$M154)</f>
        <v/>
      </c>
      <c r="O154" s="91">
        <f>IF($N154="","",IF($I154="ابطال",0,MAX(p_Min,MIN(p_Max,$N154))))</f>
        <v/>
      </c>
      <c r="P154" s="91">
        <f>IF($O154="","",ROUND($O154*p_Tax,0))</f>
        <v/>
      </c>
      <c r="Q154" s="91">
        <f>IF($O154="","",$O154+$P154)</f>
        <v/>
      </c>
      <c r="R154" s="92">
        <f>IF($A154="","",IF($H154&lt;&gt;"",$H154,IFERROR(INDEX(t_Member_Share,MATCH($C154,t_Members,0)),p_DefaultShare)))</f>
        <v/>
      </c>
      <c r="S154" s="91">
        <f>IF(OR($Q154="",$R154=""),"",ROUND($Q154*$R154,0))</f>
        <v/>
      </c>
      <c r="T154" s="91">
        <f>IF(OR($Q154="",$S154=""),"",$Q154-$S154)</f>
        <v/>
      </c>
      <c r="U154" s="93">
        <f>IF($B154="","",IFERROR(INDEX(cal_JYear,MATCH($B154,cal_Key,0)),""))</f>
        <v/>
      </c>
      <c r="V154" s="93">
        <f>IF($B154="","",IFERROR(INDEX(cal_JMonth,MATCH($B154,cal_Key,0)),""))</f>
        <v/>
      </c>
      <c r="W154" s="94">
        <f>IF($B154="","",IFERROR(INDEX(cal_YM,MATCH($B154,cal_Key,0)),""))</f>
        <v/>
      </c>
      <c r="X154" s="94">
        <f>IF($B154="","",IFERROR(INDEX(cal_Season,MATCH($B154,cal_Key,0)),""))</f>
        <v/>
      </c>
      <c r="Y154" s="94">
        <f>IF($B154="","",IFERROR(INDEX(cal_Key,MATCH(INDEX(cal_Serial,MATCH($B154,cal_Key,0))+p_Due,cal_Serial,0)),""))</f>
        <v/>
      </c>
      <c r="Z154" s="95">
        <f>IF($B154="","",IF(OR($I154="پرداخت‌شده",$I154="ابطال"),"—",IFERROR(IF(INDEX(cal_Serial,MATCH($B154,cal_Key,0))+p_Due&lt;TODAY(),"بله","خیر"),"تاریخ نامعتبر")))</f>
        <v/>
      </c>
    </row>
    <row r="155" ht="20" customHeight="1">
      <c r="B155" s="86" t="n"/>
      <c r="C155" s="87" t="n"/>
      <c r="D155" s="87" t="n"/>
      <c r="E155" s="87" t="n"/>
      <c r="F155" s="88" t="n"/>
      <c r="G155" s="89" t="n"/>
      <c r="H155" s="90" t="n"/>
      <c r="I155" s="86" t="n"/>
      <c r="J155" s="87" t="n"/>
      <c r="K155" s="91">
        <f>IF($F155="","",$F155*IF($G155="",1,$G155))</f>
        <v/>
      </c>
      <c r="L155" s="92">
        <f>IFERROR(IF($D155="","",INDEX(t_Svc_Rate,MATCH($D155,lst_Service,0))),"")</f>
        <v/>
      </c>
      <c r="M155" s="92">
        <f>IF($L155="","",$L155*IF(p_TierMode="پلکانی",LOOKUP($K155,t_Tier_From,t_Tier_Rate),1))</f>
        <v/>
      </c>
      <c r="N155" s="91">
        <f>IF($K155="","",$K155*$M155)</f>
        <v/>
      </c>
      <c r="O155" s="91">
        <f>IF($N155="","",IF($I155="ابطال",0,MAX(p_Min,MIN(p_Max,$N155))))</f>
        <v/>
      </c>
      <c r="P155" s="91">
        <f>IF($O155="","",ROUND($O155*p_Tax,0))</f>
        <v/>
      </c>
      <c r="Q155" s="91">
        <f>IF($O155="","",$O155+$P155)</f>
        <v/>
      </c>
      <c r="R155" s="92">
        <f>IF($A155="","",IF($H155&lt;&gt;"",$H155,IFERROR(INDEX(t_Member_Share,MATCH($C155,t_Members,0)),p_DefaultShare)))</f>
        <v/>
      </c>
      <c r="S155" s="91">
        <f>IF(OR($Q155="",$R155=""),"",ROUND($Q155*$R155,0))</f>
        <v/>
      </c>
      <c r="T155" s="91">
        <f>IF(OR($Q155="",$S155=""),"",$Q155-$S155)</f>
        <v/>
      </c>
      <c r="U155" s="93">
        <f>IF($B155="","",IFERROR(INDEX(cal_JYear,MATCH($B155,cal_Key,0)),""))</f>
        <v/>
      </c>
      <c r="V155" s="93">
        <f>IF($B155="","",IFERROR(INDEX(cal_JMonth,MATCH($B155,cal_Key,0)),""))</f>
        <v/>
      </c>
      <c r="W155" s="94">
        <f>IF($B155="","",IFERROR(INDEX(cal_YM,MATCH($B155,cal_Key,0)),""))</f>
        <v/>
      </c>
      <c r="X155" s="94">
        <f>IF($B155="","",IFERROR(INDEX(cal_Season,MATCH($B155,cal_Key,0)),""))</f>
        <v/>
      </c>
      <c r="Y155" s="94">
        <f>IF($B155="","",IFERROR(INDEX(cal_Key,MATCH(INDEX(cal_Serial,MATCH($B155,cal_Key,0))+p_Due,cal_Serial,0)),""))</f>
        <v/>
      </c>
      <c r="Z155" s="95">
        <f>IF($B155="","",IF(OR($I155="پرداخت‌شده",$I155="ابطال"),"—",IFERROR(IF(INDEX(cal_Serial,MATCH($B155,cal_Key,0))+p_Due&lt;TODAY(),"بله","خیر"),"تاریخ نامعتبر")))</f>
        <v/>
      </c>
    </row>
    <row r="156" ht="20" customHeight="1">
      <c r="B156" s="86" t="n"/>
      <c r="C156" s="87" t="n"/>
      <c r="D156" s="87" t="n"/>
      <c r="E156" s="87" t="n"/>
      <c r="F156" s="88" t="n"/>
      <c r="G156" s="89" t="n"/>
      <c r="H156" s="90" t="n"/>
      <c r="I156" s="86" t="n"/>
      <c r="J156" s="87" t="n"/>
      <c r="K156" s="91">
        <f>IF($F156="","",$F156*IF($G156="",1,$G156))</f>
        <v/>
      </c>
      <c r="L156" s="92">
        <f>IFERROR(IF($D156="","",INDEX(t_Svc_Rate,MATCH($D156,lst_Service,0))),"")</f>
        <v/>
      </c>
      <c r="M156" s="92">
        <f>IF($L156="","",$L156*IF(p_TierMode="پلکانی",LOOKUP($K156,t_Tier_From,t_Tier_Rate),1))</f>
        <v/>
      </c>
      <c r="N156" s="91">
        <f>IF($K156="","",$K156*$M156)</f>
        <v/>
      </c>
      <c r="O156" s="91">
        <f>IF($N156="","",IF($I156="ابطال",0,MAX(p_Min,MIN(p_Max,$N156))))</f>
        <v/>
      </c>
      <c r="P156" s="91">
        <f>IF($O156="","",ROUND($O156*p_Tax,0))</f>
        <v/>
      </c>
      <c r="Q156" s="91">
        <f>IF($O156="","",$O156+$P156)</f>
        <v/>
      </c>
      <c r="R156" s="92">
        <f>IF($A156="","",IF($H156&lt;&gt;"",$H156,IFERROR(INDEX(t_Member_Share,MATCH($C156,t_Members,0)),p_DefaultShare)))</f>
        <v/>
      </c>
      <c r="S156" s="91">
        <f>IF(OR($Q156="",$R156=""),"",ROUND($Q156*$R156,0))</f>
        <v/>
      </c>
      <c r="T156" s="91">
        <f>IF(OR($Q156="",$S156=""),"",$Q156-$S156)</f>
        <v/>
      </c>
      <c r="U156" s="93">
        <f>IF($B156="","",IFERROR(INDEX(cal_JYear,MATCH($B156,cal_Key,0)),""))</f>
        <v/>
      </c>
      <c r="V156" s="93">
        <f>IF($B156="","",IFERROR(INDEX(cal_JMonth,MATCH($B156,cal_Key,0)),""))</f>
        <v/>
      </c>
      <c r="W156" s="94">
        <f>IF($B156="","",IFERROR(INDEX(cal_YM,MATCH($B156,cal_Key,0)),""))</f>
        <v/>
      </c>
      <c r="X156" s="94">
        <f>IF($B156="","",IFERROR(INDEX(cal_Season,MATCH($B156,cal_Key,0)),""))</f>
        <v/>
      </c>
      <c r="Y156" s="94">
        <f>IF($B156="","",IFERROR(INDEX(cal_Key,MATCH(INDEX(cal_Serial,MATCH($B156,cal_Key,0))+p_Due,cal_Serial,0)),""))</f>
        <v/>
      </c>
      <c r="Z156" s="95">
        <f>IF($B156="","",IF(OR($I156="پرداخت‌شده",$I156="ابطال"),"—",IFERROR(IF(INDEX(cal_Serial,MATCH($B156,cal_Key,0))+p_Due&lt;TODAY(),"بله","خیر"),"تاریخ نامعتبر")))</f>
        <v/>
      </c>
    </row>
    <row r="157" ht="20" customHeight="1">
      <c r="B157" s="86" t="n"/>
      <c r="C157" s="87" t="n"/>
      <c r="D157" s="87" t="n"/>
      <c r="E157" s="87" t="n"/>
      <c r="F157" s="88" t="n"/>
      <c r="G157" s="89" t="n"/>
      <c r="H157" s="90" t="n"/>
      <c r="I157" s="86" t="n"/>
      <c r="J157" s="87" t="n"/>
      <c r="K157" s="91">
        <f>IF($F157="","",$F157*IF($G157="",1,$G157))</f>
        <v/>
      </c>
      <c r="L157" s="92">
        <f>IFERROR(IF($D157="","",INDEX(t_Svc_Rate,MATCH($D157,lst_Service,0))),"")</f>
        <v/>
      </c>
      <c r="M157" s="92">
        <f>IF($L157="","",$L157*IF(p_TierMode="پلکانی",LOOKUP($K157,t_Tier_From,t_Tier_Rate),1))</f>
        <v/>
      </c>
      <c r="N157" s="91">
        <f>IF($K157="","",$K157*$M157)</f>
        <v/>
      </c>
      <c r="O157" s="91">
        <f>IF($N157="","",IF($I157="ابطال",0,MAX(p_Min,MIN(p_Max,$N157))))</f>
        <v/>
      </c>
      <c r="P157" s="91">
        <f>IF($O157="","",ROUND($O157*p_Tax,0))</f>
        <v/>
      </c>
      <c r="Q157" s="91">
        <f>IF($O157="","",$O157+$P157)</f>
        <v/>
      </c>
      <c r="R157" s="92">
        <f>IF($A157="","",IF($H157&lt;&gt;"",$H157,IFERROR(INDEX(t_Member_Share,MATCH($C157,t_Members,0)),p_DefaultShare)))</f>
        <v/>
      </c>
      <c r="S157" s="91">
        <f>IF(OR($Q157="",$R157=""),"",ROUND($Q157*$R157,0))</f>
        <v/>
      </c>
      <c r="T157" s="91">
        <f>IF(OR($Q157="",$S157=""),"",$Q157-$S157)</f>
        <v/>
      </c>
      <c r="U157" s="93">
        <f>IF($B157="","",IFERROR(INDEX(cal_JYear,MATCH($B157,cal_Key,0)),""))</f>
        <v/>
      </c>
      <c r="V157" s="93">
        <f>IF($B157="","",IFERROR(INDEX(cal_JMonth,MATCH($B157,cal_Key,0)),""))</f>
        <v/>
      </c>
      <c r="W157" s="94">
        <f>IF($B157="","",IFERROR(INDEX(cal_YM,MATCH($B157,cal_Key,0)),""))</f>
        <v/>
      </c>
      <c r="X157" s="94">
        <f>IF($B157="","",IFERROR(INDEX(cal_Season,MATCH($B157,cal_Key,0)),""))</f>
        <v/>
      </c>
      <c r="Y157" s="94">
        <f>IF($B157="","",IFERROR(INDEX(cal_Key,MATCH(INDEX(cal_Serial,MATCH($B157,cal_Key,0))+p_Due,cal_Serial,0)),""))</f>
        <v/>
      </c>
      <c r="Z157" s="95">
        <f>IF($B157="","",IF(OR($I157="پرداخت‌شده",$I157="ابطال"),"—",IFERROR(IF(INDEX(cal_Serial,MATCH($B157,cal_Key,0))+p_Due&lt;TODAY(),"بله","خیر"),"تاریخ نامعتبر")))</f>
        <v/>
      </c>
    </row>
    <row r="158" ht="20" customHeight="1">
      <c r="B158" s="86" t="n"/>
      <c r="C158" s="87" t="n"/>
      <c r="D158" s="87" t="n"/>
      <c r="E158" s="87" t="n"/>
      <c r="F158" s="88" t="n"/>
      <c r="G158" s="89" t="n"/>
      <c r="H158" s="90" t="n"/>
      <c r="I158" s="86" t="n"/>
      <c r="J158" s="87" t="n"/>
      <c r="K158" s="91">
        <f>IF($F158="","",$F158*IF($G158="",1,$G158))</f>
        <v/>
      </c>
      <c r="L158" s="92">
        <f>IFERROR(IF($D158="","",INDEX(t_Svc_Rate,MATCH($D158,lst_Service,0))),"")</f>
        <v/>
      </c>
      <c r="M158" s="92">
        <f>IF($L158="","",$L158*IF(p_TierMode="پلکانی",LOOKUP($K158,t_Tier_From,t_Tier_Rate),1))</f>
        <v/>
      </c>
      <c r="N158" s="91">
        <f>IF($K158="","",$K158*$M158)</f>
        <v/>
      </c>
      <c r="O158" s="91">
        <f>IF($N158="","",IF($I158="ابطال",0,MAX(p_Min,MIN(p_Max,$N158))))</f>
        <v/>
      </c>
      <c r="P158" s="91">
        <f>IF($O158="","",ROUND($O158*p_Tax,0))</f>
        <v/>
      </c>
      <c r="Q158" s="91">
        <f>IF($O158="","",$O158+$P158)</f>
        <v/>
      </c>
      <c r="R158" s="92">
        <f>IF($A158="","",IF($H158&lt;&gt;"",$H158,IFERROR(INDEX(t_Member_Share,MATCH($C158,t_Members,0)),p_DefaultShare)))</f>
        <v/>
      </c>
      <c r="S158" s="91">
        <f>IF(OR($Q158="",$R158=""),"",ROUND($Q158*$R158,0))</f>
        <v/>
      </c>
      <c r="T158" s="91">
        <f>IF(OR($Q158="",$S158=""),"",$Q158-$S158)</f>
        <v/>
      </c>
      <c r="U158" s="93">
        <f>IF($B158="","",IFERROR(INDEX(cal_JYear,MATCH($B158,cal_Key,0)),""))</f>
        <v/>
      </c>
      <c r="V158" s="93">
        <f>IF($B158="","",IFERROR(INDEX(cal_JMonth,MATCH($B158,cal_Key,0)),""))</f>
        <v/>
      </c>
      <c r="W158" s="94">
        <f>IF($B158="","",IFERROR(INDEX(cal_YM,MATCH($B158,cal_Key,0)),""))</f>
        <v/>
      </c>
      <c r="X158" s="94">
        <f>IF($B158="","",IFERROR(INDEX(cal_Season,MATCH($B158,cal_Key,0)),""))</f>
        <v/>
      </c>
      <c r="Y158" s="94">
        <f>IF($B158="","",IFERROR(INDEX(cal_Key,MATCH(INDEX(cal_Serial,MATCH($B158,cal_Key,0))+p_Due,cal_Serial,0)),""))</f>
        <v/>
      </c>
      <c r="Z158" s="95">
        <f>IF($B158="","",IF(OR($I158="پرداخت‌شده",$I158="ابطال"),"—",IFERROR(IF(INDEX(cal_Serial,MATCH($B158,cal_Key,0))+p_Due&lt;TODAY(),"بله","خیر"),"تاریخ نامعتبر")))</f>
        <v/>
      </c>
    </row>
    <row r="159" ht="20" customHeight="1">
      <c r="B159" s="86" t="n"/>
      <c r="C159" s="87" t="n"/>
      <c r="D159" s="87" t="n"/>
      <c r="E159" s="87" t="n"/>
      <c r="F159" s="88" t="n"/>
      <c r="G159" s="89" t="n"/>
      <c r="H159" s="90" t="n"/>
      <c r="I159" s="86" t="n"/>
      <c r="J159" s="87" t="n"/>
      <c r="K159" s="91">
        <f>IF($F159="","",$F159*IF($G159="",1,$G159))</f>
        <v/>
      </c>
      <c r="L159" s="92">
        <f>IFERROR(IF($D159="","",INDEX(t_Svc_Rate,MATCH($D159,lst_Service,0))),"")</f>
        <v/>
      </c>
      <c r="M159" s="92">
        <f>IF($L159="","",$L159*IF(p_TierMode="پلکانی",LOOKUP($K159,t_Tier_From,t_Tier_Rate),1))</f>
        <v/>
      </c>
      <c r="N159" s="91">
        <f>IF($K159="","",$K159*$M159)</f>
        <v/>
      </c>
      <c r="O159" s="91">
        <f>IF($N159="","",IF($I159="ابطال",0,MAX(p_Min,MIN(p_Max,$N159))))</f>
        <v/>
      </c>
      <c r="P159" s="91">
        <f>IF($O159="","",ROUND($O159*p_Tax,0))</f>
        <v/>
      </c>
      <c r="Q159" s="91">
        <f>IF($O159="","",$O159+$P159)</f>
        <v/>
      </c>
      <c r="R159" s="92">
        <f>IF($A159="","",IF($H159&lt;&gt;"",$H159,IFERROR(INDEX(t_Member_Share,MATCH($C159,t_Members,0)),p_DefaultShare)))</f>
        <v/>
      </c>
      <c r="S159" s="91">
        <f>IF(OR($Q159="",$R159=""),"",ROUND($Q159*$R159,0))</f>
        <v/>
      </c>
      <c r="T159" s="91">
        <f>IF(OR($Q159="",$S159=""),"",$Q159-$S159)</f>
        <v/>
      </c>
      <c r="U159" s="93">
        <f>IF($B159="","",IFERROR(INDEX(cal_JYear,MATCH($B159,cal_Key,0)),""))</f>
        <v/>
      </c>
      <c r="V159" s="93">
        <f>IF($B159="","",IFERROR(INDEX(cal_JMonth,MATCH($B159,cal_Key,0)),""))</f>
        <v/>
      </c>
      <c r="W159" s="94">
        <f>IF($B159="","",IFERROR(INDEX(cal_YM,MATCH($B159,cal_Key,0)),""))</f>
        <v/>
      </c>
      <c r="X159" s="94">
        <f>IF($B159="","",IFERROR(INDEX(cal_Season,MATCH($B159,cal_Key,0)),""))</f>
        <v/>
      </c>
      <c r="Y159" s="94">
        <f>IF($B159="","",IFERROR(INDEX(cal_Key,MATCH(INDEX(cal_Serial,MATCH($B159,cal_Key,0))+p_Due,cal_Serial,0)),""))</f>
        <v/>
      </c>
      <c r="Z159" s="95">
        <f>IF($B159="","",IF(OR($I159="پرداخت‌شده",$I159="ابطال"),"—",IFERROR(IF(INDEX(cal_Serial,MATCH($B159,cal_Key,0))+p_Due&lt;TODAY(),"بله","خیر"),"تاریخ نامعتبر")))</f>
        <v/>
      </c>
    </row>
    <row r="160" ht="20" customHeight="1">
      <c r="B160" s="86" t="n"/>
      <c r="C160" s="87" t="n"/>
      <c r="D160" s="87" t="n"/>
      <c r="E160" s="87" t="n"/>
      <c r="F160" s="88" t="n"/>
      <c r="G160" s="89" t="n"/>
      <c r="H160" s="90" t="n"/>
      <c r="I160" s="86" t="n"/>
      <c r="J160" s="87" t="n"/>
      <c r="K160" s="91">
        <f>IF($F160="","",$F160*IF($G160="",1,$G160))</f>
        <v/>
      </c>
      <c r="L160" s="92">
        <f>IFERROR(IF($D160="","",INDEX(t_Svc_Rate,MATCH($D160,lst_Service,0))),"")</f>
        <v/>
      </c>
      <c r="M160" s="92">
        <f>IF($L160="","",$L160*IF(p_TierMode="پلکانی",LOOKUP($K160,t_Tier_From,t_Tier_Rate),1))</f>
        <v/>
      </c>
      <c r="N160" s="91">
        <f>IF($K160="","",$K160*$M160)</f>
        <v/>
      </c>
      <c r="O160" s="91">
        <f>IF($N160="","",IF($I160="ابطال",0,MAX(p_Min,MIN(p_Max,$N160))))</f>
        <v/>
      </c>
      <c r="P160" s="91">
        <f>IF($O160="","",ROUND($O160*p_Tax,0))</f>
        <v/>
      </c>
      <c r="Q160" s="91">
        <f>IF($O160="","",$O160+$P160)</f>
        <v/>
      </c>
      <c r="R160" s="92">
        <f>IF($A160="","",IF($H160&lt;&gt;"",$H160,IFERROR(INDEX(t_Member_Share,MATCH($C160,t_Members,0)),p_DefaultShare)))</f>
        <v/>
      </c>
      <c r="S160" s="91">
        <f>IF(OR($Q160="",$R160=""),"",ROUND($Q160*$R160,0))</f>
        <v/>
      </c>
      <c r="T160" s="91">
        <f>IF(OR($Q160="",$S160=""),"",$Q160-$S160)</f>
        <v/>
      </c>
      <c r="U160" s="93">
        <f>IF($B160="","",IFERROR(INDEX(cal_JYear,MATCH($B160,cal_Key,0)),""))</f>
        <v/>
      </c>
      <c r="V160" s="93">
        <f>IF($B160="","",IFERROR(INDEX(cal_JMonth,MATCH($B160,cal_Key,0)),""))</f>
        <v/>
      </c>
      <c r="W160" s="94">
        <f>IF($B160="","",IFERROR(INDEX(cal_YM,MATCH($B160,cal_Key,0)),""))</f>
        <v/>
      </c>
      <c r="X160" s="94">
        <f>IF($B160="","",IFERROR(INDEX(cal_Season,MATCH($B160,cal_Key,0)),""))</f>
        <v/>
      </c>
      <c r="Y160" s="94">
        <f>IF($B160="","",IFERROR(INDEX(cal_Key,MATCH(INDEX(cal_Serial,MATCH($B160,cal_Key,0))+p_Due,cal_Serial,0)),""))</f>
        <v/>
      </c>
      <c r="Z160" s="95">
        <f>IF($B160="","",IF(OR($I160="پرداخت‌شده",$I160="ابطال"),"—",IFERROR(IF(INDEX(cal_Serial,MATCH($B160,cal_Key,0))+p_Due&lt;TODAY(),"بله","خیر"),"تاریخ نامعتبر")))</f>
        <v/>
      </c>
    </row>
    <row r="161" ht="20" customHeight="1">
      <c r="B161" s="86" t="n"/>
      <c r="C161" s="87" t="n"/>
      <c r="D161" s="87" t="n"/>
      <c r="E161" s="87" t="n"/>
      <c r="F161" s="88" t="n"/>
      <c r="G161" s="89" t="n"/>
      <c r="H161" s="90" t="n"/>
      <c r="I161" s="86" t="n"/>
      <c r="J161" s="87" t="n"/>
      <c r="K161" s="91">
        <f>IF($F161="","",$F161*IF($G161="",1,$G161))</f>
        <v/>
      </c>
      <c r="L161" s="92">
        <f>IFERROR(IF($D161="","",INDEX(t_Svc_Rate,MATCH($D161,lst_Service,0))),"")</f>
        <v/>
      </c>
      <c r="M161" s="92">
        <f>IF($L161="","",$L161*IF(p_TierMode="پلکانی",LOOKUP($K161,t_Tier_From,t_Tier_Rate),1))</f>
        <v/>
      </c>
      <c r="N161" s="91">
        <f>IF($K161="","",$K161*$M161)</f>
        <v/>
      </c>
      <c r="O161" s="91">
        <f>IF($N161="","",IF($I161="ابطال",0,MAX(p_Min,MIN(p_Max,$N161))))</f>
        <v/>
      </c>
      <c r="P161" s="91">
        <f>IF($O161="","",ROUND($O161*p_Tax,0))</f>
        <v/>
      </c>
      <c r="Q161" s="91">
        <f>IF($O161="","",$O161+$P161)</f>
        <v/>
      </c>
      <c r="R161" s="92">
        <f>IF($A161="","",IF($H161&lt;&gt;"",$H161,IFERROR(INDEX(t_Member_Share,MATCH($C161,t_Members,0)),p_DefaultShare)))</f>
        <v/>
      </c>
      <c r="S161" s="91">
        <f>IF(OR($Q161="",$R161=""),"",ROUND($Q161*$R161,0))</f>
        <v/>
      </c>
      <c r="T161" s="91">
        <f>IF(OR($Q161="",$S161=""),"",$Q161-$S161)</f>
        <v/>
      </c>
      <c r="U161" s="93">
        <f>IF($B161="","",IFERROR(INDEX(cal_JYear,MATCH($B161,cal_Key,0)),""))</f>
        <v/>
      </c>
      <c r="V161" s="93">
        <f>IF($B161="","",IFERROR(INDEX(cal_JMonth,MATCH($B161,cal_Key,0)),""))</f>
        <v/>
      </c>
      <c r="W161" s="94">
        <f>IF($B161="","",IFERROR(INDEX(cal_YM,MATCH($B161,cal_Key,0)),""))</f>
        <v/>
      </c>
      <c r="X161" s="94">
        <f>IF($B161="","",IFERROR(INDEX(cal_Season,MATCH($B161,cal_Key,0)),""))</f>
        <v/>
      </c>
      <c r="Y161" s="94">
        <f>IF($B161="","",IFERROR(INDEX(cal_Key,MATCH(INDEX(cal_Serial,MATCH($B161,cal_Key,0))+p_Due,cal_Serial,0)),""))</f>
        <v/>
      </c>
      <c r="Z161" s="95">
        <f>IF($B161="","",IF(OR($I161="پرداخت‌شده",$I161="ابطال"),"—",IFERROR(IF(INDEX(cal_Serial,MATCH($B161,cal_Key,0))+p_Due&lt;TODAY(),"بله","خیر"),"تاریخ نامعتبر")))</f>
        <v/>
      </c>
    </row>
    <row r="162" ht="20" customHeight="1">
      <c r="B162" s="86" t="n"/>
      <c r="C162" s="87" t="n"/>
      <c r="D162" s="87" t="n"/>
      <c r="E162" s="87" t="n"/>
      <c r="F162" s="88" t="n"/>
      <c r="G162" s="89" t="n"/>
      <c r="H162" s="90" t="n"/>
      <c r="I162" s="86" t="n"/>
      <c r="J162" s="87" t="n"/>
      <c r="K162" s="91">
        <f>IF($F162="","",$F162*IF($G162="",1,$G162))</f>
        <v/>
      </c>
      <c r="L162" s="92">
        <f>IFERROR(IF($D162="","",INDEX(t_Svc_Rate,MATCH($D162,lst_Service,0))),"")</f>
        <v/>
      </c>
      <c r="M162" s="92">
        <f>IF($L162="","",$L162*IF(p_TierMode="پلکانی",LOOKUP($K162,t_Tier_From,t_Tier_Rate),1))</f>
        <v/>
      </c>
      <c r="N162" s="91">
        <f>IF($K162="","",$K162*$M162)</f>
        <v/>
      </c>
      <c r="O162" s="91">
        <f>IF($N162="","",IF($I162="ابطال",0,MAX(p_Min,MIN(p_Max,$N162))))</f>
        <v/>
      </c>
      <c r="P162" s="91">
        <f>IF($O162="","",ROUND($O162*p_Tax,0))</f>
        <v/>
      </c>
      <c r="Q162" s="91">
        <f>IF($O162="","",$O162+$P162)</f>
        <v/>
      </c>
      <c r="R162" s="92">
        <f>IF($A162="","",IF($H162&lt;&gt;"",$H162,IFERROR(INDEX(t_Member_Share,MATCH($C162,t_Members,0)),p_DefaultShare)))</f>
        <v/>
      </c>
      <c r="S162" s="91">
        <f>IF(OR($Q162="",$R162=""),"",ROUND($Q162*$R162,0))</f>
        <v/>
      </c>
      <c r="T162" s="91">
        <f>IF(OR($Q162="",$S162=""),"",$Q162-$S162)</f>
        <v/>
      </c>
      <c r="U162" s="93">
        <f>IF($B162="","",IFERROR(INDEX(cal_JYear,MATCH($B162,cal_Key,0)),""))</f>
        <v/>
      </c>
      <c r="V162" s="93">
        <f>IF($B162="","",IFERROR(INDEX(cal_JMonth,MATCH($B162,cal_Key,0)),""))</f>
        <v/>
      </c>
      <c r="W162" s="94">
        <f>IF($B162="","",IFERROR(INDEX(cal_YM,MATCH($B162,cal_Key,0)),""))</f>
        <v/>
      </c>
      <c r="X162" s="94">
        <f>IF($B162="","",IFERROR(INDEX(cal_Season,MATCH($B162,cal_Key,0)),""))</f>
        <v/>
      </c>
      <c r="Y162" s="94">
        <f>IF($B162="","",IFERROR(INDEX(cal_Key,MATCH(INDEX(cal_Serial,MATCH($B162,cal_Key,0))+p_Due,cal_Serial,0)),""))</f>
        <v/>
      </c>
      <c r="Z162" s="95">
        <f>IF($B162="","",IF(OR($I162="پرداخت‌شده",$I162="ابطال"),"—",IFERROR(IF(INDEX(cal_Serial,MATCH($B162,cal_Key,0))+p_Due&lt;TODAY(),"بله","خیر"),"تاریخ نامعتبر")))</f>
        <v/>
      </c>
    </row>
    <row r="163" ht="20" customHeight="1">
      <c r="B163" s="86" t="n"/>
      <c r="C163" s="87" t="n"/>
      <c r="D163" s="87" t="n"/>
      <c r="E163" s="87" t="n"/>
      <c r="F163" s="88" t="n"/>
      <c r="G163" s="89" t="n"/>
      <c r="H163" s="90" t="n"/>
      <c r="I163" s="86" t="n"/>
      <c r="J163" s="87" t="n"/>
      <c r="K163" s="91">
        <f>IF($F163="","",$F163*IF($G163="",1,$G163))</f>
        <v/>
      </c>
      <c r="L163" s="92">
        <f>IFERROR(IF($D163="","",INDEX(t_Svc_Rate,MATCH($D163,lst_Service,0))),"")</f>
        <v/>
      </c>
      <c r="M163" s="92">
        <f>IF($L163="","",$L163*IF(p_TierMode="پلکانی",LOOKUP($K163,t_Tier_From,t_Tier_Rate),1))</f>
        <v/>
      </c>
      <c r="N163" s="91">
        <f>IF($K163="","",$K163*$M163)</f>
        <v/>
      </c>
      <c r="O163" s="91">
        <f>IF($N163="","",IF($I163="ابطال",0,MAX(p_Min,MIN(p_Max,$N163))))</f>
        <v/>
      </c>
      <c r="P163" s="91">
        <f>IF($O163="","",ROUND($O163*p_Tax,0))</f>
        <v/>
      </c>
      <c r="Q163" s="91">
        <f>IF($O163="","",$O163+$P163)</f>
        <v/>
      </c>
      <c r="R163" s="92">
        <f>IF($A163="","",IF($H163&lt;&gt;"",$H163,IFERROR(INDEX(t_Member_Share,MATCH($C163,t_Members,0)),p_DefaultShare)))</f>
        <v/>
      </c>
      <c r="S163" s="91">
        <f>IF(OR($Q163="",$R163=""),"",ROUND($Q163*$R163,0))</f>
        <v/>
      </c>
      <c r="T163" s="91">
        <f>IF(OR($Q163="",$S163=""),"",$Q163-$S163)</f>
        <v/>
      </c>
      <c r="U163" s="93">
        <f>IF($B163="","",IFERROR(INDEX(cal_JYear,MATCH($B163,cal_Key,0)),""))</f>
        <v/>
      </c>
      <c r="V163" s="93">
        <f>IF($B163="","",IFERROR(INDEX(cal_JMonth,MATCH($B163,cal_Key,0)),""))</f>
        <v/>
      </c>
      <c r="W163" s="94">
        <f>IF($B163="","",IFERROR(INDEX(cal_YM,MATCH($B163,cal_Key,0)),""))</f>
        <v/>
      </c>
      <c r="X163" s="94">
        <f>IF($B163="","",IFERROR(INDEX(cal_Season,MATCH($B163,cal_Key,0)),""))</f>
        <v/>
      </c>
      <c r="Y163" s="94">
        <f>IF($B163="","",IFERROR(INDEX(cal_Key,MATCH(INDEX(cal_Serial,MATCH($B163,cal_Key,0))+p_Due,cal_Serial,0)),""))</f>
        <v/>
      </c>
      <c r="Z163" s="95">
        <f>IF($B163="","",IF(OR($I163="پرداخت‌شده",$I163="ابطال"),"—",IFERROR(IF(INDEX(cal_Serial,MATCH($B163,cal_Key,0))+p_Due&lt;TODAY(),"بله","خیر"),"تاریخ نامعتبر")))</f>
        <v/>
      </c>
    </row>
    <row r="164" ht="20" customHeight="1">
      <c r="B164" s="86" t="n"/>
      <c r="C164" s="87" t="n"/>
      <c r="D164" s="87" t="n"/>
      <c r="E164" s="87" t="n"/>
      <c r="F164" s="88" t="n"/>
      <c r="G164" s="89" t="n"/>
      <c r="H164" s="90" t="n"/>
      <c r="I164" s="86" t="n"/>
      <c r="J164" s="87" t="n"/>
      <c r="K164" s="91">
        <f>IF($F164="","",$F164*IF($G164="",1,$G164))</f>
        <v/>
      </c>
      <c r="L164" s="92">
        <f>IFERROR(IF($D164="","",INDEX(t_Svc_Rate,MATCH($D164,lst_Service,0))),"")</f>
        <v/>
      </c>
      <c r="M164" s="92">
        <f>IF($L164="","",$L164*IF(p_TierMode="پلکانی",LOOKUP($K164,t_Tier_From,t_Tier_Rate),1))</f>
        <v/>
      </c>
      <c r="N164" s="91">
        <f>IF($K164="","",$K164*$M164)</f>
        <v/>
      </c>
      <c r="O164" s="91">
        <f>IF($N164="","",IF($I164="ابطال",0,MAX(p_Min,MIN(p_Max,$N164))))</f>
        <v/>
      </c>
      <c r="P164" s="91">
        <f>IF($O164="","",ROUND($O164*p_Tax,0))</f>
        <v/>
      </c>
      <c r="Q164" s="91">
        <f>IF($O164="","",$O164+$P164)</f>
        <v/>
      </c>
      <c r="R164" s="92">
        <f>IF($A164="","",IF($H164&lt;&gt;"",$H164,IFERROR(INDEX(t_Member_Share,MATCH($C164,t_Members,0)),p_DefaultShare)))</f>
        <v/>
      </c>
      <c r="S164" s="91">
        <f>IF(OR($Q164="",$R164=""),"",ROUND($Q164*$R164,0))</f>
        <v/>
      </c>
      <c r="T164" s="91">
        <f>IF(OR($Q164="",$S164=""),"",$Q164-$S164)</f>
        <v/>
      </c>
      <c r="U164" s="93">
        <f>IF($B164="","",IFERROR(INDEX(cal_JYear,MATCH($B164,cal_Key,0)),""))</f>
        <v/>
      </c>
      <c r="V164" s="93">
        <f>IF($B164="","",IFERROR(INDEX(cal_JMonth,MATCH($B164,cal_Key,0)),""))</f>
        <v/>
      </c>
      <c r="W164" s="94">
        <f>IF($B164="","",IFERROR(INDEX(cal_YM,MATCH($B164,cal_Key,0)),""))</f>
        <v/>
      </c>
      <c r="X164" s="94">
        <f>IF($B164="","",IFERROR(INDEX(cal_Season,MATCH($B164,cal_Key,0)),""))</f>
        <v/>
      </c>
      <c r="Y164" s="94">
        <f>IF($B164="","",IFERROR(INDEX(cal_Key,MATCH(INDEX(cal_Serial,MATCH($B164,cal_Key,0))+p_Due,cal_Serial,0)),""))</f>
        <v/>
      </c>
      <c r="Z164" s="95">
        <f>IF($B164="","",IF(OR($I164="پرداخت‌شده",$I164="ابطال"),"—",IFERROR(IF(INDEX(cal_Serial,MATCH($B164,cal_Key,0))+p_Due&lt;TODAY(),"بله","خیر"),"تاریخ نامعتبر")))</f>
        <v/>
      </c>
    </row>
    <row r="165" ht="20" customHeight="1">
      <c r="B165" s="86" t="n"/>
      <c r="C165" s="87" t="n"/>
      <c r="D165" s="87" t="n"/>
      <c r="E165" s="87" t="n"/>
      <c r="F165" s="88" t="n"/>
      <c r="G165" s="89" t="n"/>
      <c r="H165" s="90" t="n"/>
      <c r="I165" s="86" t="n"/>
      <c r="J165" s="87" t="n"/>
      <c r="K165" s="91">
        <f>IF($F165="","",$F165*IF($G165="",1,$G165))</f>
        <v/>
      </c>
      <c r="L165" s="92">
        <f>IFERROR(IF($D165="","",INDEX(t_Svc_Rate,MATCH($D165,lst_Service,0))),"")</f>
        <v/>
      </c>
      <c r="M165" s="92">
        <f>IF($L165="","",$L165*IF(p_TierMode="پلکانی",LOOKUP($K165,t_Tier_From,t_Tier_Rate),1))</f>
        <v/>
      </c>
      <c r="N165" s="91">
        <f>IF($K165="","",$K165*$M165)</f>
        <v/>
      </c>
      <c r="O165" s="91">
        <f>IF($N165="","",IF($I165="ابطال",0,MAX(p_Min,MIN(p_Max,$N165))))</f>
        <v/>
      </c>
      <c r="P165" s="91">
        <f>IF($O165="","",ROUND($O165*p_Tax,0))</f>
        <v/>
      </c>
      <c r="Q165" s="91">
        <f>IF($O165="","",$O165+$P165)</f>
        <v/>
      </c>
      <c r="R165" s="92">
        <f>IF($A165="","",IF($H165&lt;&gt;"",$H165,IFERROR(INDEX(t_Member_Share,MATCH($C165,t_Members,0)),p_DefaultShare)))</f>
        <v/>
      </c>
      <c r="S165" s="91">
        <f>IF(OR($Q165="",$R165=""),"",ROUND($Q165*$R165,0))</f>
        <v/>
      </c>
      <c r="T165" s="91">
        <f>IF(OR($Q165="",$S165=""),"",$Q165-$S165)</f>
        <v/>
      </c>
      <c r="U165" s="93">
        <f>IF($B165="","",IFERROR(INDEX(cal_JYear,MATCH($B165,cal_Key,0)),""))</f>
        <v/>
      </c>
      <c r="V165" s="93">
        <f>IF($B165="","",IFERROR(INDEX(cal_JMonth,MATCH($B165,cal_Key,0)),""))</f>
        <v/>
      </c>
      <c r="W165" s="94">
        <f>IF($B165="","",IFERROR(INDEX(cal_YM,MATCH($B165,cal_Key,0)),""))</f>
        <v/>
      </c>
      <c r="X165" s="94">
        <f>IF($B165="","",IFERROR(INDEX(cal_Season,MATCH($B165,cal_Key,0)),""))</f>
        <v/>
      </c>
      <c r="Y165" s="94">
        <f>IF($B165="","",IFERROR(INDEX(cal_Key,MATCH(INDEX(cal_Serial,MATCH($B165,cal_Key,0))+p_Due,cal_Serial,0)),""))</f>
        <v/>
      </c>
      <c r="Z165" s="95">
        <f>IF($B165="","",IF(OR($I165="پرداخت‌شده",$I165="ابطال"),"—",IFERROR(IF(INDEX(cal_Serial,MATCH($B165,cal_Key,0))+p_Due&lt;TODAY(),"بله","خیر"),"تاریخ نامعتبر")))</f>
        <v/>
      </c>
    </row>
    <row r="166" ht="20" customHeight="1">
      <c r="B166" s="86" t="n"/>
      <c r="C166" s="87" t="n"/>
      <c r="D166" s="87" t="n"/>
      <c r="E166" s="87" t="n"/>
      <c r="F166" s="88" t="n"/>
      <c r="G166" s="89" t="n"/>
      <c r="H166" s="90" t="n"/>
      <c r="I166" s="86" t="n"/>
      <c r="J166" s="87" t="n"/>
      <c r="K166" s="91">
        <f>IF($F166="","",$F166*IF($G166="",1,$G166))</f>
        <v/>
      </c>
      <c r="L166" s="92">
        <f>IFERROR(IF($D166="","",INDEX(t_Svc_Rate,MATCH($D166,lst_Service,0))),"")</f>
        <v/>
      </c>
      <c r="M166" s="92">
        <f>IF($L166="","",$L166*IF(p_TierMode="پلکانی",LOOKUP($K166,t_Tier_From,t_Tier_Rate),1))</f>
        <v/>
      </c>
      <c r="N166" s="91">
        <f>IF($K166="","",$K166*$M166)</f>
        <v/>
      </c>
      <c r="O166" s="91">
        <f>IF($N166="","",IF($I166="ابطال",0,MAX(p_Min,MIN(p_Max,$N166))))</f>
        <v/>
      </c>
      <c r="P166" s="91">
        <f>IF($O166="","",ROUND($O166*p_Tax,0))</f>
        <v/>
      </c>
      <c r="Q166" s="91">
        <f>IF($O166="","",$O166+$P166)</f>
        <v/>
      </c>
      <c r="R166" s="92">
        <f>IF($A166="","",IF($H166&lt;&gt;"",$H166,IFERROR(INDEX(t_Member_Share,MATCH($C166,t_Members,0)),p_DefaultShare)))</f>
        <v/>
      </c>
      <c r="S166" s="91">
        <f>IF(OR($Q166="",$R166=""),"",ROUND($Q166*$R166,0))</f>
        <v/>
      </c>
      <c r="T166" s="91">
        <f>IF(OR($Q166="",$S166=""),"",$Q166-$S166)</f>
        <v/>
      </c>
      <c r="U166" s="93">
        <f>IF($B166="","",IFERROR(INDEX(cal_JYear,MATCH($B166,cal_Key,0)),""))</f>
        <v/>
      </c>
      <c r="V166" s="93">
        <f>IF($B166="","",IFERROR(INDEX(cal_JMonth,MATCH($B166,cal_Key,0)),""))</f>
        <v/>
      </c>
      <c r="W166" s="94">
        <f>IF($B166="","",IFERROR(INDEX(cal_YM,MATCH($B166,cal_Key,0)),""))</f>
        <v/>
      </c>
      <c r="X166" s="94">
        <f>IF($B166="","",IFERROR(INDEX(cal_Season,MATCH($B166,cal_Key,0)),""))</f>
        <v/>
      </c>
      <c r="Y166" s="94">
        <f>IF($B166="","",IFERROR(INDEX(cal_Key,MATCH(INDEX(cal_Serial,MATCH($B166,cal_Key,0))+p_Due,cal_Serial,0)),""))</f>
        <v/>
      </c>
      <c r="Z166" s="95">
        <f>IF($B166="","",IF(OR($I166="پرداخت‌شده",$I166="ابطال"),"—",IFERROR(IF(INDEX(cal_Serial,MATCH($B166,cal_Key,0))+p_Due&lt;TODAY(),"بله","خیر"),"تاریخ نامعتبر")))</f>
        <v/>
      </c>
    </row>
    <row r="167" ht="20" customHeight="1">
      <c r="B167" s="86" t="n"/>
      <c r="C167" s="87" t="n"/>
      <c r="D167" s="87" t="n"/>
      <c r="E167" s="87" t="n"/>
      <c r="F167" s="88" t="n"/>
      <c r="G167" s="89" t="n"/>
      <c r="H167" s="90" t="n"/>
      <c r="I167" s="86" t="n"/>
      <c r="J167" s="87" t="n"/>
      <c r="K167" s="91">
        <f>IF($F167="","",$F167*IF($G167="",1,$G167))</f>
        <v/>
      </c>
      <c r="L167" s="92">
        <f>IFERROR(IF($D167="","",INDEX(t_Svc_Rate,MATCH($D167,lst_Service,0))),"")</f>
        <v/>
      </c>
      <c r="M167" s="92">
        <f>IF($L167="","",$L167*IF(p_TierMode="پلکانی",LOOKUP($K167,t_Tier_From,t_Tier_Rate),1))</f>
        <v/>
      </c>
      <c r="N167" s="91">
        <f>IF($K167="","",$K167*$M167)</f>
        <v/>
      </c>
      <c r="O167" s="91">
        <f>IF($N167="","",IF($I167="ابطال",0,MAX(p_Min,MIN(p_Max,$N167))))</f>
        <v/>
      </c>
      <c r="P167" s="91">
        <f>IF($O167="","",ROUND($O167*p_Tax,0))</f>
        <v/>
      </c>
      <c r="Q167" s="91">
        <f>IF($O167="","",$O167+$P167)</f>
        <v/>
      </c>
      <c r="R167" s="92">
        <f>IF($A167="","",IF($H167&lt;&gt;"",$H167,IFERROR(INDEX(t_Member_Share,MATCH($C167,t_Members,0)),p_DefaultShare)))</f>
        <v/>
      </c>
      <c r="S167" s="91">
        <f>IF(OR($Q167="",$R167=""),"",ROUND($Q167*$R167,0))</f>
        <v/>
      </c>
      <c r="T167" s="91">
        <f>IF(OR($Q167="",$S167=""),"",$Q167-$S167)</f>
        <v/>
      </c>
      <c r="U167" s="93">
        <f>IF($B167="","",IFERROR(INDEX(cal_JYear,MATCH($B167,cal_Key,0)),""))</f>
        <v/>
      </c>
      <c r="V167" s="93">
        <f>IF($B167="","",IFERROR(INDEX(cal_JMonth,MATCH($B167,cal_Key,0)),""))</f>
        <v/>
      </c>
      <c r="W167" s="94">
        <f>IF($B167="","",IFERROR(INDEX(cal_YM,MATCH($B167,cal_Key,0)),""))</f>
        <v/>
      </c>
      <c r="X167" s="94">
        <f>IF($B167="","",IFERROR(INDEX(cal_Season,MATCH($B167,cal_Key,0)),""))</f>
        <v/>
      </c>
      <c r="Y167" s="94">
        <f>IF($B167="","",IFERROR(INDEX(cal_Key,MATCH(INDEX(cal_Serial,MATCH($B167,cal_Key,0))+p_Due,cal_Serial,0)),""))</f>
        <v/>
      </c>
      <c r="Z167" s="95">
        <f>IF($B167="","",IF(OR($I167="پرداخت‌شده",$I167="ابطال"),"—",IFERROR(IF(INDEX(cal_Serial,MATCH($B167,cal_Key,0))+p_Due&lt;TODAY(),"بله","خیر"),"تاریخ نامعتبر")))</f>
        <v/>
      </c>
    </row>
    <row r="168" ht="20" customHeight="1">
      <c r="B168" s="86" t="n"/>
      <c r="C168" s="87" t="n"/>
      <c r="D168" s="87" t="n"/>
      <c r="E168" s="87" t="n"/>
      <c r="F168" s="88" t="n"/>
      <c r="G168" s="89" t="n"/>
      <c r="H168" s="90" t="n"/>
      <c r="I168" s="86" t="n"/>
      <c r="J168" s="87" t="n"/>
      <c r="K168" s="91">
        <f>IF($F168="","",$F168*IF($G168="",1,$G168))</f>
        <v/>
      </c>
      <c r="L168" s="92">
        <f>IFERROR(IF($D168="","",INDEX(t_Svc_Rate,MATCH($D168,lst_Service,0))),"")</f>
        <v/>
      </c>
      <c r="M168" s="92">
        <f>IF($L168="","",$L168*IF(p_TierMode="پلکانی",LOOKUP($K168,t_Tier_From,t_Tier_Rate),1))</f>
        <v/>
      </c>
      <c r="N168" s="91">
        <f>IF($K168="","",$K168*$M168)</f>
        <v/>
      </c>
      <c r="O168" s="91">
        <f>IF($N168="","",IF($I168="ابطال",0,MAX(p_Min,MIN(p_Max,$N168))))</f>
        <v/>
      </c>
      <c r="P168" s="91">
        <f>IF($O168="","",ROUND($O168*p_Tax,0))</f>
        <v/>
      </c>
      <c r="Q168" s="91">
        <f>IF($O168="","",$O168+$P168)</f>
        <v/>
      </c>
      <c r="R168" s="92">
        <f>IF($A168="","",IF($H168&lt;&gt;"",$H168,IFERROR(INDEX(t_Member_Share,MATCH($C168,t_Members,0)),p_DefaultShare)))</f>
        <v/>
      </c>
      <c r="S168" s="91">
        <f>IF(OR($Q168="",$R168=""),"",ROUND($Q168*$R168,0))</f>
        <v/>
      </c>
      <c r="T168" s="91">
        <f>IF(OR($Q168="",$S168=""),"",$Q168-$S168)</f>
        <v/>
      </c>
      <c r="U168" s="93">
        <f>IF($B168="","",IFERROR(INDEX(cal_JYear,MATCH($B168,cal_Key,0)),""))</f>
        <v/>
      </c>
      <c r="V168" s="93">
        <f>IF($B168="","",IFERROR(INDEX(cal_JMonth,MATCH($B168,cal_Key,0)),""))</f>
        <v/>
      </c>
      <c r="W168" s="94">
        <f>IF($B168="","",IFERROR(INDEX(cal_YM,MATCH($B168,cal_Key,0)),""))</f>
        <v/>
      </c>
      <c r="X168" s="94">
        <f>IF($B168="","",IFERROR(INDEX(cal_Season,MATCH($B168,cal_Key,0)),""))</f>
        <v/>
      </c>
      <c r="Y168" s="94">
        <f>IF($B168="","",IFERROR(INDEX(cal_Key,MATCH(INDEX(cal_Serial,MATCH($B168,cal_Key,0))+p_Due,cal_Serial,0)),""))</f>
        <v/>
      </c>
      <c r="Z168" s="95">
        <f>IF($B168="","",IF(OR($I168="پرداخت‌شده",$I168="ابطال"),"—",IFERROR(IF(INDEX(cal_Serial,MATCH($B168,cal_Key,0))+p_Due&lt;TODAY(),"بله","خیر"),"تاریخ نامعتبر")))</f>
        <v/>
      </c>
    </row>
    <row r="169" ht="20" customHeight="1">
      <c r="B169" s="86" t="n"/>
      <c r="C169" s="87" t="n"/>
      <c r="D169" s="87" t="n"/>
      <c r="E169" s="87" t="n"/>
      <c r="F169" s="88" t="n"/>
      <c r="G169" s="89" t="n"/>
      <c r="H169" s="90" t="n"/>
      <c r="I169" s="86" t="n"/>
      <c r="J169" s="87" t="n"/>
      <c r="K169" s="91">
        <f>IF($F169="","",$F169*IF($G169="",1,$G169))</f>
        <v/>
      </c>
      <c r="L169" s="92">
        <f>IFERROR(IF($D169="","",INDEX(t_Svc_Rate,MATCH($D169,lst_Service,0))),"")</f>
        <v/>
      </c>
      <c r="M169" s="92">
        <f>IF($L169="","",$L169*IF(p_TierMode="پلکانی",LOOKUP($K169,t_Tier_From,t_Tier_Rate),1))</f>
        <v/>
      </c>
      <c r="N169" s="91">
        <f>IF($K169="","",$K169*$M169)</f>
        <v/>
      </c>
      <c r="O169" s="91">
        <f>IF($N169="","",IF($I169="ابطال",0,MAX(p_Min,MIN(p_Max,$N169))))</f>
        <v/>
      </c>
      <c r="P169" s="91">
        <f>IF($O169="","",ROUND($O169*p_Tax,0))</f>
        <v/>
      </c>
      <c r="Q169" s="91">
        <f>IF($O169="","",$O169+$P169)</f>
        <v/>
      </c>
      <c r="R169" s="92">
        <f>IF($A169="","",IF($H169&lt;&gt;"",$H169,IFERROR(INDEX(t_Member_Share,MATCH($C169,t_Members,0)),p_DefaultShare)))</f>
        <v/>
      </c>
      <c r="S169" s="91">
        <f>IF(OR($Q169="",$R169=""),"",ROUND($Q169*$R169,0))</f>
        <v/>
      </c>
      <c r="T169" s="91">
        <f>IF(OR($Q169="",$S169=""),"",$Q169-$S169)</f>
        <v/>
      </c>
      <c r="U169" s="93">
        <f>IF($B169="","",IFERROR(INDEX(cal_JYear,MATCH($B169,cal_Key,0)),""))</f>
        <v/>
      </c>
      <c r="V169" s="93">
        <f>IF($B169="","",IFERROR(INDEX(cal_JMonth,MATCH($B169,cal_Key,0)),""))</f>
        <v/>
      </c>
      <c r="W169" s="94">
        <f>IF($B169="","",IFERROR(INDEX(cal_YM,MATCH($B169,cal_Key,0)),""))</f>
        <v/>
      </c>
      <c r="X169" s="94">
        <f>IF($B169="","",IFERROR(INDEX(cal_Season,MATCH($B169,cal_Key,0)),""))</f>
        <v/>
      </c>
      <c r="Y169" s="94">
        <f>IF($B169="","",IFERROR(INDEX(cal_Key,MATCH(INDEX(cal_Serial,MATCH($B169,cal_Key,0))+p_Due,cal_Serial,0)),""))</f>
        <v/>
      </c>
      <c r="Z169" s="95">
        <f>IF($B169="","",IF(OR($I169="پرداخت‌شده",$I169="ابطال"),"—",IFERROR(IF(INDEX(cal_Serial,MATCH($B169,cal_Key,0))+p_Due&lt;TODAY(),"بله","خیر"),"تاریخ نامعتبر")))</f>
        <v/>
      </c>
    </row>
    <row r="170" ht="20" customHeight="1">
      <c r="B170" s="86" t="n"/>
      <c r="C170" s="87" t="n"/>
      <c r="D170" s="87" t="n"/>
      <c r="E170" s="87" t="n"/>
      <c r="F170" s="88" t="n"/>
      <c r="G170" s="89" t="n"/>
      <c r="H170" s="90" t="n"/>
      <c r="I170" s="86" t="n"/>
      <c r="J170" s="87" t="n"/>
      <c r="K170" s="91">
        <f>IF($F170="","",$F170*IF($G170="",1,$G170))</f>
        <v/>
      </c>
      <c r="L170" s="92">
        <f>IFERROR(IF($D170="","",INDEX(t_Svc_Rate,MATCH($D170,lst_Service,0))),"")</f>
        <v/>
      </c>
      <c r="M170" s="92">
        <f>IF($L170="","",$L170*IF(p_TierMode="پلکانی",LOOKUP($K170,t_Tier_From,t_Tier_Rate),1))</f>
        <v/>
      </c>
      <c r="N170" s="91">
        <f>IF($K170="","",$K170*$M170)</f>
        <v/>
      </c>
      <c r="O170" s="91">
        <f>IF($N170="","",IF($I170="ابطال",0,MAX(p_Min,MIN(p_Max,$N170))))</f>
        <v/>
      </c>
      <c r="P170" s="91">
        <f>IF($O170="","",ROUND($O170*p_Tax,0))</f>
        <v/>
      </c>
      <c r="Q170" s="91">
        <f>IF($O170="","",$O170+$P170)</f>
        <v/>
      </c>
      <c r="R170" s="92">
        <f>IF($A170="","",IF($H170&lt;&gt;"",$H170,IFERROR(INDEX(t_Member_Share,MATCH($C170,t_Members,0)),p_DefaultShare)))</f>
        <v/>
      </c>
      <c r="S170" s="91">
        <f>IF(OR($Q170="",$R170=""),"",ROUND($Q170*$R170,0))</f>
        <v/>
      </c>
      <c r="T170" s="91">
        <f>IF(OR($Q170="",$S170=""),"",$Q170-$S170)</f>
        <v/>
      </c>
      <c r="U170" s="93">
        <f>IF($B170="","",IFERROR(INDEX(cal_JYear,MATCH($B170,cal_Key,0)),""))</f>
        <v/>
      </c>
      <c r="V170" s="93">
        <f>IF($B170="","",IFERROR(INDEX(cal_JMonth,MATCH($B170,cal_Key,0)),""))</f>
        <v/>
      </c>
      <c r="W170" s="94">
        <f>IF($B170="","",IFERROR(INDEX(cal_YM,MATCH($B170,cal_Key,0)),""))</f>
        <v/>
      </c>
      <c r="X170" s="94">
        <f>IF($B170="","",IFERROR(INDEX(cal_Season,MATCH($B170,cal_Key,0)),""))</f>
        <v/>
      </c>
      <c r="Y170" s="94">
        <f>IF($B170="","",IFERROR(INDEX(cal_Key,MATCH(INDEX(cal_Serial,MATCH($B170,cal_Key,0))+p_Due,cal_Serial,0)),""))</f>
        <v/>
      </c>
      <c r="Z170" s="95">
        <f>IF($B170="","",IF(OR($I170="پرداخت‌شده",$I170="ابطال"),"—",IFERROR(IF(INDEX(cal_Serial,MATCH($B170,cal_Key,0))+p_Due&lt;TODAY(),"بله","خیر"),"تاریخ نامعتبر")))</f>
        <v/>
      </c>
    </row>
    <row r="171" ht="20" customHeight="1">
      <c r="B171" s="86" t="n"/>
      <c r="C171" s="87" t="n"/>
      <c r="D171" s="87" t="n"/>
      <c r="E171" s="87" t="n"/>
      <c r="F171" s="88" t="n"/>
      <c r="G171" s="89" t="n"/>
      <c r="H171" s="90" t="n"/>
      <c r="I171" s="86" t="n"/>
      <c r="J171" s="87" t="n"/>
      <c r="K171" s="91">
        <f>IF($F171="","",$F171*IF($G171="",1,$G171))</f>
        <v/>
      </c>
      <c r="L171" s="92">
        <f>IFERROR(IF($D171="","",INDEX(t_Svc_Rate,MATCH($D171,lst_Service,0))),"")</f>
        <v/>
      </c>
      <c r="M171" s="92">
        <f>IF($L171="","",$L171*IF(p_TierMode="پلکانی",LOOKUP($K171,t_Tier_From,t_Tier_Rate),1))</f>
        <v/>
      </c>
      <c r="N171" s="91">
        <f>IF($K171="","",$K171*$M171)</f>
        <v/>
      </c>
      <c r="O171" s="91">
        <f>IF($N171="","",IF($I171="ابطال",0,MAX(p_Min,MIN(p_Max,$N171))))</f>
        <v/>
      </c>
      <c r="P171" s="91">
        <f>IF($O171="","",ROUND($O171*p_Tax,0))</f>
        <v/>
      </c>
      <c r="Q171" s="91">
        <f>IF($O171="","",$O171+$P171)</f>
        <v/>
      </c>
      <c r="R171" s="92">
        <f>IF($A171="","",IF($H171&lt;&gt;"",$H171,IFERROR(INDEX(t_Member_Share,MATCH($C171,t_Members,0)),p_DefaultShare)))</f>
        <v/>
      </c>
      <c r="S171" s="91">
        <f>IF(OR($Q171="",$R171=""),"",ROUND($Q171*$R171,0))</f>
        <v/>
      </c>
      <c r="T171" s="91">
        <f>IF(OR($Q171="",$S171=""),"",$Q171-$S171)</f>
        <v/>
      </c>
      <c r="U171" s="93">
        <f>IF($B171="","",IFERROR(INDEX(cal_JYear,MATCH($B171,cal_Key,0)),""))</f>
        <v/>
      </c>
      <c r="V171" s="93">
        <f>IF($B171="","",IFERROR(INDEX(cal_JMonth,MATCH($B171,cal_Key,0)),""))</f>
        <v/>
      </c>
      <c r="W171" s="94">
        <f>IF($B171="","",IFERROR(INDEX(cal_YM,MATCH($B171,cal_Key,0)),""))</f>
        <v/>
      </c>
      <c r="X171" s="94">
        <f>IF($B171="","",IFERROR(INDEX(cal_Season,MATCH($B171,cal_Key,0)),""))</f>
        <v/>
      </c>
      <c r="Y171" s="94">
        <f>IF($B171="","",IFERROR(INDEX(cal_Key,MATCH(INDEX(cal_Serial,MATCH($B171,cal_Key,0))+p_Due,cal_Serial,0)),""))</f>
        <v/>
      </c>
      <c r="Z171" s="95">
        <f>IF($B171="","",IF(OR($I171="پرداخت‌شده",$I171="ابطال"),"—",IFERROR(IF(INDEX(cal_Serial,MATCH($B171,cal_Key,0))+p_Due&lt;TODAY(),"بله","خیر"),"تاریخ نامعتبر")))</f>
        <v/>
      </c>
    </row>
    <row r="172" ht="20" customHeight="1">
      <c r="B172" s="86" t="n"/>
      <c r="C172" s="87" t="n"/>
      <c r="D172" s="87" t="n"/>
      <c r="E172" s="87" t="n"/>
      <c r="F172" s="88" t="n"/>
      <c r="G172" s="89" t="n"/>
      <c r="H172" s="90" t="n"/>
      <c r="I172" s="86" t="n"/>
      <c r="J172" s="87" t="n"/>
      <c r="K172" s="91">
        <f>IF($F172="","",$F172*IF($G172="",1,$G172))</f>
        <v/>
      </c>
      <c r="L172" s="92">
        <f>IFERROR(IF($D172="","",INDEX(t_Svc_Rate,MATCH($D172,lst_Service,0))),"")</f>
        <v/>
      </c>
      <c r="M172" s="92">
        <f>IF($L172="","",$L172*IF(p_TierMode="پلکانی",LOOKUP($K172,t_Tier_From,t_Tier_Rate),1))</f>
        <v/>
      </c>
      <c r="N172" s="91">
        <f>IF($K172="","",$K172*$M172)</f>
        <v/>
      </c>
      <c r="O172" s="91">
        <f>IF($N172="","",IF($I172="ابطال",0,MAX(p_Min,MIN(p_Max,$N172))))</f>
        <v/>
      </c>
      <c r="P172" s="91">
        <f>IF($O172="","",ROUND($O172*p_Tax,0))</f>
        <v/>
      </c>
      <c r="Q172" s="91">
        <f>IF($O172="","",$O172+$P172)</f>
        <v/>
      </c>
      <c r="R172" s="92">
        <f>IF($A172="","",IF($H172&lt;&gt;"",$H172,IFERROR(INDEX(t_Member_Share,MATCH($C172,t_Members,0)),p_DefaultShare)))</f>
        <v/>
      </c>
      <c r="S172" s="91">
        <f>IF(OR($Q172="",$R172=""),"",ROUND($Q172*$R172,0))</f>
        <v/>
      </c>
      <c r="T172" s="91">
        <f>IF(OR($Q172="",$S172=""),"",$Q172-$S172)</f>
        <v/>
      </c>
      <c r="U172" s="93">
        <f>IF($B172="","",IFERROR(INDEX(cal_JYear,MATCH($B172,cal_Key,0)),""))</f>
        <v/>
      </c>
      <c r="V172" s="93">
        <f>IF($B172="","",IFERROR(INDEX(cal_JMonth,MATCH($B172,cal_Key,0)),""))</f>
        <v/>
      </c>
      <c r="W172" s="94">
        <f>IF($B172="","",IFERROR(INDEX(cal_YM,MATCH($B172,cal_Key,0)),""))</f>
        <v/>
      </c>
      <c r="X172" s="94">
        <f>IF($B172="","",IFERROR(INDEX(cal_Season,MATCH($B172,cal_Key,0)),""))</f>
        <v/>
      </c>
      <c r="Y172" s="94">
        <f>IF($B172="","",IFERROR(INDEX(cal_Key,MATCH(INDEX(cal_Serial,MATCH($B172,cal_Key,0))+p_Due,cal_Serial,0)),""))</f>
        <v/>
      </c>
      <c r="Z172" s="95">
        <f>IF($B172="","",IF(OR($I172="پرداخت‌شده",$I172="ابطال"),"—",IFERROR(IF(INDEX(cal_Serial,MATCH($B172,cal_Key,0))+p_Due&lt;TODAY(),"بله","خیر"),"تاریخ نامعتبر")))</f>
        <v/>
      </c>
    </row>
    <row r="173" ht="20" customHeight="1">
      <c r="B173" s="86" t="n"/>
      <c r="C173" s="87" t="n"/>
      <c r="D173" s="87" t="n"/>
      <c r="E173" s="87" t="n"/>
      <c r="F173" s="88" t="n"/>
      <c r="G173" s="89" t="n"/>
      <c r="H173" s="90" t="n"/>
      <c r="I173" s="86" t="n"/>
      <c r="J173" s="87" t="n"/>
      <c r="K173" s="91">
        <f>IF($F173="","",$F173*IF($G173="",1,$G173))</f>
        <v/>
      </c>
      <c r="L173" s="92">
        <f>IFERROR(IF($D173="","",INDEX(t_Svc_Rate,MATCH($D173,lst_Service,0))),"")</f>
        <v/>
      </c>
      <c r="M173" s="92">
        <f>IF($L173="","",$L173*IF(p_TierMode="پلکانی",LOOKUP($K173,t_Tier_From,t_Tier_Rate),1))</f>
        <v/>
      </c>
      <c r="N173" s="91">
        <f>IF($K173="","",$K173*$M173)</f>
        <v/>
      </c>
      <c r="O173" s="91">
        <f>IF($N173="","",IF($I173="ابطال",0,MAX(p_Min,MIN(p_Max,$N173))))</f>
        <v/>
      </c>
      <c r="P173" s="91">
        <f>IF($O173="","",ROUND($O173*p_Tax,0))</f>
        <v/>
      </c>
      <c r="Q173" s="91">
        <f>IF($O173="","",$O173+$P173)</f>
        <v/>
      </c>
      <c r="R173" s="92">
        <f>IF($A173="","",IF($H173&lt;&gt;"",$H173,IFERROR(INDEX(t_Member_Share,MATCH($C173,t_Members,0)),p_DefaultShare)))</f>
        <v/>
      </c>
      <c r="S173" s="91">
        <f>IF(OR($Q173="",$R173=""),"",ROUND($Q173*$R173,0))</f>
        <v/>
      </c>
      <c r="T173" s="91">
        <f>IF(OR($Q173="",$S173=""),"",$Q173-$S173)</f>
        <v/>
      </c>
      <c r="U173" s="93">
        <f>IF($B173="","",IFERROR(INDEX(cal_JYear,MATCH($B173,cal_Key,0)),""))</f>
        <v/>
      </c>
      <c r="V173" s="93">
        <f>IF($B173="","",IFERROR(INDEX(cal_JMonth,MATCH($B173,cal_Key,0)),""))</f>
        <v/>
      </c>
      <c r="W173" s="94">
        <f>IF($B173="","",IFERROR(INDEX(cal_YM,MATCH($B173,cal_Key,0)),""))</f>
        <v/>
      </c>
      <c r="X173" s="94">
        <f>IF($B173="","",IFERROR(INDEX(cal_Season,MATCH($B173,cal_Key,0)),""))</f>
        <v/>
      </c>
      <c r="Y173" s="94">
        <f>IF($B173="","",IFERROR(INDEX(cal_Key,MATCH(INDEX(cal_Serial,MATCH($B173,cal_Key,0))+p_Due,cal_Serial,0)),""))</f>
        <v/>
      </c>
      <c r="Z173" s="95">
        <f>IF($B173="","",IF(OR($I173="پرداخت‌شده",$I173="ابطال"),"—",IFERROR(IF(INDEX(cal_Serial,MATCH($B173,cal_Key,0))+p_Due&lt;TODAY(),"بله","خیر"),"تاریخ نامعتبر")))</f>
        <v/>
      </c>
    </row>
    <row r="174" ht="20" customHeight="1">
      <c r="B174" s="86" t="n"/>
      <c r="C174" s="87" t="n"/>
      <c r="D174" s="87" t="n"/>
      <c r="E174" s="87" t="n"/>
      <c r="F174" s="88" t="n"/>
      <c r="G174" s="89" t="n"/>
      <c r="H174" s="90" t="n"/>
      <c r="I174" s="86" t="n"/>
      <c r="J174" s="87" t="n"/>
      <c r="K174" s="91">
        <f>IF($F174="","",$F174*IF($G174="",1,$G174))</f>
        <v/>
      </c>
      <c r="L174" s="92">
        <f>IFERROR(IF($D174="","",INDEX(t_Svc_Rate,MATCH($D174,lst_Service,0))),"")</f>
        <v/>
      </c>
      <c r="M174" s="92">
        <f>IF($L174="","",$L174*IF(p_TierMode="پلکانی",LOOKUP($K174,t_Tier_From,t_Tier_Rate),1))</f>
        <v/>
      </c>
      <c r="N174" s="91">
        <f>IF($K174="","",$K174*$M174)</f>
        <v/>
      </c>
      <c r="O174" s="91">
        <f>IF($N174="","",IF($I174="ابطال",0,MAX(p_Min,MIN(p_Max,$N174))))</f>
        <v/>
      </c>
      <c r="P174" s="91">
        <f>IF($O174="","",ROUND($O174*p_Tax,0))</f>
        <v/>
      </c>
      <c r="Q174" s="91">
        <f>IF($O174="","",$O174+$P174)</f>
        <v/>
      </c>
      <c r="R174" s="92">
        <f>IF($A174="","",IF($H174&lt;&gt;"",$H174,IFERROR(INDEX(t_Member_Share,MATCH($C174,t_Members,0)),p_DefaultShare)))</f>
        <v/>
      </c>
      <c r="S174" s="91">
        <f>IF(OR($Q174="",$R174=""),"",ROUND($Q174*$R174,0))</f>
        <v/>
      </c>
      <c r="T174" s="91">
        <f>IF(OR($Q174="",$S174=""),"",$Q174-$S174)</f>
        <v/>
      </c>
      <c r="U174" s="93">
        <f>IF($B174="","",IFERROR(INDEX(cal_JYear,MATCH($B174,cal_Key,0)),""))</f>
        <v/>
      </c>
      <c r="V174" s="93">
        <f>IF($B174="","",IFERROR(INDEX(cal_JMonth,MATCH($B174,cal_Key,0)),""))</f>
        <v/>
      </c>
      <c r="W174" s="94">
        <f>IF($B174="","",IFERROR(INDEX(cal_YM,MATCH($B174,cal_Key,0)),""))</f>
        <v/>
      </c>
      <c r="X174" s="94">
        <f>IF($B174="","",IFERROR(INDEX(cal_Season,MATCH($B174,cal_Key,0)),""))</f>
        <v/>
      </c>
      <c r="Y174" s="94">
        <f>IF($B174="","",IFERROR(INDEX(cal_Key,MATCH(INDEX(cal_Serial,MATCH($B174,cal_Key,0))+p_Due,cal_Serial,0)),""))</f>
        <v/>
      </c>
      <c r="Z174" s="95">
        <f>IF($B174="","",IF(OR($I174="پرداخت‌شده",$I174="ابطال"),"—",IFERROR(IF(INDEX(cal_Serial,MATCH($B174,cal_Key,0))+p_Due&lt;TODAY(),"بله","خیر"),"تاریخ نامعتبر")))</f>
        <v/>
      </c>
    </row>
    <row r="175" ht="20" customHeight="1">
      <c r="B175" s="86" t="n"/>
      <c r="C175" s="87" t="n"/>
      <c r="D175" s="87" t="n"/>
      <c r="E175" s="87" t="n"/>
      <c r="F175" s="88" t="n"/>
      <c r="G175" s="89" t="n"/>
      <c r="H175" s="90" t="n"/>
      <c r="I175" s="86" t="n"/>
      <c r="J175" s="87" t="n"/>
      <c r="K175" s="91">
        <f>IF($F175="","",$F175*IF($G175="",1,$G175))</f>
        <v/>
      </c>
      <c r="L175" s="92">
        <f>IFERROR(IF($D175="","",INDEX(t_Svc_Rate,MATCH($D175,lst_Service,0))),"")</f>
        <v/>
      </c>
      <c r="M175" s="92">
        <f>IF($L175="","",$L175*IF(p_TierMode="پلکانی",LOOKUP($K175,t_Tier_From,t_Tier_Rate),1))</f>
        <v/>
      </c>
      <c r="N175" s="91">
        <f>IF($K175="","",$K175*$M175)</f>
        <v/>
      </c>
      <c r="O175" s="91">
        <f>IF($N175="","",IF($I175="ابطال",0,MAX(p_Min,MIN(p_Max,$N175))))</f>
        <v/>
      </c>
      <c r="P175" s="91">
        <f>IF($O175="","",ROUND($O175*p_Tax,0))</f>
        <v/>
      </c>
      <c r="Q175" s="91">
        <f>IF($O175="","",$O175+$P175)</f>
        <v/>
      </c>
      <c r="R175" s="92">
        <f>IF($A175="","",IF($H175&lt;&gt;"",$H175,IFERROR(INDEX(t_Member_Share,MATCH($C175,t_Members,0)),p_DefaultShare)))</f>
        <v/>
      </c>
      <c r="S175" s="91">
        <f>IF(OR($Q175="",$R175=""),"",ROUND($Q175*$R175,0))</f>
        <v/>
      </c>
      <c r="T175" s="91">
        <f>IF(OR($Q175="",$S175=""),"",$Q175-$S175)</f>
        <v/>
      </c>
      <c r="U175" s="93">
        <f>IF($B175="","",IFERROR(INDEX(cal_JYear,MATCH($B175,cal_Key,0)),""))</f>
        <v/>
      </c>
      <c r="V175" s="93">
        <f>IF($B175="","",IFERROR(INDEX(cal_JMonth,MATCH($B175,cal_Key,0)),""))</f>
        <v/>
      </c>
      <c r="W175" s="94">
        <f>IF($B175="","",IFERROR(INDEX(cal_YM,MATCH($B175,cal_Key,0)),""))</f>
        <v/>
      </c>
      <c r="X175" s="94">
        <f>IF($B175="","",IFERROR(INDEX(cal_Season,MATCH($B175,cal_Key,0)),""))</f>
        <v/>
      </c>
      <c r="Y175" s="94">
        <f>IF($B175="","",IFERROR(INDEX(cal_Key,MATCH(INDEX(cal_Serial,MATCH($B175,cal_Key,0))+p_Due,cal_Serial,0)),""))</f>
        <v/>
      </c>
      <c r="Z175" s="95">
        <f>IF($B175="","",IF(OR($I175="پرداخت‌شده",$I175="ابطال"),"—",IFERROR(IF(INDEX(cal_Serial,MATCH($B175,cal_Key,0))+p_Due&lt;TODAY(),"بله","خیر"),"تاریخ نامعتبر")))</f>
        <v/>
      </c>
    </row>
    <row r="176" ht="20" customHeight="1">
      <c r="B176" s="86" t="n"/>
      <c r="C176" s="87" t="n"/>
      <c r="D176" s="87" t="n"/>
      <c r="E176" s="87" t="n"/>
      <c r="F176" s="88" t="n"/>
      <c r="G176" s="89" t="n"/>
      <c r="H176" s="90" t="n"/>
      <c r="I176" s="86" t="n"/>
      <c r="J176" s="87" t="n"/>
      <c r="K176" s="91">
        <f>IF($F176="","",$F176*IF($G176="",1,$G176))</f>
        <v/>
      </c>
      <c r="L176" s="92">
        <f>IFERROR(IF($D176="","",INDEX(t_Svc_Rate,MATCH($D176,lst_Service,0))),"")</f>
        <v/>
      </c>
      <c r="M176" s="92">
        <f>IF($L176="","",$L176*IF(p_TierMode="پلکانی",LOOKUP($K176,t_Tier_From,t_Tier_Rate),1))</f>
        <v/>
      </c>
      <c r="N176" s="91">
        <f>IF($K176="","",$K176*$M176)</f>
        <v/>
      </c>
      <c r="O176" s="91">
        <f>IF($N176="","",IF($I176="ابطال",0,MAX(p_Min,MIN(p_Max,$N176))))</f>
        <v/>
      </c>
      <c r="P176" s="91">
        <f>IF($O176="","",ROUND($O176*p_Tax,0))</f>
        <v/>
      </c>
      <c r="Q176" s="91">
        <f>IF($O176="","",$O176+$P176)</f>
        <v/>
      </c>
      <c r="R176" s="92">
        <f>IF($A176="","",IF($H176&lt;&gt;"",$H176,IFERROR(INDEX(t_Member_Share,MATCH($C176,t_Members,0)),p_DefaultShare)))</f>
        <v/>
      </c>
      <c r="S176" s="91">
        <f>IF(OR($Q176="",$R176=""),"",ROUND($Q176*$R176,0))</f>
        <v/>
      </c>
      <c r="T176" s="91">
        <f>IF(OR($Q176="",$S176=""),"",$Q176-$S176)</f>
        <v/>
      </c>
      <c r="U176" s="93">
        <f>IF($B176="","",IFERROR(INDEX(cal_JYear,MATCH($B176,cal_Key,0)),""))</f>
        <v/>
      </c>
      <c r="V176" s="93">
        <f>IF($B176="","",IFERROR(INDEX(cal_JMonth,MATCH($B176,cal_Key,0)),""))</f>
        <v/>
      </c>
      <c r="W176" s="94">
        <f>IF($B176="","",IFERROR(INDEX(cal_YM,MATCH($B176,cal_Key,0)),""))</f>
        <v/>
      </c>
      <c r="X176" s="94">
        <f>IF($B176="","",IFERROR(INDEX(cal_Season,MATCH($B176,cal_Key,0)),""))</f>
        <v/>
      </c>
      <c r="Y176" s="94">
        <f>IF($B176="","",IFERROR(INDEX(cal_Key,MATCH(INDEX(cal_Serial,MATCH($B176,cal_Key,0))+p_Due,cal_Serial,0)),""))</f>
        <v/>
      </c>
      <c r="Z176" s="95">
        <f>IF($B176="","",IF(OR($I176="پرداخت‌شده",$I176="ابطال"),"—",IFERROR(IF(INDEX(cal_Serial,MATCH($B176,cal_Key,0))+p_Due&lt;TODAY(),"بله","خیر"),"تاریخ نامعتبر")))</f>
        <v/>
      </c>
    </row>
    <row r="177" ht="20" customHeight="1">
      <c r="B177" s="86" t="n"/>
      <c r="C177" s="87" t="n"/>
      <c r="D177" s="87" t="n"/>
      <c r="E177" s="87" t="n"/>
      <c r="F177" s="88" t="n"/>
      <c r="G177" s="89" t="n"/>
      <c r="H177" s="90" t="n"/>
      <c r="I177" s="86" t="n"/>
      <c r="J177" s="87" t="n"/>
      <c r="K177" s="91">
        <f>IF($F177="","",$F177*IF($G177="",1,$G177))</f>
        <v/>
      </c>
      <c r="L177" s="92">
        <f>IFERROR(IF($D177="","",INDEX(t_Svc_Rate,MATCH($D177,lst_Service,0))),"")</f>
        <v/>
      </c>
      <c r="M177" s="92">
        <f>IF($L177="","",$L177*IF(p_TierMode="پلکانی",LOOKUP($K177,t_Tier_From,t_Tier_Rate),1))</f>
        <v/>
      </c>
      <c r="N177" s="91">
        <f>IF($K177="","",$K177*$M177)</f>
        <v/>
      </c>
      <c r="O177" s="91">
        <f>IF($N177="","",IF($I177="ابطال",0,MAX(p_Min,MIN(p_Max,$N177))))</f>
        <v/>
      </c>
      <c r="P177" s="91">
        <f>IF($O177="","",ROUND($O177*p_Tax,0))</f>
        <v/>
      </c>
      <c r="Q177" s="91">
        <f>IF($O177="","",$O177+$P177)</f>
        <v/>
      </c>
      <c r="R177" s="92">
        <f>IF($A177="","",IF($H177&lt;&gt;"",$H177,IFERROR(INDEX(t_Member_Share,MATCH($C177,t_Members,0)),p_DefaultShare)))</f>
        <v/>
      </c>
      <c r="S177" s="91">
        <f>IF(OR($Q177="",$R177=""),"",ROUND($Q177*$R177,0))</f>
        <v/>
      </c>
      <c r="T177" s="91">
        <f>IF(OR($Q177="",$S177=""),"",$Q177-$S177)</f>
        <v/>
      </c>
      <c r="U177" s="93">
        <f>IF($B177="","",IFERROR(INDEX(cal_JYear,MATCH($B177,cal_Key,0)),""))</f>
        <v/>
      </c>
      <c r="V177" s="93">
        <f>IF($B177="","",IFERROR(INDEX(cal_JMonth,MATCH($B177,cal_Key,0)),""))</f>
        <v/>
      </c>
      <c r="W177" s="94">
        <f>IF($B177="","",IFERROR(INDEX(cal_YM,MATCH($B177,cal_Key,0)),""))</f>
        <v/>
      </c>
      <c r="X177" s="94">
        <f>IF($B177="","",IFERROR(INDEX(cal_Season,MATCH($B177,cal_Key,0)),""))</f>
        <v/>
      </c>
      <c r="Y177" s="94">
        <f>IF($B177="","",IFERROR(INDEX(cal_Key,MATCH(INDEX(cal_Serial,MATCH($B177,cal_Key,0))+p_Due,cal_Serial,0)),""))</f>
        <v/>
      </c>
      <c r="Z177" s="95">
        <f>IF($B177="","",IF(OR($I177="پرداخت‌شده",$I177="ابطال"),"—",IFERROR(IF(INDEX(cal_Serial,MATCH($B177,cal_Key,0))+p_Due&lt;TODAY(),"بله","خیر"),"تاریخ نامعتبر")))</f>
        <v/>
      </c>
    </row>
    <row r="178" ht="20" customHeight="1">
      <c r="B178" s="86" t="n"/>
      <c r="C178" s="87" t="n"/>
      <c r="D178" s="87" t="n"/>
      <c r="E178" s="87" t="n"/>
      <c r="F178" s="88" t="n"/>
      <c r="G178" s="89" t="n"/>
      <c r="H178" s="90" t="n"/>
      <c r="I178" s="86" t="n"/>
      <c r="J178" s="87" t="n"/>
      <c r="K178" s="91">
        <f>IF($F178="","",$F178*IF($G178="",1,$G178))</f>
        <v/>
      </c>
      <c r="L178" s="92">
        <f>IFERROR(IF($D178="","",INDEX(t_Svc_Rate,MATCH($D178,lst_Service,0))),"")</f>
        <v/>
      </c>
      <c r="M178" s="92">
        <f>IF($L178="","",$L178*IF(p_TierMode="پلکانی",LOOKUP($K178,t_Tier_From,t_Tier_Rate),1))</f>
        <v/>
      </c>
      <c r="N178" s="91">
        <f>IF($K178="","",$K178*$M178)</f>
        <v/>
      </c>
      <c r="O178" s="91">
        <f>IF($N178="","",IF($I178="ابطال",0,MAX(p_Min,MIN(p_Max,$N178))))</f>
        <v/>
      </c>
      <c r="P178" s="91">
        <f>IF($O178="","",ROUND($O178*p_Tax,0))</f>
        <v/>
      </c>
      <c r="Q178" s="91">
        <f>IF($O178="","",$O178+$P178)</f>
        <v/>
      </c>
      <c r="R178" s="92">
        <f>IF($A178="","",IF($H178&lt;&gt;"",$H178,IFERROR(INDEX(t_Member_Share,MATCH($C178,t_Members,0)),p_DefaultShare)))</f>
        <v/>
      </c>
      <c r="S178" s="91">
        <f>IF(OR($Q178="",$R178=""),"",ROUND($Q178*$R178,0))</f>
        <v/>
      </c>
      <c r="T178" s="91">
        <f>IF(OR($Q178="",$S178=""),"",$Q178-$S178)</f>
        <v/>
      </c>
      <c r="U178" s="93">
        <f>IF($B178="","",IFERROR(INDEX(cal_JYear,MATCH($B178,cal_Key,0)),""))</f>
        <v/>
      </c>
      <c r="V178" s="93">
        <f>IF($B178="","",IFERROR(INDEX(cal_JMonth,MATCH($B178,cal_Key,0)),""))</f>
        <v/>
      </c>
      <c r="W178" s="94">
        <f>IF($B178="","",IFERROR(INDEX(cal_YM,MATCH($B178,cal_Key,0)),""))</f>
        <v/>
      </c>
      <c r="X178" s="94">
        <f>IF($B178="","",IFERROR(INDEX(cal_Season,MATCH($B178,cal_Key,0)),""))</f>
        <v/>
      </c>
      <c r="Y178" s="94">
        <f>IF($B178="","",IFERROR(INDEX(cal_Key,MATCH(INDEX(cal_Serial,MATCH($B178,cal_Key,0))+p_Due,cal_Serial,0)),""))</f>
        <v/>
      </c>
      <c r="Z178" s="95">
        <f>IF($B178="","",IF(OR($I178="پرداخت‌شده",$I178="ابطال"),"—",IFERROR(IF(INDEX(cal_Serial,MATCH($B178,cal_Key,0))+p_Due&lt;TODAY(),"بله","خیر"),"تاریخ نامعتبر")))</f>
        <v/>
      </c>
    </row>
    <row r="179" ht="20" customHeight="1">
      <c r="B179" s="86" t="n"/>
      <c r="C179" s="87" t="n"/>
      <c r="D179" s="87" t="n"/>
      <c r="E179" s="87" t="n"/>
      <c r="F179" s="88" t="n"/>
      <c r="G179" s="89" t="n"/>
      <c r="H179" s="90" t="n"/>
      <c r="I179" s="86" t="n"/>
      <c r="J179" s="87" t="n"/>
      <c r="K179" s="91">
        <f>IF($F179="","",$F179*IF($G179="",1,$G179))</f>
        <v/>
      </c>
      <c r="L179" s="92">
        <f>IFERROR(IF($D179="","",INDEX(t_Svc_Rate,MATCH($D179,lst_Service,0))),"")</f>
        <v/>
      </c>
      <c r="M179" s="92">
        <f>IF($L179="","",$L179*IF(p_TierMode="پلکانی",LOOKUP($K179,t_Tier_From,t_Tier_Rate),1))</f>
        <v/>
      </c>
      <c r="N179" s="91">
        <f>IF($K179="","",$K179*$M179)</f>
        <v/>
      </c>
      <c r="O179" s="91">
        <f>IF($N179="","",IF($I179="ابطال",0,MAX(p_Min,MIN(p_Max,$N179))))</f>
        <v/>
      </c>
      <c r="P179" s="91">
        <f>IF($O179="","",ROUND($O179*p_Tax,0))</f>
        <v/>
      </c>
      <c r="Q179" s="91">
        <f>IF($O179="","",$O179+$P179)</f>
        <v/>
      </c>
      <c r="R179" s="92">
        <f>IF($A179="","",IF($H179&lt;&gt;"",$H179,IFERROR(INDEX(t_Member_Share,MATCH($C179,t_Members,0)),p_DefaultShare)))</f>
        <v/>
      </c>
      <c r="S179" s="91">
        <f>IF(OR($Q179="",$R179=""),"",ROUND($Q179*$R179,0))</f>
        <v/>
      </c>
      <c r="T179" s="91">
        <f>IF(OR($Q179="",$S179=""),"",$Q179-$S179)</f>
        <v/>
      </c>
      <c r="U179" s="93">
        <f>IF($B179="","",IFERROR(INDEX(cal_JYear,MATCH($B179,cal_Key,0)),""))</f>
        <v/>
      </c>
      <c r="V179" s="93">
        <f>IF($B179="","",IFERROR(INDEX(cal_JMonth,MATCH($B179,cal_Key,0)),""))</f>
        <v/>
      </c>
      <c r="W179" s="94">
        <f>IF($B179="","",IFERROR(INDEX(cal_YM,MATCH($B179,cal_Key,0)),""))</f>
        <v/>
      </c>
      <c r="X179" s="94">
        <f>IF($B179="","",IFERROR(INDEX(cal_Season,MATCH($B179,cal_Key,0)),""))</f>
        <v/>
      </c>
      <c r="Y179" s="94">
        <f>IF($B179="","",IFERROR(INDEX(cal_Key,MATCH(INDEX(cal_Serial,MATCH($B179,cal_Key,0))+p_Due,cal_Serial,0)),""))</f>
        <v/>
      </c>
      <c r="Z179" s="95">
        <f>IF($B179="","",IF(OR($I179="پرداخت‌شده",$I179="ابطال"),"—",IFERROR(IF(INDEX(cal_Serial,MATCH($B179,cal_Key,0))+p_Due&lt;TODAY(),"بله","خیر"),"تاریخ نامعتبر")))</f>
        <v/>
      </c>
    </row>
    <row r="180" ht="20" customHeight="1">
      <c r="B180" s="86" t="n"/>
      <c r="C180" s="87" t="n"/>
      <c r="D180" s="87" t="n"/>
      <c r="E180" s="87" t="n"/>
      <c r="F180" s="88" t="n"/>
      <c r="G180" s="89" t="n"/>
      <c r="H180" s="90" t="n"/>
      <c r="I180" s="86" t="n"/>
      <c r="J180" s="87" t="n"/>
      <c r="K180" s="91">
        <f>IF($F180="","",$F180*IF($G180="",1,$G180))</f>
        <v/>
      </c>
      <c r="L180" s="92">
        <f>IFERROR(IF($D180="","",INDEX(t_Svc_Rate,MATCH($D180,lst_Service,0))),"")</f>
        <v/>
      </c>
      <c r="M180" s="92">
        <f>IF($L180="","",$L180*IF(p_TierMode="پلکانی",LOOKUP($K180,t_Tier_From,t_Tier_Rate),1))</f>
        <v/>
      </c>
      <c r="N180" s="91">
        <f>IF($K180="","",$K180*$M180)</f>
        <v/>
      </c>
      <c r="O180" s="91">
        <f>IF($N180="","",IF($I180="ابطال",0,MAX(p_Min,MIN(p_Max,$N180))))</f>
        <v/>
      </c>
      <c r="P180" s="91">
        <f>IF($O180="","",ROUND($O180*p_Tax,0))</f>
        <v/>
      </c>
      <c r="Q180" s="91">
        <f>IF($O180="","",$O180+$P180)</f>
        <v/>
      </c>
      <c r="R180" s="92">
        <f>IF($A180="","",IF($H180&lt;&gt;"",$H180,IFERROR(INDEX(t_Member_Share,MATCH($C180,t_Members,0)),p_DefaultShare)))</f>
        <v/>
      </c>
      <c r="S180" s="91">
        <f>IF(OR($Q180="",$R180=""),"",ROUND($Q180*$R180,0))</f>
        <v/>
      </c>
      <c r="T180" s="91">
        <f>IF(OR($Q180="",$S180=""),"",$Q180-$S180)</f>
        <v/>
      </c>
      <c r="U180" s="93">
        <f>IF($B180="","",IFERROR(INDEX(cal_JYear,MATCH($B180,cal_Key,0)),""))</f>
        <v/>
      </c>
      <c r="V180" s="93">
        <f>IF($B180="","",IFERROR(INDEX(cal_JMonth,MATCH($B180,cal_Key,0)),""))</f>
        <v/>
      </c>
      <c r="W180" s="94">
        <f>IF($B180="","",IFERROR(INDEX(cal_YM,MATCH($B180,cal_Key,0)),""))</f>
        <v/>
      </c>
      <c r="X180" s="94">
        <f>IF($B180="","",IFERROR(INDEX(cal_Season,MATCH($B180,cal_Key,0)),""))</f>
        <v/>
      </c>
      <c r="Y180" s="94">
        <f>IF($B180="","",IFERROR(INDEX(cal_Key,MATCH(INDEX(cal_Serial,MATCH($B180,cal_Key,0))+p_Due,cal_Serial,0)),""))</f>
        <v/>
      </c>
      <c r="Z180" s="95">
        <f>IF($B180="","",IF(OR($I180="پرداخت‌شده",$I180="ابطال"),"—",IFERROR(IF(INDEX(cal_Serial,MATCH($B180,cal_Key,0))+p_Due&lt;TODAY(),"بله","خیر"),"تاریخ نامعتبر")))</f>
        <v/>
      </c>
    </row>
    <row r="181" ht="20" customHeight="1">
      <c r="B181" s="86" t="n"/>
      <c r="C181" s="87" t="n"/>
      <c r="D181" s="87" t="n"/>
      <c r="E181" s="87" t="n"/>
      <c r="F181" s="88" t="n"/>
      <c r="G181" s="89" t="n"/>
      <c r="H181" s="90" t="n"/>
      <c r="I181" s="86" t="n"/>
      <c r="J181" s="87" t="n"/>
      <c r="K181" s="91">
        <f>IF($F181="","",$F181*IF($G181="",1,$G181))</f>
        <v/>
      </c>
      <c r="L181" s="92">
        <f>IFERROR(IF($D181="","",INDEX(t_Svc_Rate,MATCH($D181,lst_Service,0))),"")</f>
        <v/>
      </c>
      <c r="M181" s="92">
        <f>IF($L181="","",$L181*IF(p_TierMode="پلکانی",LOOKUP($K181,t_Tier_From,t_Tier_Rate),1))</f>
        <v/>
      </c>
      <c r="N181" s="91">
        <f>IF($K181="","",$K181*$M181)</f>
        <v/>
      </c>
      <c r="O181" s="91">
        <f>IF($N181="","",IF($I181="ابطال",0,MAX(p_Min,MIN(p_Max,$N181))))</f>
        <v/>
      </c>
      <c r="P181" s="91">
        <f>IF($O181="","",ROUND($O181*p_Tax,0))</f>
        <v/>
      </c>
      <c r="Q181" s="91">
        <f>IF($O181="","",$O181+$P181)</f>
        <v/>
      </c>
      <c r="R181" s="92">
        <f>IF($A181="","",IF($H181&lt;&gt;"",$H181,IFERROR(INDEX(t_Member_Share,MATCH($C181,t_Members,0)),p_DefaultShare)))</f>
        <v/>
      </c>
      <c r="S181" s="91">
        <f>IF(OR($Q181="",$R181=""),"",ROUND($Q181*$R181,0))</f>
        <v/>
      </c>
      <c r="T181" s="91">
        <f>IF(OR($Q181="",$S181=""),"",$Q181-$S181)</f>
        <v/>
      </c>
      <c r="U181" s="93">
        <f>IF($B181="","",IFERROR(INDEX(cal_JYear,MATCH($B181,cal_Key,0)),""))</f>
        <v/>
      </c>
      <c r="V181" s="93">
        <f>IF($B181="","",IFERROR(INDEX(cal_JMonth,MATCH($B181,cal_Key,0)),""))</f>
        <v/>
      </c>
      <c r="W181" s="94">
        <f>IF($B181="","",IFERROR(INDEX(cal_YM,MATCH($B181,cal_Key,0)),""))</f>
        <v/>
      </c>
      <c r="X181" s="94">
        <f>IF($B181="","",IFERROR(INDEX(cal_Season,MATCH($B181,cal_Key,0)),""))</f>
        <v/>
      </c>
      <c r="Y181" s="94">
        <f>IF($B181="","",IFERROR(INDEX(cal_Key,MATCH(INDEX(cal_Serial,MATCH($B181,cal_Key,0))+p_Due,cal_Serial,0)),""))</f>
        <v/>
      </c>
      <c r="Z181" s="95">
        <f>IF($B181="","",IF(OR($I181="پرداخت‌شده",$I181="ابطال"),"—",IFERROR(IF(INDEX(cal_Serial,MATCH($B181,cal_Key,0))+p_Due&lt;TODAY(),"بله","خیر"),"تاریخ نامعتبر")))</f>
        <v/>
      </c>
    </row>
    <row r="182" ht="20" customHeight="1">
      <c r="B182" s="86" t="n"/>
      <c r="C182" s="87" t="n"/>
      <c r="D182" s="87" t="n"/>
      <c r="E182" s="87" t="n"/>
      <c r="F182" s="88" t="n"/>
      <c r="G182" s="89" t="n"/>
      <c r="H182" s="90" t="n"/>
      <c r="I182" s="86" t="n"/>
      <c r="J182" s="87" t="n"/>
      <c r="K182" s="91">
        <f>IF($F182="","",$F182*IF($G182="",1,$G182))</f>
        <v/>
      </c>
      <c r="L182" s="92">
        <f>IFERROR(IF($D182="","",INDEX(t_Svc_Rate,MATCH($D182,lst_Service,0))),"")</f>
        <v/>
      </c>
      <c r="M182" s="92">
        <f>IF($L182="","",$L182*IF(p_TierMode="پلکانی",LOOKUP($K182,t_Tier_From,t_Tier_Rate),1))</f>
        <v/>
      </c>
      <c r="N182" s="91">
        <f>IF($K182="","",$K182*$M182)</f>
        <v/>
      </c>
      <c r="O182" s="91">
        <f>IF($N182="","",IF($I182="ابطال",0,MAX(p_Min,MIN(p_Max,$N182))))</f>
        <v/>
      </c>
      <c r="P182" s="91">
        <f>IF($O182="","",ROUND($O182*p_Tax,0))</f>
        <v/>
      </c>
      <c r="Q182" s="91">
        <f>IF($O182="","",$O182+$P182)</f>
        <v/>
      </c>
      <c r="R182" s="92">
        <f>IF($A182="","",IF($H182&lt;&gt;"",$H182,IFERROR(INDEX(t_Member_Share,MATCH($C182,t_Members,0)),p_DefaultShare)))</f>
        <v/>
      </c>
      <c r="S182" s="91">
        <f>IF(OR($Q182="",$R182=""),"",ROUND($Q182*$R182,0))</f>
        <v/>
      </c>
      <c r="T182" s="91">
        <f>IF(OR($Q182="",$S182=""),"",$Q182-$S182)</f>
        <v/>
      </c>
      <c r="U182" s="93">
        <f>IF($B182="","",IFERROR(INDEX(cal_JYear,MATCH($B182,cal_Key,0)),""))</f>
        <v/>
      </c>
      <c r="V182" s="93">
        <f>IF($B182="","",IFERROR(INDEX(cal_JMonth,MATCH($B182,cal_Key,0)),""))</f>
        <v/>
      </c>
      <c r="W182" s="94">
        <f>IF($B182="","",IFERROR(INDEX(cal_YM,MATCH($B182,cal_Key,0)),""))</f>
        <v/>
      </c>
      <c r="X182" s="94">
        <f>IF($B182="","",IFERROR(INDEX(cal_Season,MATCH($B182,cal_Key,0)),""))</f>
        <v/>
      </c>
      <c r="Y182" s="94">
        <f>IF($B182="","",IFERROR(INDEX(cal_Key,MATCH(INDEX(cal_Serial,MATCH($B182,cal_Key,0))+p_Due,cal_Serial,0)),""))</f>
        <v/>
      </c>
      <c r="Z182" s="95">
        <f>IF($B182="","",IF(OR($I182="پرداخت‌شده",$I182="ابطال"),"—",IFERROR(IF(INDEX(cal_Serial,MATCH($B182,cal_Key,0))+p_Due&lt;TODAY(),"بله","خیر"),"تاریخ نامعتبر")))</f>
        <v/>
      </c>
    </row>
    <row r="183" ht="20" customHeight="1">
      <c r="B183" s="86" t="n"/>
      <c r="C183" s="87" t="n"/>
      <c r="D183" s="87" t="n"/>
      <c r="E183" s="87" t="n"/>
      <c r="F183" s="88" t="n"/>
      <c r="G183" s="89" t="n"/>
      <c r="H183" s="90" t="n"/>
      <c r="I183" s="86" t="n"/>
      <c r="J183" s="87" t="n"/>
      <c r="K183" s="91">
        <f>IF($F183="","",$F183*IF($G183="",1,$G183))</f>
        <v/>
      </c>
      <c r="L183" s="92">
        <f>IFERROR(IF($D183="","",INDEX(t_Svc_Rate,MATCH($D183,lst_Service,0))),"")</f>
        <v/>
      </c>
      <c r="M183" s="92">
        <f>IF($L183="","",$L183*IF(p_TierMode="پلکانی",LOOKUP($K183,t_Tier_From,t_Tier_Rate),1))</f>
        <v/>
      </c>
      <c r="N183" s="91">
        <f>IF($K183="","",$K183*$M183)</f>
        <v/>
      </c>
      <c r="O183" s="91">
        <f>IF($N183="","",IF($I183="ابطال",0,MAX(p_Min,MIN(p_Max,$N183))))</f>
        <v/>
      </c>
      <c r="P183" s="91">
        <f>IF($O183="","",ROUND($O183*p_Tax,0))</f>
        <v/>
      </c>
      <c r="Q183" s="91">
        <f>IF($O183="","",$O183+$P183)</f>
        <v/>
      </c>
      <c r="R183" s="92">
        <f>IF($A183="","",IF($H183&lt;&gt;"",$H183,IFERROR(INDEX(t_Member_Share,MATCH($C183,t_Members,0)),p_DefaultShare)))</f>
        <v/>
      </c>
      <c r="S183" s="91">
        <f>IF(OR($Q183="",$R183=""),"",ROUND($Q183*$R183,0))</f>
        <v/>
      </c>
      <c r="T183" s="91">
        <f>IF(OR($Q183="",$S183=""),"",$Q183-$S183)</f>
        <v/>
      </c>
      <c r="U183" s="93">
        <f>IF($B183="","",IFERROR(INDEX(cal_JYear,MATCH($B183,cal_Key,0)),""))</f>
        <v/>
      </c>
      <c r="V183" s="93">
        <f>IF($B183="","",IFERROR(INDEX(cal_JMonth,MATCH($B183,cal_Key,0)),""))</f>
        <v/>
      </c>
      <c r="W183" s="94">
        <f>IF($B183="","",IFERROR(INDEX(cal_YM,MATCH($B183,cal_Key,0)),""))</f>
        <v/>
      </c>
      <c r="X183" s="94">
        <f>IF($B183="","",IFERROR(INDEX(cal_Season,MATCH($B183,cal_Key,0)),""))</f>
        <v/>
      </c>
      <c r="Y183" s="94">
        <f>IF($B183="","",IFERROR(INDEX(cal_Key,MATCH(INDEX(cal_Serial,MATCH($B183,cal_Key,0))+p_Due,cal_Serial,0)),""))</f>
        <v/>
      </c>
      <c r="Z183" s="95">
        <f>IF($B183="","",IF(OR($I183="پرداخت‌شده",$I183="ابطال"),"—",IFERROR(IF(INDEX(cal_Serial,MATCH($B183,cal_Key,0))+p_Due&lt;TODAY(),"بله","خیر"),"تاریخ نامعتبر")))</f>
        <v/>
      </c>
    </row>
    <row r="184" ht="20" customHeight="1">
      <c r="B184" s="86" t="n"/>
      <c r="C184" s="87" t="n"/>
      <c r="D184" s="87" t="n"/>
      <c r="E184" s="87" t="n"/>
      <c r="F184" s="88" t="n"/>
      <c r="G184" s="89" t="n"/>
      <c r="H184" s="90" t="n"/>
      <c r="I184" s="86" t="n"/>
      <c r="J184" s="87" t="n"/>
      <c r="K184" s="91">
        <f>IF($F184="","",$F184*IF($G184="",1,$G184))</f>
        <v/>
      </c>
      <c r="L184" s="92">
        <f>IFERROR(IF($D184="","",INDEX(t_Svc_Rate,MATCH($D184,lst_Service,0))),"")</f>
        <v/>
      </c>
      <c r="M184" s="92">
        <f>IF($L184="","",$L184*IF(p_TierMode="پلکانی",LOOKUP($K184,t_Tier_From,t_Tier_Rate),1))</f>
        <v/>
      </c>
      <c r="N184" s="91">
        <f>IF($K184="","",$K184*$M184)</f>
        <v/>
      </c>
      <c r="O184" s="91">
        <f>IF($N184="","",IF($I184="ابطال",0,MAX(p_Min,MIN(p_Max,$N184))))</f>
        <v/>
      </c>
      <c r="P184" s="91">
        <f>IF($O184="","",ROUND($O184*p_Tax,0))</f>
        <v/>
      </c>
      <c r="Q184" s="91">
        <f>IF($O184="","",$O184+$P184)</f>
        <v/>
      </c>
      <c r="R184" s="92">
        <f>IF($A184="","",IF($H184&lt;&gt;"",$H184,IFERROR(INDEX(t_Member_Share,MATCH($C184,t_Members,0)),p_DefaultShare)))</f>
        <v/>
      </c>
      <c r="S184" s="91">
        <f>IF(OR($Q184="",$R184=""),"",ROUND($Q184*$R184,0))</f>
        <v/>
      </c>
      <c r="T184" s="91">
        <f>IF(OR($Q184="",$S184=""),"",$Q184-$S184)</f>
        <v/>
      </c>
      <c r="U184" s="93">
        <f>IF($B184="","",IFERROR(INDEX(cal_JYear,MATCH($B184,cal_Key,0)),""))</f>
        <v/>
      </c>
      <c r="V184" s="93">
        <f>IF($B184="","",IFERROR(INDEX(cal_JMonth,MATCH($B184,cal_Key,0)),""))</f>
        <v/>
      </c>
      <c r="W184" s="94">
        <f>IF($B184="","",IFERROR(INDEX(cal_YM,MATCH($B184,cal_Key,0)),""))</f>
        <v/>
      </c>
      <c r="X184" s="94">
        <f>IF($B184="","",IFERROR(INDEX(cal_Season,MATCH($B184,cal_Key,0)),""))</f>
        <v/>
      </c>
      <c r="Y184" s="94">
        <f>IF($B184="","",IFERROR(INDEX(cal_Key,MATCH(INDEX(cal_Serial,MATCH($B184,cal_Key,0))+p_Due,cal_Serial,0)),""))</f>
        <v/>
      </c>
      <c r="Z184" s="95">
        <f>IF($B184="","",IF(OR($I184="پرداخت‌شده",$I184="ابطال"),"—",IFERROR(IF(INDEX(cal_Serial,MATCH($B184,cal_Key,0))+p_Due&lt;TODAY(),"بله","خیر"),"تاریخ نامعتبر")))</f>
        <v/>
      </c>
    </row>
    <row r="185" ht="20" customHeight="1">
      <c r="B185" s="86" t="n"/>
      <c r="C185" s="87" t="n"/>
      <c r="D185" s="87" t="n"/>
      <c r="E185" s="87" t="n"/>
      <c r="F185" s="88" t="n"/>
      <c r="G185" s="89" t="n"/>
      <c r="H185" s="90" t="n"/>
      <c r="I185" s="86" t="n"/>
      <c r="J185" s="87" t="n"/>
      <c r="K185" s="91">
        <f>IF($F185="","",$F185*IF($G185="",1,$G185))</f>
        <v/>
      </c>
      <c r="L185" s="92">
        <f>IFERROR(IF($D185="","",INDEX(t_Svc_Rate,MATCH($D185,lst_Service,0))),"")</f>
        <v/>
      </c>
      <c r="M185" s="92">
        <f>IF($L185="","",$L185*IF(p_TierMode="پلکانی",LOOKUP($K185,t_Tier_From,t_Tier_Rate),1))</f>
        <v/>
      </c>
      <c r="N185" s="91">
        <f>IF($K185="","",$K185*$M185)</f>
        <v/>
      </c>
      <c r="O185" s="91">
        <f>IF($N185="","",IF($I185="ابطال",0,MAX(p_Min,MIN(p_Max,$N185))))</f>
        <v/>
      </c>
      <c r="P185" s="91">
        <f>IF($O185="","",ROUND($O185*p_Tax,0))</f>
        <v/>
      </c>
      <c r="Q185" s="91">
        <f>IF($O185="","",$O185+$P185)</f>
        <v/>
      </c>
      <c r="R185" s="92">
        <f>IF($A185="","",IF($H185&lt;&gt;"",$H185,IFERROR(INDEX(t_Member_Share,MATCH($C185,t_Members,0)),p_DefaultShare)))</f>
        <v/>
      </c>
      <c r="S185" s="91">
        <f>IF(OR($Q185="",$R185=""),"",ROUND($Q185*$R185,0))</f>
        <v/>
      </c>
      <c r="T185" s="91">
        <f>IF(OR($Q185="",$S185=""),"",$Q185-$S185)</f>
        <v/>
      </c>
      <c r="U185" s="93">
        <f>IF($B185="","",IFERROR(INDEX(cal_JYear,MATCH($B185,cal_Key,0)),""))</f>
        <v/>
      </c>
      <c r="V185" s="93">
        <f>IF($B185="","",IFERROR(INDEX(cal_JMonth,MATCH($B185,cal_Key,0)),""))</f>
        <v/>
      </c>
      <c r="W185" s="94">
        <f>IF($B185="","",IFERROR(INDEX(cal_YM,MATCH($B185,cal_Key,0)),""))</f>
        <v/>
      </c>
      <c r="X185" s="94">
        <f>IF($B185="","",IFERROR(INDEX(cal_Season,MATCH($B185,cal_Key,0)),""))</f>
        <v/>
      </c>
      <c r="Y185" s="94">
        <f>IF($B185="","",IFERROR(INDEX(cal_Key,MATCH(INDEX(cal_Serial,MATCH($B185,cal_Key,0))+p_Due,cal_Serial,0)),""))</f>
        <v/>
      </c>
      <c r="Z185" s="95">
        <f>IF($B185="","",IF(OR($I185="پرداخت‌شده",$I185="ابطال"),"—",IFERROR(IF(INDEX(cal_Serial,MATCH($B185,cal_Key,0))+p_Due&lt;TODAY(),"بله","خیر"),"تاریخ نامعتبر")))</f>
        <v/>
      </c>
    </row>
    <row r="186" ht="20" customHeight="1">
      <c r="B186" s="86" t="n"/>
      <c r="C186" s="87" t="n"/>
      <c r="D186" s="87" t="n"/>
      <c r="E186" s="87" t="n"/>
      <c r="F186" s="88" t="n"/>
      <c r="G186" s="89" t="n"/>
      <c r="H186" s="90" t="n"/>
      <c r="I186" s="86" t="n"/>
      <c r="J186" s="87" t="n"/>
      <c r="K186" s="91">
        <f>IF($F186="","",$F186*IF($G186="",1,$G186))</f>
        <v/>
      </c>
      <c r="L186" s="92">
        <f>IFERROR(IF($D186="","",INDEX(t_Svc_Rate,MATCH($D186,lst_Service,0))),"")</f>
        <v/>
      </c>
      <c r="M186" s="92">
        <f>IF($L186="","",$L186*IF(p_TierMode="پلکانی",LOOKUP($K186,t_Tier_From,t_Tier_Rate),1))</f>
        <v/>
      </c>
      <c r="N186" s="91">
        <f>IF($K186="","",$K186*$M186)</f>
        <v/>
      </c>
      <c r="O186" s="91">
        <f>IF($N186="","",IF($I186="ابطال",0,MAX(p_Min,MIN(p_Max,$N186))))</f>
        <v/>
      </c>
      <c r="P186" s="91">
        <f>IF($O186="","",ROUND($O186*p_Tax,0))</f>
        <v/>
      </c>
      <c r="Q186" s="91">
        <f>IF($O186="","",$O186+$P186)</f>
        <v/>
      </c>
      <c r="R186" s="92">
        <f>IF($A186="","",IF($H186&lt;&gt;"",$H186,IFERROR(INDEX(t_Member_Share,MATCH($C186,t_Members,0)),p_DefaultShare)))</f>
        <v/>
      </c>
      <c r="S186" s="91">
        <f>IF(OR($Q186="",$R186=""),"",ROUND($Q186*$R186,0))</f>
        <v/>
      </c>
      <c r="T186" s="91">
        <f>IF(OR($Q186="",$S186=""),"",$Q186-$S186)</f>
        <v/>
      </c>
      <c r="U186" s="93">
        <f>IF($B186="","",IFERROR(INDEX(cal_JYear,MATCH($B186,cal_Key,0)),""))</f>
        <v/>
      </c>
      <c r="V186" s="93">
        <f>IF($B186="","",IFERROR(INDEX(cal_JMonth,MATCH($B186,cal_Key,0)),""))</f>
        <v/>
      </c>
      <c r="W186" s="94">
        <f>IF($B186="","",IFERROR(INDEX(cal_YM,MATCH($B186,cal_Key,0)),""))</f>
        <v/>
      </c>
      <c r="X186" s="94">
        <f>IF($B186="","",IFERROR(INDEX(cal_Season,MATCH($B186,cal_Key,0)),""))</f>
        <v/>
      </c>
      <c r="Y186" s="94">
        <f>IF($B186="","",IFERROR(INDEX(cal_Key,MATCH(INDEX(cal_Serial,MATCH($B186,cal_Key,0))+p_Due,cal_Serial,0)),""))</f>
        <v/>
      </c>
      <c r="Z186" s="95">
        <f>IF($B186="","",IF(OR($I186="پرداخت‌شده",$I186="ابطال"),"—",IFERROR(IF(INDEX(cal_Serial,MATCH($B186,cal_Key,0))+p_Due&lt;TODAY(),"بله","خیر"),"تاریخ نامعتبر")))</f>
        <v/>
      </c>
    </row>
    <row r="187" ht="20" customHeight="1">
      <c r="B187" s="86" t="n"/>
      <c r="C187" s="87" t="n"/>
      <c r="D187" s="87" t="n"/>
      <c r="E187" s="87" t="n"/>
      <c r="F187" s="88" t="n"/>
      <c r="G187" s="89" t="n"/>
      <c r="H187" s="90" t="n"/>
      <c r="I187" s="86" t="n"/>
      <c r="J187" s="87" t="n"/>
      <c r="K187" s="91">
        <f>IF($F187="","",$F187*IF($G187="",1,$G187))</f>
        <v/>
      </c>
      <c r="L187" s="92">
        <f>IFERROR(IF($D187="","",INDEX(t_Svc_Rate,MATCH($D187,lst_Service,0))),"")</f>
        <v/>
      </c>
      <c r="M187" s="92">
        <f>IF($L187="","",$L187*IF(p_TierMode="پلکانی",LOOKUP($K187,t_Tier_From,t_Tier_Rate),1))</f>
        <v/>
      </c>
      <c r="N187" s="91">
        <f>IF($K187="","",$K187*$M187)</f>
        <v/>
      </c>
      <c r="O187" s="91">
        <f>IF($N187="","",IF($I187="ابطال",0,MAX(p_Min,MIN(p_Max,$N187))))</f>
        <v/>
      </c>
      <c r="P187" s="91">
        <f>IF($O187="","",ROUND($O187*p_Tax,0))</f>
        <v/>
      </c>
      <c r="Q187" s="91">
        <f>IF($O187="","",$O187+$P187)</f>
        <v/>
      </c>
      <c r="R187" s="92">
        <f>IF($A187="","",IF($H187&lt;&gt;"",$H187,IFERROR(INDEX(t_Member_Share,MATCH($C187,t_Members,0)),p_DefaultShare)))</f>
        <v/>
      </c>
      <c r="S187" s="91">
        <f>IF(OR($Q187="",$R187=""),"",ROUND($Q187*$R187,0))</f>
        <v/>
      </c>
      <c r="T187" s="91">
        <f>IF(OR($Q187="",$S187=""),"",$Q187-$S187)</f>
        <v/>
      </c>
      <c r="U187" s="93">
        <f>IF($B187="","",IFERROR(INDEX(cal_JYear,MATCH($B187,cal_Key,0)),""))</f>
        <v/>
      </c>
      <c r="V187" s="93">
        <f>IF($B187="","",IFERROR(INDEX(cal_JMonth,MATCH($B187,cal_Key,0)),""))</f>
        <v/>
      </c>
      <c r="W187" s="94">
        <f>IF($B187="","",IFERROR(INDEX(cal_YM,MATCH($B187,cal_Key,0)),""))</f>
        <v/>
      </c>
      <c r="X187" s="94">
        <f>IF($B187="","",IFERROR(INDEX(cal_Season,MATCH($B187,cal_Key,0)),""))</f>
        <v/>
      </c>
      <c r="Y187" s="94">
        <f>IF($B187="","",IFERROR(INDEX(cal_Key,MATCH(INDEX(cal_Serial,MATCH($B187,cal_Key,0))+p_Due,cal_Serial,0)),""))</f>
        <v/>
      </c>
      <c r="Z187" s="95">
        <f>IF($B187="","",IF(OR($I187="پرداخت‌شده",$I187="ابطال"),"—",IFERROR(IF(INDEX(cal_Serial,MATCH($B187,cal_Key,0))+p_Due&lt;TODAY(),"بله","خیر"),"تاریخ نامعتبر")))</f>
        <v/>
      </c>
    </row>
    <row r="188" ht="20" customHeight="1">
      <c r="B188" s="86" t="n"/>
      <c r="C188" s="87" t="n"/>
      <c r="D188" s="87" t="n"/>
      <c r="E188" s="87" t="n"/>
      <c r="F188" s="88" t="n"/>
      <c r="G188" s="89" t="n"/>
      <c r="H188" s="90" t="n"/>
      <c r="I188" s="86" t="n"/>
      <c r="J188" s="87" t="n"/>
      <c r="K188" s="91">
        <f>IF($F188="","",$F188*IF($G188="",1,$G188))</f>
        <v/>
      </c>
      <c r="L188" s="92">
        <f>IFERROR(IF($D188="","",INDEX(t_Svc_Rate,MATCH($D188,lst_Service,0))),"")</f>
        <v/>
      </c>
      <c r="M188" s="92">
        <f>IF($L188="","",$L188*IF(p_TierMode="پلکانی",LOOKUP($K188,t_Tier_From,t_Tier_Rate),1))</f>
        <v/>
      </c>
      <c r="N188" s="91">
        <f>IF($K188="","",$K188*$M188)</f>
        <v/>
      </c>
      <c r="O188" s="91">
        <f>IF($N188="","",IF($I188="ابطال",0,MAX(p_Min,MIN(p_Max,$N188))))</f>
        <v/>
      </c>
      <c r="P188" s="91">
        <f>IF($O188="","",ROUND($O188*p_Tax,0))</f>
        <v/>
      </c>
      <c r="Q188" s="91">
        <f>IF($O188="","",$O188+$P188)</f>
        <v/>
      </c>
      <c r="R188" s="92">
        <f>IF($A188="","",IF($H188&lt;&gt;"",$H188,IFERROR(INDEX(t_Member_Share,MATCH($C188,t_Members,0)),p_DefaultShare)))</f>
        <v/>
      </c>
      <c r="S188" s="91">
        <f>IF(OR($Q188="",$R188=""),"",ROUND($Q188*$R188,0))</f>
        <v/>
      </c>
      <c r="T188" s="91">
        <f>IF(OR($Q188="",$S188=""),"",$Q188-$S188)</f>
        <v/>
      </c>
      <c r="U188" s="93">
        <f>IF($B188="","",IFERROR(INDEX(cal_JYear,MATCH($B188,cal_Key,0)),""))</f>
        <v/>
      </c>
      <c r="V188" s="93">
        <f>IF($B188="","",IFERROR(INDEX(cal_JMonth,MATCH($B188,cal_Key,0)),""))</f>
        <v/>
      </c>
      <c r="W188" s="94">
        <f>IF($B188="","",IFERROR(INDEX(cal_YM,MATCH($B188,cal_Key,0)),""))</f>
        <v/>
      </c>
      <c r="X188" s="94">
        <f>IF($B188="","",IFERROR(INDEX(cal_Season,MATCH($B188,cal_Key,0)),""))</f>
        <v/>
      </c>
      <c r="Y188" s="94">
        <f>IF($B188="","",IFERROR(INDEX(cal_Key,MATCH(INDEX(cal_Serial,MATCH($B188,cal_Key,0))+p_Due,cal_Serial,0)),""))</f>
        <v/>
      </c>
      <c r="Z188" s="95">
        <f>IF($B188="","",IF(OR($I188="پرداخت‌شده",$I188="ابطال"),"—",IFERROR(IF(INDEX(cal_Serial,MATCH($B188,cal_Key,0))+p_Due&lt;TODAY(),"بله","خیر"),"تاریخ نامعتبر")))</f>
        <v/>
      </c>
    </row>
    <row r="189" ht="20" customHeight="1">
      <c r="B189" s="86" t="n"/>
      <c r="C189" s="87" t="n"/>
      <c r="D189" s="87" t="n"/>
      <c r="E189" s="87" t="n"/>
      <c r="F189" s="88" t="n"/>
      <c r="G189" s="89" t="n"/>
      <c r="H189" s="90" t="n"/>
      <c r="I189" s="86" t="n"/>
      <c r="J189" s="87" t="n"/>
      <c r="K189" s="91">
        <f>IF($F189="","",$F189*IF($G189="",1,$G189))</f>
        <v/>
      </c>
      <c r="L189" s="92">
        <f>IFERROR(IF($D189="","",INDEX(t_Svc_Rate,MATCH($D189,lst_Service,0))),"")</f>
        <v/>
      </c>
      <c r="M189" s="92">
        <f>IF($L189="","",$L189*IF(p_TierMode="پلکانی",LOOKUP($K189,t_Tier_From,t_Tier_Rate),1))</f>
        <v/>
      </c>
      <c r="N189" s="91">
        <f>IF($K189="","",$K189*$M189)</f>
        <v/>
      </c>
      <c r="O189" s="91">
        <f>IF($N189="","",IF($I189="ابطال",0,MAX(p_Min,MIN(p_Max,$N189))))</f>
        <v/>
      </c>
      <c r="P189" s="91">
        <f>IF($O189="","",ROUND($O189*p_Tax,0))</f>
        <v/>
      </c>
      <c r="Q189" s="91">
        <f>IF($O189="","",$O189+$P189)</f>
        <v/>
      </c>
      <c r="R189" s="92">
        <f>IF($A189="","",IF($H189&lt;&gt;"",$H189,IFERROR(INDEX(t_Member_Share,MATCH($C189,t_Members,0)),p_DefaultShare)))</f>
        <v/>
      </c>
      <c r="S189" s="91">
        <f>IF(OR($Q189="",$R189=""),"",ROUND($Q189*$R189,0))</f>
        <v/>
      </c>
      <c r="T189" s="91">
        <f>IF(OR($Q189="",$S189=""),"",$Q189-$S189)</f>
        <v/>
      </c>
      <c r="U189" s="93">
        <f>IF($B189="","",IFERROR(INDEX(cal_JYear,MATCH($B189,cal_Key,0)),""))</f>
        <v/>
      </c>
      <c r="V189" s="93">
        <f>IF($B189="","",IFERROR(INDEX(cal_JMonth,MATCH($B189,cal_Key,0)),""))</f>
        <v/>
      </c>
      <c r="W189" s="94">
        <f>IF($B189="","",IFERROR(INDEX(cal_YM,MATCH($B189,cal_Key,0)),""))</f>
        <v/>
      </c>
      <c r="X189" s="94">
        <f>IF($B189="","",IFERROR(INDEX(cal_Season,MATCH($B189,cal_Key,0)),""))</f>
        <v/>
      </c>
      <c r="Y189" s="94">
        <f>IF($B189="","",IFERROR(INDEX(cal_Key,MATCH(INDEX(cal_Serial,MATCH($B189,cal_Key,0))+p_Due,cal_Serial,0)),""))</f>
        <v/>
      </c>
      <c r="Z189" s="95">
        <f>IF($B189="","",IF(OR($I189="پرداخت‌شده",$I189="ابطال"),"—",IFERROR(IF(INDEX(cal_Serial,MATCH($B189,cal_Key,0))+p_Due&lt;TODAY(),"بله","خیر"),"تاریخ نامعتبر")))</f>
        <v/>
      </c>
    </row>
    <row r="190" ht="20" customHeight="1">
      <c r="B190" s="86" t="n"/>
      <c r="C190" s="87" t="n"/>
      <c r="D190" s="87" t="n"/>
      <c r="E190" s="87" t="n"/>
      <c r="F190" s="88" t="n"/>
      <c r="G190" s="89" t="n"/>
      <c r="H190" s="90" t="n"/>
      <c r="I190" s="86" t="n"/>
      <c r="J190" s="87" t="n"/>
      <c r="K190" s="91">
        <f>IF($F190="","",$F190*IF($G190="",1,$G190))</f>
        <v/>
      </c>
      <c r="L190" s="92">
        <f>IFERROR(IF($D190="","",INDEX(t_Svc_Rate,MATCH($D190,lst_Service,0))),"")</f>
        <v/>
      </c>
      <c r="M190" s="92">
        <f>IF($L190="","",$L190*IF(p_TierMode="پلکانی",LOOKUP($K190,t_Tier_From,t_Tier_Rate),1))</f>
        <v/>
      </c>
      <c r="N190" s="91">
        <f>IF($K190="","",$K190*$M190)</f>
        <v/>
      </c>
      <c r="O190" s="91">
        <f>IF($N190="","",IF($I190="ابطال",0,MAX(p_Min,MIN(p_Max,$N190))))</f>
        <v/>
      </c>
      <c r="P190" s="91">
        <f>IF($O190="","",ROUND($O190*p_Tax,0))</f>
        <v/>
      </c>
      <c r="Q190" s="91">
        <f>IF($O190="","",$O190+$P190)</f>
        <v/>
      </c>
      <c r="R190" s="92">
        <f>IF($A190="","",IF($H190&lt;&gt;"",$H190,IFERROR(INDEX(t_Member_Share,MATCH($C190,t_Members,0)),p_DefaultShare)))</f>
        <v/>
      </c>
      <c r="S190" s="91">
        <f>IF(OR($Q190="",$R190=""),"",ROUND($Q190*$R190,0))</f>
        <v/>
      </c>
      <c r="T190" s="91">
        <f>IF(OR($Q190="",$S190=""),"",$Q190-$S190)</f>
        <v/>
      </c>
      <c r="U190" s="93">
        <f>IF($B190="","",IFERROR(INDEX(cal_JYear,MATCH($B190,cal_Key,0)),""))</f>
        <v/>
      </c>
      <c r="V190" s="93">
        <f>IF($B190="","",IFERROR(INDEX(cal_JMonth,MATCH($B190,cal_Key,0)),""))</f>
        <v/>
      </c>
      <c r="W190" s="94">
        <f>IF($B190="","",IFERROR(INDEX(cal_YM,MATCH($B190,cal_Key,0)),""))</f>
        <v/>
      </c>
      <c r="X190" s="94">
        <f>IF($B190="","",IFERROR(INDEX(cal_Season,MATCH($B190,cal_Key,0)),""))</f>
        <v/>
      </c>
      <c r="Y190" s="94">
        <f>IF($B190="","",IFERROR(INDEX(cal_Key,MATCH(INDEX(cal_Serial,MATCH($B190,cal_Key,0))+p_Due,cal_Serial,0)),""))</f>
        <v/>
      </c>
      <c r="Z190" s="95">
        <f>IF($B190="","",IF(OR($I190="پرداخت‌شده",$I190="ابطال"),"—",IFERROR(IF(INDEX(cal_Serial,MATCH($B190,cal_Key,0))+p_Due&lt;TODAY(),"بله","خیر"),"تاریخ نامعتبر")))</f>
        <v/>
      </c>
    </row>
    <row r="191" ht="20" customHeight="1">
      <c r="B191" s="86" t="n"/>
      <c r="C191" s="87" t="n"/>
      <c r="D191" s="87" t="n"/>
      <c r="E191" s="87" t="n"/>
      <c r="F191" s="88" t="n"/>
      <c r="G191" s="89" t="n"/>
      <c r="H191" s="90" t="n"/>
      <c r="I191" s="86" t="n"/>
      <c r="J191" s="87" t="n"/>
      <c r="K191" s="91">
        <f>IF($F191="","",$F191*IF($G191="",1,$G191))</f>
        <v/>
      </c>
      <c r="L191" s="92">
        <f>IFERROR(IF($D191="","",INDEX(t_Svc_Rate,MATCH($D191,lst_Service,0))),"")</f>
        <v/>
      </c>
      <c r="M191" s="92">
        <f>IF($L191="","",$L191*IF(p_TierMode="پلکانی",LOOKUP($K191,t_Tier_From,t_Tier_Rate),1))</f>
        <v/>
      </c>
      <c r="N191" s="91">
        <f>IF($K191="","",$K191*$M191)</f>
        <v/>
      </c>
      <c r="O191" s="91">
        <f>IF($N191="","",IF($I191="ابطال",0,MAX(p_Min,MIN(p_Max,$N191))))</f>
        <v/>
      </c>
      <c r="P191" s="91">
        <f>IF($O191="","",ROUND($O191*p_Tax,0))</f>
        <v/>
      </c>
      <c r="Q191" s="91">
        <f>IF($O191="","",$O191+$P191)</f>
        <v/>
      </c>
      <c r="R191" s="92">
        <f>IF($A191="","",IF($H191&lt;&gt;"",$H191,IFERROR(INDEX(t_Member_Share,MATCH($C191,t_Members,0)),p_DefaultShare)))</f>
        <v/>
      </c>
      <c r="S191" s="91">
        <f>IF(OR($Q191="",$R191=""),"",ROUND($Q191*$R191,0))</f>
        <v/>
      </c>
      <c r="T191" s="91">
        <f>IF(OR($Q191="",$S191=""),"",$Q191-$S191)</f>
        <v/>
      </c>
      <c r="U191" s="93">
        <f>IF($B191="","",IFERROR(INDEX(cal_JYear,MATCH($B191,cal_Key,0)),""))</f>
        <v/>
      </c>
      <c r="V191" s="93">
        <f>IF($B191="","",IFERROR(INDEX(cal_JMonth,MATCH($B191,cal_Key,0)),""))</f>
        <v/>
      </c>
      <c r="W191" s="94">
        <f>IF($B191="","",IFERROR(INDEX(cal_YM,MATCH($B191,cal_Key,0)),""))</f>
        <v/>
      </c>
      <c r="X191" s="94">
        <f>IF($B191="","",IFERROR(INDEX(cal_Season,MATCH($B191,cal_Key,0)),""))</f>
        <v/>
      </c>
      <c r="Y191" s="94">
        <f>IF($B191="","",IFERROR(INDEX(cal_Key,MATCH(INDEX(cal_Serial,MATCH($B191,cal_Key,0))+p_Due,cal_Serial,0)),""))</f>
        <v/>
      </c>
      <c r="Z191" s="95">
        <f>IF($B191="","",IF(OR($I191="پرداخت‌شده",$I191="ابطال"),"—",IFERROR(IF(INDEX(cal_Serial,MATCH($B191,cal_Key,0))+p_Due&lt;TODAY(),"بله","خیر"),"تاریخ نامعتبر")))</f>
        <v/>
      </c>
    </row>
    <row r="192" ht="20" customHeight="1">
      <c r="B192" s="86" t="n"/>
      <c r="C192" s="87" t="n"/>
      <c r="D192" s="87" t="n"/>
      <c r="E192" s="87" t="n"/>
      <c r="F192" s="88" t="n"/>
      <c r="G192" s="89" t="n"/>
      <c r="H192" s="90" t="n"/>
      <c r="I192" s="86" t="n"/>
      <c r="J192" s="87" t="n"/>
      <c r="K192" s="91">
        <f>IF($F192="","",$F192*IF($G192="",1,$G192))</f>
        <v/>
      </c>
      <c r="L192" s="92">
        <f>IFERROR(IF($D192="","",INDEX(t_Svc_Rate,MATCH($D192,lst_Service,0))),"")</f>
        <v/>
      </c>
      <c r="M192" s="92">
        <f>IF($L192="","",$L192*IF(p_TierMode="پلکانی",LOOKUP($K192,t_Tier_From,t_Tier_Rate),1))</f>
        <v/>
      </c>
      <c r="N192" s="91">
        <f>IF($K192="","",$K192*$M192)</f>
        <v/>
      </c>
      <c r="O192" s="91">
        <f>IF($N192="","",IF($I192="ابطال",0,MAX(p_Min,MIN(p_Max,$N192))))</f>
        <v/>
      </c>
      <c r="P192" s="91">
        <f>IF($O192="","",ROUND($O192*p_Tax,0))</f>
        <v/>
      </c>
      <c r="Q192" s="91">
        <f>IF($O192="","",$O192+$P192)</f>
        <v/>
      </c>
      <c r="R192" s="92">
        <f>IF($A192="","",IF($H192&lt;&gt;"",$H192,IFERROR(INDEX(t_Member_Share,MATCH($C192,t_Members,0)),p_DefaultShare)))</f>
        <v/>
      </c>
      <c r="S192" s="91">
        <f>IF(OR($Q192="",$R192=""),"",ROUND($Q192*$R192,0))</f>
        <v/>
      </c>
      <c r="T192" s="91">
        <f>IF(OR($Q192="",$S192=""),"",$Q192-$S192)</f>
        <v/>
      </c>
      <c r="U192" s="93">
        <f>IF($B192="","",IFERROR(INDEX(cal_JYear,MATCH($B192,cal_Key,0)),""))</f>
        <v/>
      </c>
      <c r="V192" s="93">
        <f>IF($B192="","",IFERROR(INDEX(cal_JMonth,MATCH($B192,cal_Key,0)),""))</f>
        <v/>
      </c>
      <c r="W192" s="94">
        <f>IF($B192="","",IFERROR(INDEX(cal_YM,MATCH($B192,cal_Key,0)),""))</f>
        <v/>
      </c>
      <c r="X192" s="94">
        <f>IF($B192="","",IFERROR(INDEX(cal_Season,MATCH($B192,cal_Key,0)),""))</f>
        <v/>
      </c>
      <c r="Y192" s="94">
        <f>IF($B192="","",IFERROR(INDEX(cal_Key,MATCH(INDEX(cal_Serial,MATCH($B192,cal_Key,0))+p_Due,cal_Serial,0)),""))</f>
        <v/>
      </c>
      <c r="Z192" s="95">
        <f>IF($B192="","",IF(OR($I192="پرداخت‌شده",$I192="ابطال"),"—",IFERROR(IF(INDEX(cal_Serial,MATCH($B192,cal_Key,0))+p_Due&lt;TODAY(),"بله","خیر"),"تاریخ نامعتبر")))</f>
        <v/>
      </c>
    </row>
    <row r="193" ht="20" customHeight="1">
      <c r="B193" s="86" t="n"/>
      <c r="C193" s="87" t="n"/>
      <c r="D193" s="87" t="n"/>
      <c r="E193" s="87" t="n"/>
      <c r="F193" s="88" t="n"/>
      <c r="G193" s="89" t="n"/>
      <c r="H193" s="90" t="n"/>
      <c r="I193" s="86" t="n"/>
      <c r="J193" s="87" t="n"/>
      <c r="K193" s="91">
        <f>IF($F193="","",$F193*IF($G193="",1,$G193))</f>
        <v/>
      </c>
      <c r="L193" s="92">
        <f>IFERROR(IF($D193="","",INDEX(t_Svc_Rate,MATCH($D193,lst_Service,0))),"")</f>
        <v/>
      </c>
      <c r="M193" s="92">
        <f>IF($L193="","",$L193*IF(p_TierMode="پلکانی",LOOKUP($K193,t_Tier_From,t_Tier_Rate),1))</f>
        <v/>
      </c>
      <c r="N193" s="91">
        <f>IF($K193="","",$K193*$M193)</f>
        <v/>
      </c>
      <c r="O193" s="91">
        <f>IF($N193="","",IF($I193="ابطال",0,MAX(p_Min,MIN(p_Max,$N193))))</f>
        <v/>
      </c>
      <c r="P193" s="91">
        <f>IF($O193="","",ROUND($O193*p_Tax,0))</f>
        <v/>
      </c>
      <c r="Q193" s="91">
        <f>IF($O193="","",$O193+$P193)</f>
        <v/>
      </c>
      <c r="R193" s="92">
        <f>IF($A193="","",IF($H193&lt;&gt;"",$H193,IFERROR(INDEX(t_Member_Share,MATCH($C193,t_Members,0)),p_DefaultShare)))</f>
        <v/>
      </c>
      <c r="S193" s="91">
        <f>IF(OR($Q193="",$R193=""),"",ROUND($Q193*$R193,0))</f>
        <v/>
      </c>
      <c r="T193" s="91">
        <f>IF(OR($Q193="",$S193=""),"",$Q193-$S193)</f>
        <v/>
      </c>
      <c r="U193" s="93">
        <f>IF($B193="","",IFERROR(INDEX(cal_JYear,MATCH($B193,cal_Key,0)),""))</f>
        <v/>
      </c>
      <c r="V193" s="93">
        <f>IF($B193="","",IFERROR(INDEX(cal_JMonth,MATCH($B193,cal_Key,0)),""))</f>
        <v/>
      </c>
      <c r="W193" s="94">
        <f>IF($B193="","",IFERROR(INDEX(cal_YM,MATCH($B193,cal_Key,0)),""))</f>
        <v/>
      </c>
      <c r="X193" s="94">
        <f>IF($B193="","",IFERROR(INDEX(cal_Season,MATCH($B193,cal_Key,0)),""))</f>
        <v/>
      </c>
      <c r="Y193" s="94">
        <f>IF($B193="","",IFERROR(INDEX(cal_Key,MATCH(INDEX(cal_Serial,MATCH($B193,cal_Key,0))+p_Due,cal_Serial,0)),""))</f>
        <v/>
      </c>
      <c r="Z193" s="95">
        <f>IF($B193="","",IF(OR($I193="پرداخت‌شده",$I193="ابطال"),"—",IFERROR(IF(INDEX(cal_Serial,MATCH($B193,cal_Key,0))+p_Due&lt;TODAY(),"بله","خیر"),"تاریخ نامعتبر")))</f>
        <v/>
      </c>
    </row>
    <row r="194" ht="20" customHeight="1">
      <c r="B194" s="86" t="n"/>
      <c r="C194" s="87" t="n"/>
      <c r="D194" s="87" t="n"/>
      <c r="E194" s="87" t="n"/>
      <c r="F194" s="88" t="n"/>
      <c r="G194" s="89" t="n"/>
      <c r="H194" s="90" t="n"/>
      <c r="I194" s="86" t="n"/>
      <c r="J194" s="87" t="n"/>
      <c r="K194" s="91">
        <f>IF($F194="","",$F194*IF($G194="",1,$G194))</f>
        <v/>
      </c>
      <c r="L194" s="92">
        <f>IFERROR(IF($D194="","",INDEX(t_Svc_Rate,MATCH($D194,lst_Service,0))),"")</f>
        <v/>
      </c>
      <c r="M194" s="92">
        <f>IF($L194="","",$L194*IF(p_TierMode="پلکانی",LOOKUP($K194,t_Tier_From,t_Tier_Rate),1))</f>
        <v/>
      </c>
      <c r="N194" s="91">
        <f>IF($K194="","",$K194*$M194)</f>
        <v/>
      </c>
      <c r="O194" s="91">
        <f>IF($N194="","",IF($I194="ابطال",0,MAX(p_Min,MIN(p_Max,$N194))))</f>
        <v/>
      </c>
      <c r="P194" s="91">
        <f>IF($O194="","",ROUND($O194*p_Tax,0))</f>
        <v/>
      </c>
      <c r="Q194" s="91">
        <f>IF($O194="","",$O194+$P194)</f>
        <v/>
      </c>
      <c r="R194" s="92">
        <f>IF($A194="","",IF($H194&lt;&gt;"",$H194,IFERROR(INDEX(t_Member_Share,MATCH($C194,t_Members,0)),p_DefaultShare)))</f>
        <v/>
      </c>
      <c r="S194" s="91">
        <f>IF(OR($Q194="",$R194=""),"",ROUND($Q194*$R194,0))</f>
        <v/>
      </c>
      <c r="T194" s="91">
        <f>IF(OR($Q194="",$S194=""),"",$Q194-$S194)</f>
        <v/>
      </c>
      <c r="U194" s="93">
        <f>IF($B194="","",IFERROR(INDEX(cal_JYear,MATCH($B194,cal_Key,0)),""))</f>
        <v/>
      </c>
      <c r="V194" s="93">
        <f>IF($B194="","",IFERROR(INDEX(cal_JMonth,MATCH($B194,cal_Key,0)),""))</f>
        <v/>
      </c>
      <c r="W194" s="94">
        <f>IF($B194="","",IFERROR(INDEX(cal_YM,MATCH($B194,cal_Key,0)),""))</f>
        <v/>
      </c>
      <c r="X194" s="94">
        <f>IF($B194="","",IFERROR(INDEX(cal_Season,MATCH($B194,cal_Key,0)),""))</f>
        <v/>
      </c>
      <c r="Y194" s="94">
        <f>IF($B194="","",IFERROR(INDEX(cal_Key,MATCH(INDEX(cal_Serial,MATCH($B194,cal_Key,0))+p_Due,cal_Serial,0)),""))</f>
        <v/>
      </c>
      <c r="Z194" s="95">
        <f>IF($B194="","",IF(OR($I194="پرداخت‌شده",$I194="ابطال"),"—",IFERROR(IF(INDEX(cal_Serial,MATCH($B194,cal_Key,0))+p_Due&lt;TODAY(),"بله","خیر"),"تاریخ نامعتبر")))</f>
        <v/>
      </c>
    </row>
    <row r="195" ht="20" customHeight="1">
      <c r="B195" s="86" t="n"/>
      <c r="C195" s="87" t="n"/>
      <c r="D195" s="87" t="n"/>
      <c r="E195" s="87" t="n"/>
      <c r="F195" s="88" t="n"/>
      <c r="G195" s="89" t="n"/>
      <c r="H195" s="90" t="n"/>
      <c r="I195" s="86" t="n"/>
      <c r="J195" s="87" t="n"/>
      <c r="K195" s="91">
        <f>IF($F195="","",$F195*IF($G195="",1,$G195))</f>
        <v/>
      </c>
      <c r="L195" s="92">
        <f>IFERROR(IF($D195="","",INDEX(t_Svc_Rate,MATCH($D195,lst_Service,0))),"")</f>
        <v/>
      </c>
      <c r="M195" s="92">
        <f>IF($L195="","",$L195*IF(p_TierMode="پلکانی",LOOKUP($K195,t_Tier_From,t_Tier_Rate),1))</f>
        <v/>
      </c>
      <c r="N195" s="91">
        <f>IF($K195="","",$K195*$M195)</f>
        <v/>
      </c>
      <c r="O195" s="91">
        <f>IF($N195="","",IF($I195="ابطال",0,MAX(p_Min,MIN(p_Max,$N195))))</f>
        <v/>
      </c>
      <c r="P195" s="91">
        <f>IF($O195="","",ROUND($O195*p_Tax,0))</f>
        <v/>
      </c>
      <c r="Q195" s="91">
        <f>IF($O195="","",$O195+$P195)</f>
        <v/>
      </c>
      <c r="R195" s="92">
        <f>IF($A195="","",IF($H195&lt;&gt;"",$H195,IFERROR(INDEX(t_Member_Share,MATCH($C195,t_Members,0)),p_DefaultShare)))</f>
        <v/>
      </c>
      <c r="S195" s="91">
        <f>IF(OR($Q195="",$R195=""),"",ROUND($Q195*$R195,0))</f>
        <v/>
      </c>
      <c r="T195" s="91">
        <f>IF(OR($Q195="",$S195=""),"",$Q195-$S195)</f>
        <v/>
      </c>
      <c r="U195" s="93">
        <f>IF($B195="","",IFERROR(INDEX(cal_JYear,MATCH($B195,cal_Key,0)),""))</f>
        <v/>
      </c>
      <c r="V195" s="93">
        <f>IF($B195="","",IFERROR(INDEX(cal_JMonth,MATCH($B195,cal_Key,0)),""))</f>
        <v/>
      </c>
      <c r="W195" s="94">
        <f>IF($B195="","",IFERROR(INDEX(cal_YM,MATCH($B195,cal_Key,0)),""))</f>
        <v/>
      </c>
      <c r="X195" s="94">
        <f>IF($B195="","",IFERROR(INDEX(cal_Season,MATCH($B195,cal_Key,0)),""))</f>
        <v/>
      </c>
      <c r="Y195" s="94">
        <f>IF($B195="","",IFERROR(INDEX(cal_Key,MATCH(INDEX(cal_Serial,MATCH($B195,cal_Key,0))+p_Due,cal_Serial,0)),""))</f>
        <v/>
      </c>
      <c r="Z195" s="95">
        <f>IF($B195="","",IF(OR($I195="پرداخت‌شده",$I195="ابطال"),"—",IFERROR(IF(INDEX(cal_Serial,MATCH($B195,cal_Key,0))+p_Due&lt;TODAY(),"بله","خیر"),"تاریخ نامعتبر")))</f>
        <v/>
      </c>
    </row>
    <row r="196" ht="20" customHeight="1">
      <c r="B196" s="86" t="n"/>
      <c r="C196" s="87" t="n"/>
      <c r="D196" s="87" t="n"/>
      <c r="E196" s="87" t="n"/>
      <c r="F196" s="88" t="n"/>
      <c r="G196" s="89" t="n"/>
      <c r="H196" s="90" t="n"/>
      <c r="I196" s="86" t="n"/>
      <c r="J196" s="87" t="n"/>
      <c r="K196" s="91">
        <f>IF($F196="","",$F196*IF($G196="",1,$G196))</f>
        <v/>
      </c>
      <c r="L196" s="92">
        <f>IFERROR(IF($D196="","",INDEX(t_Svc_Rate,MATCH($D196,lst_Service,0))),"")</f>
        <v/>
      </c>
      <c r="M196" s="92">
        <f>IF($L196="","",$L196*IF(p_TierMode="پلکانی",LOOKUP($K196,t_Tier_From,t_Tier_Rate),1))</f>
        <v/>
      </c>
      <c r="N196" s="91">
        <f>IF($K196="","",$K196*$M196)</f>
        <v/>
      </c>
      <c r="O196" s="91">
        <f>IF($N196="","",IF($I196="ابطال",0,MAX(p_Min,MIN(p_Max,$N196))))</f>
        <v/>
      </c>
      <c r="P196" s="91">
        <f>IF($O196="","",ROUND($O196*p_Tax,0))</f>
        <v/>
      </c>
      <c r="Q196" s="91">
        <f>IF($O196="","",$O196+$P196)</f>
        <v/>
      </c>
      <c r="R196" s="92">
        <f>IF($A196="","",IF($H196&lt;&gt;"",$H196,IFERROR(INDEX(t_Member_Share,MATCH($C196,t_Members,0)),p_DefaultShare)))</f>
        <v/>
      </c>
      <c r="S196" s="91">
        <f>IF(OR($Q196="",$R196=""),"",ROUND($Q196*$R196,0))</f>
        <v/>
      </c>
      <c r="T196" s="91">
        <f>IF(OR($Q196="",$S196=""),"",$Q196-$S196)</f>
        <v/>
      </c>
      <c r="U196" s="93">
        <f>IF($B196="","",IFERROR(INDEX(cal_JYear,MATCH($B196,cal_Key,0)),""))</f>
        <v/>
      </c>
      <c r="V196" s="93">
        <f>IF($B196="","",IFERROR(INDEX(cal_JMonth,MATCH($B196,cal_Key,0)),""))</f>
        <v/>
      </c>
      <c r="W196" s="94">
        <f>IF($B196="","",IFERROR(INDEX(cal_YM,MATCH($B196,cal_Key,0)),""))</f>
        <v/>
      </c>
      <c r="X196" s="94">
        <f>IF($B196="","",IFERROR(INDEX(cal_Season,MATCH($B196,cal_Key,0)),""))</f>
        <v/>
      </c>
      <c r="Y196" s="94">
        <f>IF($B196="","",IFERROR(INDEX(cal_Key,MATCH(INDEX(cal_Serial,MATCH($B196,cal_Key,0))+p_Due,cal_Serial,0)),""))</f>
        <v/>
      </c>
      <c r="Z196" s="95">
        <f>IF($B196="","",IF(OR($I196="پرداخت‌شده",$I196="ابطال"),"—",IFERROR(IF(INDEX(cal_Serial,MATCH($B196,cal_Key,0))+p_Due&lt;TODAY(),"بله","خیر"),"تاریخ نامعتبر")))</f>
        <v/>
      </c>
    </row>
    <row r="197" ht="20" customHeight="1">
      <c r="B197" s="86" t="n"/>
      <c r="C197" s="87" t="n"/>
      <c r="D197" s="87" t="n"/>
      <c r="E197" s="87" t="n"/>
      <c r="F197" s="88" t="n"/>
      <c r="G197" s="89" t="n"/>
      <c r="H197" s="90" t="n"/>
      <c r="I197" s="86" t="n"/>
      <c r="J197" s="87" t="n"/>
      <c r="K197" s="91">
        <f>IF($F197="","",$F197*IF($G197="",1,$G197))</f>
        <v/>
      </c>
      <c r="L197" s="92">
        <f>IFERROR(IF($D197="","",INDEX(t_Svc_Rate,MATCH($D197,lst_Service,0))),"")</f>
        <v/>
      </c>
      <c r="M197" s="92">
        <f>IF($L197="","",$L197*IF(p_TierMode="پلکانی",LOOKUP($K197,t_Tier_From,t_Tier_Rate),1))</f>
        <v/>
      </c>
      <c r="N197" s="91">
        <f>IF($K197="","",$K197*$M197)</f>
        <v/>
      </c>
      <c r="O197" s="91">
        <f>IF($N197="","",IF($I197="ابطال",0,MAX(p_Min,MIN(p_Max,$N197))))</f>
        <v/>
      </c>
      <c r="P197" s="91">
        <f>IF($O197="","",ROUND($O197*p_Tax,0))</f>
        <v/>
      </c>
      <c r="Q197" s="91">
        <f>IF($O197="","",$O197+$P197)</f>
        <v/>
      </c>
      <c r="R197" s="92">
        <f>IF($A197="","",IF($H197&lt;&gt;"",$H197,IFERROR(INDEX(t_Member_Share,MATCH($C197,t_Members,0)),p_DefaultShare)))</f>
        <v/>
      </c>
      <c r="S197" s="91">
        <f>IF(OR($Q197="",$R197=""),"",ROUND($Q197*$R197,0))</f>
        <v/>
      </c>
      <c r="T197" s="91">
        <f>IF(OR($Q197="",$S197=""),"",$Q197-$S197)</f>
        <v/>
      </c>
      <c r="U197" s="93">
        <f>IF($B197="","",IFERROR(INDEX(cal_JYear,MATCH($B197,cal_Key,0)),""))</f>
        <v/>
      </c>
      <c r="V197" s="93">
        <f>IF($B197="","",IFERROR(INDEX(cal_JMonth,MATCH($B197,cal_Key,0)),""))</f>
        <v/>
      </c>
      <c r="W197" s="94">
        <f>IF($B197="","",IFERROR(INDEX(cal_YM,MATCH($B197,cal_Key,0)),""))</f>
        <v/>
      </c>
      <c r="X197" s="94">
        <f>IF($B197="","",IFERROR(INDEX(cal_Season,MATCH($B197,cal_Key,0)),""))</f>
        <v/>
      </c>
      <c r="Y197" s="94">
        <f>IF($B197="","",IFERROR(INDEX(cal_Key,MATCH(INDEX(cal_Serial,MATCH($B197,cal_Key,0))+p_Due,cal_Serial,0)),""))</f>
        <v/>
      </c>
      <c r="Z197" s="95">
        <f>IF($B197="","",IF(OR($I197="پرداخت‌شده",$I197="ابطال"),"—",IFERROR(IF(INDEX(cal_Serial,MATCH($B197,cal_Key,0))+p_Due&lt;TODAY(),"بله","خیر"),"تاریخ نامعتبر")))</f>
        <v/>
      </c>
    </row>
    <row r="198" ht="20" customHeight="1">
      <c r="B198" s="86" t="n"/>
      <c r="C198" s="87" t="n"/>
      <c r="D198" s="87" t="n"/>
      <c r="E198" s="87" t="n"/>
      <c r="F198" s="88" t="n"/>
      <c r="G198" s="89" t="n"/>
      <c r="H198" s="90" t="n"/>
      <c r="I198" s="86" t="n"/>
      <c r="J198" s="87" t="n"/>
      <c r="K198" s="91">
        <f>IF($F198="","",$F198*IF($G198="",1,$G198))</f>
        <v/>
      </c>
      <c r="L198" s="92">
        <f>IFERROR(IF($D198="","",INDEX(t_Svc_Rate,MATCH($D198,lst_Service,0))),"")</f>
        <v/>
      </c>
      <c r="M198" s="92">
        <f>IF($L198="","",$L198*IF(p_TierMode="پلکانی",LOOKUP($K198,t_Tier_From,t_Tier_Rate),1))</f>
        <v/>
      </c>
      <c r="N198" s="91">
        <f>IF($K198="","",$K198*$M198)</f>
        <v/>
      </c>
      <c r="O198" s="91">
        <f>IF($N198="","",IF($I198="ابطال",0,MAX(p_Min,MIN(p_Max,$N198))))</f>
        <v/>
      </c>
      <c r="P198" s="91">
        <f>IF($O198="","",ROUND($O198*p_Tax,0))</f>
        <v/>
      </c>
      <c r="Q198" s="91">
        <f>IF($O198="","",$O198+$P198)</f>
        <v/>
      </c>
      <c r="R198" s="92">
        <f>IF($A198="","",IF($H198&lt;&gt;"",$H198,IFERROR(INDEX(t_Member_Share,MATCH($C198,t_Members,0)),p_DefaultShare)))</f>
        <v/>
      </c>
      <c r="S198" s="91">
        <f>IF(OR($Q198="",$R198=""),"",ROUND($Q198*$R198,0))</f>
        <v/>
      </c>
      <c r="T198" s="91">
        <f>IF(OR($Q198="",$S198=""),"",$Q198-$S198)</f>
        <v/>
      </c>
      <c r="U198" s="93">
        <f>IF($B198="","",IFERROR(INDEX(cal_JYear,MATCH($B198,cal_Key,0)),""))</f>
        <v/>
      </c>
      <c r="V198" s="93">
        <f>IF($B198="","",IFERROR(INDEX(cal_JMonth,MATCH($B198,cal_Key,0)),""))</f>
        <v/>
      </c>
      <c r="W198" s="94">
        <f>IF($B198="","",IFERROR(INDEX(cal_YM,MATCH($B198,cal_Key,0)),""))</f>
        <v/>
      </c>
      <c r="X198" s="94">
        <f>IF($B198="","",IFERROR(INDEX(cal_Season,MATCH($B198,cal_Key,0)),""))</f>
        <v/>
      </c>
      <c r="Y198" s="94">
        <f>IF($B198="","",IFERROR(INDEX(cal_Key,MATCH(INDEX(cal_Serial,MATCH($B198,cal_Key,0))+p_Due,cal_Serial,0)),""))</f>
        <v/>
      </c>
      <c r="Z198" s="95">
        <f>IF($B198="","",IF(OR($I198="پرداخت‌شده",$I198="ابطال"),"—",IFERROR(IF(INDEX(cal_Serial,MATCH($B198,cal_Key,0))+p_Due&lt;TODAY(),"بله","خیر"),"تاریخ نامعتبر")))</f>
        <v/>
      </c>
    </row>
    <row r="199" ht="20" customHeight="1">
      <c r="B199" s="86" t="n"/>
      <c r="C199" s="87" t="n"/>
      <c r="D199" s="87" t="n"/>
      <c r="E199" s="87" t="n"/>
      <c r="F199" s="88" t="n"/>
      <c r="G199" s="89" t="n"/>
      <c r="H199" s="90" t="n"/>
      <c r="I199" s="86" t="n"/>
      <c r="J199" s="87" t="n"/>
      <c r="K199" s="91">
        <f>IF($F199="","",$F199*IF($G199="",1,$G199))</f>
        <v/>
      </c>
      <c r="L199" s="92">
        <f>IFERROR(IF($D199="","",INDEX(t_Svc_Rate,MATCH($D199,lst_Service,0))),"")</f>
        <v/>
      </c>
      <c r="M199" s="92">
        <f>IF($L199="","",$L199*IF(p_TierMode="پلکانی",LOOKUP($K199,t_Tier_From,t_Tier_Rate),1))</f>
        <v/>
      </c>
      <c r="N199" s="91">
        <f>IF($K199="","",$K199*$M199)</f>
        <v/>
      </c>
      <c r="O199" s="91">
        <f>IF($N199="","",IF($I199="ابطال",0,MAX(p_Min,MIN(p_Max,$N199))))</f>
        <v/>
      </c>
      <c r="P199" s="91">
        <f>IF($O199="","",ROUND($O199*p_Tax,0))</f>
        <v/>
      </c>
      <c r="Q199" s="91">
        <f>IF($O199="","",$O199+$P199)</f>
        <v/>
      </c>
      <c r="R199" s="92">
        <f>IF($A199="","",IF($H199&lt;&gt;"",$H199,IFERROR(INDEX(t_Member_Share,MATCH($C199,t_Members,0)),p_DefaultShare)))</f>
        <v/>
      </c>
      <c r="S199" s="91">
        <f>IF(OR($Q199="",$R199=""),"",ROUND($Q199*$R199,0))</f>
        <v/>
      </c>
      <c r="T199" s="91">
        <f>IF(OR($Q199="",$S199=""),"",$Q199-$S199)</f>
        <v/>
      </c>
      <c r="U199" s="93">
        <f>IF($B199="","",IFERROR(INDEX(cal_JYear,MATCH($B199,cal_Key,0)),""))</f>
        <v/>
      </c>
      <c r="V199" s="93">
        <f>IF($B199="","",IFERROR(INDEX(cal_JMonth,MATCH($B199,cal_Key,0)),""))</f>
        <v/>
      </c>
      <c r="W199" s="94">
        <f>IF($B199="","",IFERROR(INDEX(cal_YM,MATCH($B199,cal_Key,0)),""))</f>
        <v/>
      </c>
      <c r="X199" s="94">
        <f>IF($B199="","",IFERROR(INDEX(cal_Season,MATCH($B199,cal_Key,0)),""))</f>
        <v/>
      </c>
      <c r="Y199" s="94">
        <f>IF($B199="","",IFERROR(INDEX(cal_Key,MATCH(INDEX(cal_Serial,MATCH($B199,cal_Key,0))+p_Due,cal_Serial,0)),""))</f>
        <v/>
      </c>
      <c r="Z199" s="95">
        <f>IF($B199="","",IF(OR($I199="پرداخت‌شده",$I199="ابطال"),"—",IFERROR(IF(INDEX(cal_Serial,MATCH($B199,cal_Key,0))+p_Due&lt;TODAY(),"بله","خیر"),"تاریخ نامعتبر")))</f>
        <v/>
      </c>
    </row>
    <row r="200" ht="20" customHeight="1">
      <c r="B200" s="86" t="n"/>
      <c r="C200" s="87" t="n"/>
      <c r="D200" s="87" t="n"/>
      <c r="E200" s="87" t="n"/>
      <c r="F200" s="88" t="n"/>
      <c r="G200" s="89" t="n"/>
      <c r="H200" s="90" t="n"/>
      <c r="I200" s="86" t="n"/>
      <c r="J200" s="87" t="n"/>
      <c r="K200" s="91">
        <f>IF($F200="","",$F200*IF($G200="",1,$G200))</f>
        <v/>
      </c>
      <c r="L200" s="92">
        <f>IFERROR(IF($D200="","",INDEX(t_Svc_Rate,MATCH($D200,lst_Service,0))),"")</f>
        <v/>
      </c>
      <c r="M200" s="92">
        <f>IF($L200="","",$L200*IF(p_TierMode="پلکانی",LOOKUP($K200,t_Tier_From,t_Tier_Rate),1))</f>
        <v/>
      </c>
      <c r="N200" s="91">
        <f>IF($K200="","",$K200*$M200)</f>
        <v/>
      </c>
      <c r="O200" s="91">
        <f>IF($N200="","",IF($I200="ابطال",0,MAX(p_Min,MIN(p_Max,$N200))))</f>
        <v/>
      </c>
      <c r="P200" s="91">
        <f>IF($O200="","",ROUND($O200*p_Tax,0))</f>
        <v/>
      </c>
      <c r="Q200" s="91">
        <f>IF($O200="","",$O200+$P200)</f>
        <v/>
      </c>
      <c r="R200" s="92">
        <f>IF($A200="","",IF($H200&lt;&gt;"",$H200,IFERROR(INDEX(t_Member_Share,MATCH($C200,t_Members,0)),p_DefaultShare)))</f>
        <v/>
      </c>
      <c r="S200" s="91">
        <f>IF(OR($Q200="",$R200=""),"",ROUND($Q200*$R200,0))</f>
        <v/>
      </c>
      <c r="T200" s="91">
        <f>IF(OR($Q200="",$S200=""),"",$Q200-$S200)</f>
        <v/>
      </c>
      <c r="U200" s="93">
        <f>IF($B200="","",IFERROR(INDEX(cal_JYear,MATCH($B200,cal_Key,0)),""))</f>
        <v/>
      </c>
      <c r="V200" s="93">
        <f>IF($B200="","",IFERROR(INDEX(cal_JMonth,MATCH($B200,cal_Key,0)),""))</f>
        <v/>
      </c>
      <c r="W200" s="94">
        <f>IF($B200="","",IFERROR(INDEX(cal_YM,MATCH($B200,cal_Key,0)),""))</f>
        <v/>
      </c>
      <c r="X200" s="94">
        <f>IF($B200="","",IFERROR(INDEX(cal_Season,MATCH($B200,cal_Key,0)),""))</f>
        <v/>
      </c>
      <c r="Y200" s="94">
        <f>IF($B200="","",IFERROR(INDEX(cal_Key,MATCH(INDEX(cal_Serial,MATCH($B200,cal_Key,0))+p_Due,cal_Serial,0)),""))</f>
        <v/>
      </c>
      <c r="Z200" s="95">
        <f>IF($B200="","",IF(OR($I200="پرداخت‌شده",$I200="ابطال"),"—",IFERROR(IF(INDEX(cal_Serial,MATCH($B200,cal_Key,0))+p_Due&lt;TODAY(),"بله","خیر"),"تاریخ نامعتبر")))</f>
        <v/>
      </c>
    </row>
    <row r="201" ht="20" customHeight="1">
      <c r="B201" s="86" t="n"/>
      <c r="C201" s="87" t="n"/>
      <c r="D201" s="87" t="n"/>
      <c r="E201" s="87" t="n"/>
      <c r="F201" s="88" t="n"/>
      <c r="G201" s="89" t="n"/>
      <c r="H201" s="90" t="n"/>
      <c r="I201" s="86" t="n"/>
      <c r="J201" s="87" t="n"/>
      <c r="K201" s="91">
        <f>IF($F201="","",$F201*IF($G201="",1,$G201))</f>
        <v/>
      </c>
      <c r="L201" s="92">
        <f>IFERROR(IF($D201="","",INDEX(t_Svc_Rate,MATCH($D201,lst_Service,0))),"")</f>
        <v/>
      </c>
      <c r="M201" s="92">
        <f>IF($L201="","",$L201*IF(p_TierMode="پلکانی",LOOKUP($K201,t_Tier_From,t_Tier_Rate),1))</f>
        <v/>
      </c>
      <c r="N201" s="91">
        <f>IF($K201="","",$K201*$M201)</f>
        <v/>
      </c>
      <c r="O201" s="91">
        <f>IF($N201="","",IF($I201="ابطال",0,MAX(p_Min,MIN(p_Max,$N201))))</f>
        <v/>
      </c>
      <c r="P201" s="91">
        <f>IF($O201="","",ROUND($O201*p_Tax,0))</f>
        <v/>
      </c>
      <c r="Q201" s="91">
        <f>IF($O201="","",$O201+$P201)</f>
        <v/>
      </c>
      <c r="R201" s="92">
        <f>IF($A201="","",IF($H201&lt;&gt;"",$H201,IFERROR(INDEX(t_Member_Share,MATCH($C201,t_Members,0)),p_DefaultShare)))</f>
        <v/>
      </c>
      <c r="S201" s="91">
        <f>IF(OR($Q201="",$R201=""),"",ROUND($Q201*$R201,0))</f>
        <v/>
      </c>
      <c r="T201" s="91">
        <f>IF(OR($Q201="",$S201=""),"",$Q201-$S201)</f>
        <v/>
      </c>
      <c r="U201" s="93">
        <f>IF($B201="","",IFERROR(INDEX(cal_JYear,MATCH($B201,cal_Key,0)),""))</f>
        <v/>
      </c>
      <c r="V201" s="93">
        <f>IF($B201="","",IFERROR(INDEX(cal_JMonth,MATCH($B201,cal_Key,0)),""))</f>
        <v/>
      </c>
      <c r="W201" s="94">
        <f>IF($B201="","",IFERROR(INDEX(cal_YM,MATCH($B201,cal_Key,0)),""))</f>
        <v/>
      </c>
      <c r="X201" s="94">
        <f>IF($B201="","",IFERROR(INDEX(cal_Season,MATCH($B201,cal_Key,0)),""))</f>
        <v/>
      </c>
      <c r="Y201" s="94">
        <f>IF($B201="","",IFERROR(INDEX(cal_Key,MATCH(INDEX(cal_Serial,MATCH($B201,cal_Key,0))+p_Due,cal_Serial,0)),""))</f>
        <v/>
      </c>
      <c r="Z201" s="95">
        <f>IF($B201="","",IF(OR($I201="پرداخت‌شده",$I201="ابطال"),"—",IFERROR(IF(INDEX(cal_Serial,MATCH($B201,cal_Key,0))+p_Due&lt;TODAY(),"بله","خیر"),"تاریخ نامعتبر")))</f>
        <v/>
      </c>
    </row>
    <row r="202" ht="20" customHeight="1">
      <c r="B202" s="86" t="n"/>
      <c r="C202" s="87" t="n"/>
      <c r="D202" s="87" t="n"/>
      <c r="E202" s="87" t="n"/>
      <c r="F202" s="88" t="n"/>
      <c r="G202" s="89" t="n"/>
      <c r="H202" s="90" t="n"/>
      <c r="I202" s="86" t="n"/>
      <c r="J202" s="87" t="n"/>
      <c r="K202" s="91">
        <f>IF($F202="","",$F202*IF($G202="",1,$G202))</f>
        <v/>
      </c>
      <c r="L202" s="92">
        <f>IFERROR(IF($D202="","",INDEX(t_Svc_Rate,MATCH($D202,lst_Service,0))),"")</f>
        <v/>
      </c>
      <c r="M202" s="92">
        <f>IF($L202="","",$L202*IF(p_TierMode="پلکانی",LOOKUP($K202,t_Tier_From,t_Tier_Rate),1))</f>
        <v/>
      </c>
      <c r="N202" s="91">
        <f>IF($K202="","",$K202*$M202)</f>
        <v/>
      </c>
      <c r="O202" s="91">
        <f>IF($N202="","",IF($I202="ابطال",0,MAX(p_Min,MIN(p_Max,$N202))))</f>
        <v/>
      </c>
      <c r="P202" s="91">
        <f>IF($O202="","",ROUND($O202*p_Tax,0))</f>
        <v/>
      </c>
      <c r="Q202" s="91">
        <f>IF($O202="","",$O202+$P202)</f>
        <v/>
      </c>
      <c r="R202" s="92">
        <f>IF($A202="","",IF($H202&lt;&gt;"",$H202,IFERROR(INDEX(t_Member_Share,MATCH($C202,t_Members,0)),p_DefaultShare)))</f>
        <v/>
      </c>
      <c r="S202" s="91">
        <f>IF(OR($Q202="",$R202=""),"",ROUND($Q202*$R202,0))</f>
        <v/>
      </c>
      <c r="T202" s="91">
        <f>IF(OR($Q202="",$S202=""),"",$Q202-$S202)</f>
        <v/>
      </c>
      <c r="U202" s="93">
        <f>IF($B202="","",IFERROR(INDEX(cal_JYear,MATCH($B202,cal_Key,0)),""))</f>
        <v/>
      </c>
      <c r="V202" s="93">
        <f>IF($B202="","",IFERROR(INDEX(cal_JMonth,MATCH($B202,cal_Key,0)),""))</f>
        <v/>
      </c>
      <c r="W202" s="94">
        <f>IF($B202="","",IFERROR(INDEX(cal_YM,MATCH($B202,cal_Key,0)),""))</f>
        <v/>
      </c>
      <c r="X202" s="94">
        <f>IF($B202="","",IFERROR(INDEX(cal_Season,MATCH($B202,cal_Key,0)),""))</f>
        <v/>
      </c>
      <c r="Y202" s="94">
        <f>IF($B202="","",IFERROR(INDEX(cal_Key,MATCH(INDEX(cal_Serial,MATCH($B202,cal_Key,0))+p_Due,cal_Serial,0)),""))</f>
        <v/>
      </c>
      <c r="Z202" s="95">
        <f>IF($B202="","",IF(OR($I202="پرداخت‌شده",$I202="ابطال"),"—",IFERROR(IF(INDEX(cal_Serial,MATCH($B202,cal_Key,0))+p_Due&lt;TODAY(),"بله","خیر"),"تاریخ نامعتبر")))</f>
        <v/>
      </c>
    </row>
    <row r="203" ht="20" customHeight="1">
      <c r="B203" s="86" t="n"/>
      <c r="C203" s="87" t="n"/>
      <c r="D203" s="87" t="n"/>
      <c r="E203" s="87" t="n"/>
      <c r="F203" s="88" t="n"/>
      <c r="G203" s="89" t="n"/>
      <c r="H203" s="90" t="n"/>
      <c r="I203" s="86" t="n"/>
      <c r="J203" s="87" t="n"/>
      <c r="K203" s="91">
        <f>IF($F203="","",$F203*IF($G203="",1,$G203))</f>
        <v/>
      </c>
      <c r="L203" s="92">
        <f>IFERROR(IF($D203="","",INDEX(t_Svc_Rate,MATCH($D203,lst_Service,0))),"")</f>
        <v/>
      </c>
      <c r="M203" s="92">
        <f>IF($L203="","",$L203*IF(p_TierMode="پلکانی",LOOKUP($K203,t_Tier_From,t_Tier_Rate),1))</f>
        <v/>
      </c>
      <c r="N203" s="91">
        <f>IF($K203="","",$K203*$M203)</f>
        <v/>
      </c>
      <c r="O203" s="91">
        <f>IF($N203="","",IF($I203="ابطال",0,MAX(p_Min,MIN(p_Max,$N203))))</f>
        <v/>
      </c>
      <c r="P203" s="91">
        <f>IF($O203="","",ROUND($O203*p_Tax,0))</f>
        <v/>
      </c>
      <c r="Q203" s="91">
        <f>IF($O203="","",$O203+$P203)</f>
        <v/>
      </c>
      <c r="R203" s="92">
        <f>IF($A203="","",IF($H203&lt;&gt;"",$H203,IFERROR(INDEX(t_Member_Share,MATCH($C203,t_Members,0)),p_DefaultShare)))</f>
        <v/>
      </c>
      <c r="S203" s="91">
        <f>IF(OR($Q203="",$R203=""),"",ROUND($Q203*$R203,0))</f>
        <v/>
      </c>
      <c r="T203" s="91">
        <f>IF(OR($Q203="",$S203=""),"",$Q203-$S203)</f>
        <v/>
      </c>
      <c r="U203" s="93">
        <f>IF($B203="","",IFERROR(INDEX(cal_JYear,MATCH($B203,cal_Key,0)),""))</f>
        <v/>
      </c>
      <c r="V203" s="93">
        <f>IF($B203="","",IFERROR(INDEX(cal_JMonth,MATCH($B203,cal_Key,0)),""))</f>
        <v/>
      </c>
      <c r="W203" s="94">
        <f>IF($B203="","",IFERROR(INDEX(cal_YM,MATCH($B203,cal_Key,0)),""))</f>
        <v/>
      </c>
      <c r="X203" s="94">
        <f>IF($B203="","",IFERROR(INDEX(cal_Season,MATCH($B203,cal_Key,0)),""))</f>
        <v/>
      </c>
      <c r="Y203" s="94">
        <f>IF($B203="","",IFERROR(INDEX(cal_Key,MATCH(INDEX(cal_Serial,MATCH($B203,cal_Key,0))+p_Due,cal_Serial,0)),""))</f>
        <v/>
      </c>
      <c r="Z203" s="95">
        <f>IF($B203="","",IF(OR($I203="پرداخت‌شده",$I203="ابطال"),"—",IFERROR(IF(INDEX(cal_Serial,MATCH($B203,cal_Key,0))+p_Due&lt;TODAY(),"بله","خیر"),"تاریخ نامعتبر")))</f>
        <v/>
      </c>
    </row>
    <row r="204" ht="20" customHeight="1">
      <c r="B204" s="86" t="n"/>
      <c r="C204" s="87" t="n"/>
      <c r="D204" s="87" t="n"/>
      <c r="E204" s="87" t="n"/>
      <c r="F204" s="88" t="n"/>
      <c r="G204" s="89" t="n"/>
      <c r="H204" s="90" t="n"/>
      <c r="I204" s="86" t="n"/>
      <c r="J204" s="87" t="n"/>
      <c r="K204" s="91">
        <f>IF($F204="","",$F204*IF($G204="",1,$G204))</f>
        <v/>
      </c>
      <c r="L204" s="92">
        <f>IFERROR(IF($D204="","",INDEX(t_Svc_Rate,MATCH($D204,lst_Service,0))),"")</f>
        <v/>
      </c>
      <c r="M204" s="92">
        <f>IF($L204="","",$L204*IF(p_TierMode="پلکانی",LOOKUP($K204,t_Tier_From,t_Tier_Rate),1))</f>
        <v/>
      </c>
      <c r="N204" s="91">
        <f>IF($K204="","",$K204*$M204)</f>
        <v/>
      </c>
      <c r="O204" s="91">
        <f>IF($N204="","",IF($I204="ابطال",0,MAX(p_Min,MIN(p_Max,$N204))))</f>
        <v/>
      </c>
      <c r="P204" s="91">
        <f>IF($O204="","",ROUND($O204*p_Tax,0))</f>
        <v/>
      </c>
      <c r="Q204" s="91">
        <f>IF($O204="","",$O204+$P204)</f>
        <v/>
      </c>
      <c r="R204" s="92">
        <f>IF($A204="","",IF($H204&lt;&gt;"",$H204,IFERROR(INDEX(t_Member_Share,MATCH($C204,t_Members,0)),p_DefaultShare)))</f>
        <v/>
      </c>
      <c r="S204" s="91">
        <f>IF(OR($Q204="",$R204=""),"",ROUND($Q204*$R204,0))</f>
        <v/>
      </c>
      <c r="T204" s="91">
        <f>IF(OR($Q204="",$S204=""),"",$Q204-$S204)</f>
        <v/>
      </c>
      <c r="U204" s="93">
        <f>IF($B204="","",IFERROR(INDEX(cal_JYear,MATCH($B204,cal_Key,0)),""))</f>
        <v/>
      </c>
      <c r="V204" s="93">
        <f>IF($B204="","",IFERROR(INDEX(cal_JMonth,MATCH($B204,cal_Key,0)),""))</f>
        <v/>
      </c>
      <c r="W204" s="94">
        <f>IF($B204="","",IFERROR(INDEX(cal_YM,MATCH($B204,cal_Key,0)),""))</f>
        <v/>
      </c>
      <c r="X204" s="94">
        <f>IF($B204="","",IFERROR(INDEX(cal_Season,MATCH($B204,cal_Key,0)),""))</f>
        <v/>
      </c>
      <c r="Y204" s="94">
        <f>IF($B204="","",IFERROR(INDEX(cal_Key,MATCH(INDEX(cal_Serial,MATCH($B204,cal_Key,0))+p_Due,cal_Serial,0)),""))</f>
        <v/>
      </c>
      <c r="Z204" s="95">
        <f>IF($B204="","",IF(OR($I204="پرداخت‌شده",$I204="ابطال"),"—",IFERROR(IF(INDEX(cal_Serial,MATCH($B204,cal_Key,0))+p_Due&lt;TODAY(),"بله","خیر"),"تاریخ نامعتبر")))</f>
        <v/>
      </c>
    </row>
    <row r="205" ht="20" customHeight="1">
      <c r="B205" s="86" t="n"/>
      <c r="C205" s="87" t="n"/>
      <c r="D205" s="87" t="n"/>
      <c r="E205" s="87" t="n"/>
      <c r="F205" s="88" t="n"/>
      <c r="G205" s="89" t="n"/>
      <c r="H205" s="90" t="n"/>
      <c r="I205" s="86" t="n"/>
      <c r="J205" s="87" t="n"/>
      <c r="K205" s="91">
        <f>IF($F205="","",$F205*IF($G205="",1,$G205))</f>
        <v/>
      </c>
      <c r="L205" s="92">
        <f>IFERROR(IF($D205="","",INDEX(t_Svc_Rate,MATCH($D205,lst_Service,0))),"")</f>
        <v/>
      </c>
      <c r="M205" s="92">
        <f>IF($L205="","",$L205*IF(p_TierMode="پلکانی",LOOKUP($K205,t_Tier_From,t_Tier_Rate),1))</f>
        <v/>
      </c>
      <c r="N205" s="91">
        <f>IF($K205="","",$K205*$M205)</f>
        <v/>
      </c>
      <c r="O205" s="91">
        <f>IF($N205="","",IF($I205="ابطال",0,MAX(p_Min,MIN(p_Max,$N205))))</f>
        <v/>
      </c>
      <c r="P205" s="91">
        <f>IF($O205="","",ROUND($O205*p_Tax,0))</f>
        <v/>
      </c>
      <c r="Q205" s="91">
        <f>IF($O205="","",$O205+$P205)</f>
        <v/>
      </c>
      <c r="R205" s="92">
        <f>IF($A205="","",IF($H205&lt;&gt;"",$H205,IFERROR(INDEX(t_Member_Share,MATCH($C205,t_Members,0)),p_DefaultShare)))</f>
        <v/>
      </c>
      <c r="S205" s="91">
        <f>IF(OR($Q205="",$R205=""),"",ROUND($Q205*$R205,0))</f>
        <v/>
      </c>
      <c r="T205" s="91">
        <f>IF(OR($Q205="",$S205=""),"",$Q205-$S205)</f>
        <v/>
      </c>
      <c r="U205" s="93">
        <f>IF($B205="","",IFERROR(INDEX(cal_JYear,MATCH($B205,cal_Key,0)),""))</f>
        <v/>
      </c>
      <c r="V205" s="93">
        <f>IF($B205="","",IFERROR(INDEX(cal_JMonth,MATCH($B205,cal_Key,0)),""))</f>
        <v/>
      </c>
      <c r="W205" s="94">
        <f>IF($B205="","",IFERROR(INDEX(cal_YM,MATCH($B205,cal_Key,0)),""))</f>
        <v/>
      </c>
      <c r="X205" s="94">
        <f>IF($B205="","",IFERROR(INDEX(cal_Season,MATCH($B205,cal_Key,0)),""))</f>
        <v/>
      </c>
      <c r="Y205" s="94">
        <f>IF($B205="","",IFERROR(INDEX(cal_Key,MATCH(INDEX(cal_Serial,MATCH($B205,cal_Key,0))+p_Due,cal_Serial,0)),""))</f>
        <v/>
      </c>
      <c r="Z205" s="95">
        <f>IF($B205="","",IF(OR($I205="پرداخت‌شده",$I205="ابطال"),"—",IFERROR(IF(INDEX(cal_Serial,MATCH($B205,cal_Key,0))+p_Due&lt;TODAY(),"بله","خیر"),"تاریخ نامعتبر")))</f>
        <v/>
      </c>
    </row>
    <row r="206" ht="20" customHeight="1">
      <c r="B206" s="86" t="n"/>
      <c r="C206" s="87" t="n"/>
      <c r="D206" s="87" t="n"/>
      <c r="E206" s="87" t="n"/>
      <c r="F206" s="88" t="n"/>
      <c r="G206" s="89" t="n"/>
      <c r="H206" s="90" t="n"/>
      <c r="I206" s="86" t="n"/>
      <c r="J206" s="87" t="n"/>
      <c r="K206" s="91">
        <f>IF($F206="","",$F206*IF($G206="",1,$G206))</f>
        <v/>
      </c>
      <c r="L206" s="92">
        <f>IFERROR(IF($D206="","",INDEX(t_Svc_Rate,MATCH($D206,lst_Service,0))),"")</f>
        <v/>
      </c>
      <c r="M206" s="92">
        <f>IF($L206="","",$L206*IF(p_TierMode="پلکانی",LOOKUP($K206,t_Tier_From,t_Tier_Rate),1))</f>
        <v/>
      </c>
      <c r="N206" s="91">
        <f>IF($K206="","",$K206*$M206)</f>
        <v/>
      </c>
      <c r="O206" s="91">
        <f>IF($N206="","",IF($I206="ابطال",0,MAX(p_Min,MIN(p_Max,$N206))))</f>
        <v/>
      </c>
      <c r="P206" s="91">
        <f>IF($O206="","",ROUND($O206*p_Tax,0))</f>
        <v/>
      </c>
      <c r="Q206" s="91">
        <f>IF($O206="","",$O206+$P206)</f>
        <v/>
      </c>
      <c r="R206" s="92">
        <f>IF($A206="","",IF($H206&lt;&gt;"",$H206,IFERROR(INDEX(t_Member_Share,MATCH($C206,t_Members,0)),p_DefaultShare)))</f>
        <v/>
      </c>
      <c r="S206" s="91">
        <f>IF(OR($Q206="",$R206=""),"",ROUND($Q206*$R206,0))</f>
        <v/>
      </c>
      <c r="T206" s="91">
        <f>IF(OR($Q206="",$S206=""),"",$Q206-$S206)</f>
        <v/>
      </c>
      <c r="U206" s="93">
        <f>IF($B206="","",IFERROR(INDEX(cal_JYear,MATCH($B206,cal_Key,0)),""))</f>
        <v/>
      </c>
      <c r="V206" s="93">
        <f>IF($B206="","",IFERROR(INDEX(cal_JMonth,MATCH($B206,cal_Key,0)),""))</f>
        <v/>
      </c>
      <c r="W206" s="94">
        <f>IF($B206="","",IFERROR(INDEX(cal_YM,MATCH($B206,cal_Key,0)),""))</f>
        <v/>
      </c>
      <c r="X206" s="94">
        <f>IF($B206="","",IFERROR(INDEX(cal_Season,MATCH($B206,cal_Key,0)),""))</f>
        <v/>
      </c>
      <c r="Y206" s="94">
        <f>IF($B206="","",IFERROR(INDEX(cal_Key,MATCH(INDEX(cal_Serial,MATCH($B206,cal_Key,0))+p_Due,cal_Serial,0)),""))</f>
        <v/>
      </c>
      <c r="Z206" s="95">
        <f>IF($B206="","",IF(OR($I206="پرداخت‌شده",$I206="ابطال"),"—",IFERROR(IF(INDEX(cal_Serial,MATCH($B206,cal_Key,0))+p_Due&lt;TODAY(),"بله","خیر"),"تاریخ نامعتبر")))</f>
        <v/>
      </c>
    </row>
    <row r="207" ht="20" customHeight="1">
      <c r="B207" s="86" t="n"/>
      <c r="C207" s="87" t="n"/>
      <c r="D207" s="87" t="n"/>
      <c r="E207" s="87" t="n"/>
      <c r="F207" s="88" t="n"/>
      <c r="G207" s="89" t="n"/>
      <c r="H207" s="90" t="n"/>
      <c r="I207" s="86" t="n"/>
      <c r="J207" s="87" t="n"/>
      <c r="K207" s="91">
        <f>IF($F207="","",$F207*IF($G207="",1,$G207))</f>
        <v/>
      </c>
      <c r="L207" s="92">
        <f>IFERROR(IF($D207="","",INDEX(t_Svc_Rate,MATCH($D207,lst_Service,0))),"")</f>
        <v/>
      </c>
      <c r="M207" s="92">
        <f>IF($L207="","",$L207*IF(p_TierMode="پلکانی",LOOKUP($K207,t_Tier_From,t_Tier_Rate),1))</f>
        <v/>
      </c>
      <c r="N207" s="91">
        <f>IF($K207="","",$K207*$M207)</f>
        <v/>
      </c>
      <c r="O207" s="91">
        <f>IF($N207="","",IF($I207="ابطال",0,MAX(p_Min,MIN(p_Max,$N207))))</f>
        <v/>
      </c>
      <c r="P207" s="91">
        <f>IF($O207="","",ROUND($O207*p_Tax,0))</f>
        <v/>
      </c>
      <c r="Q207" s="91">
        <f>IF($O207="","",$O207+$P207)</f>
        <v/>
      </c>
      <c r="R207" s="92">
        <f>IF($A207="","",IF($H207&lt;&gt;"",$H207,IFERROR(INDEX(t_Member_Share,MATCH($C207,t_Members,0)),p_DefaultShare)))</f>
        <v/>
      </c>
      <c r="S207" s="91">
        <f>IF(OR($Q207="",$R207=""),"",ROUND($Q207*$R207,0))</f>
        <v/>
      </c>
      <c r="T207" s="91">
        <f>IF(OR($Q207="",$S207=""),"",$Q207-$S207)</f>
        <v/>
      </c>
      <c r="U207" s="93">
        <f>IF($B207="","",IFERROR(INDEX(cal_JYear,MATCH($B207,cal_Key,0)),""))</f>
        <v/>
      </c>
      <c r="V207" s="93">
        <f>IF($B207="","",IFERROR(INDEX(cal_JMonth,MATCH($B207,cal_Key,0)),""))</f>
        <v/>
      </c>
      <c r="W207" s="94">
        <f>IF($B207="","",IFERROR(INDEX(cal_YM,MATCH($B207,cal_Key,0)),""))</f>
        <v/>
      </c>
      <c r="X207" s="94">
        <f>IF($B207="","",IFERROR(INDEX(cal_Season,MATCH($B207,cal_Key,0)),""))</f>
        <v/>
      </c>
      <c r="Y207" s="94">
        <f>IF($B207="","",IFERROR(INDEX(cal_Key,MATCH(INDEX(cal_Serial,MATCH($B207,cal_Key,0))+p_Due,cal_Serial,0)),""))</f>
        <v/>
      </c>
      <c r="Z207" s="95">
        <f>IF($B207="","",IF(OR($I207="پرداخت‌شده",$I207="ابطال"),"—",IFERROR(IF(INDEX(cal_Serial,MATCH($B207,cal_Key,0))+p_Due&lt;TODAY(),"بله","خیر"),"تاریخ نامعتبر")))</f>
        <v/>
      </c>
    </row>
    <row r="208" ht="20" customHeight="1">
      <c r="B208" s="86" t="n"/>
      <c r="C208" s="87" t="n"/>
      <c r="D208" s="87" t="n"/>
      <c r="E208" s="87" t="n"/>
      <c r="F208" s="88" t="n"/>
      <c r="G208" s="89" t="n"/>
      <c r="H208" s="90" t="n"/>
      <c r="I208" s="86" t="n"/>
      <c r="J208" s="87" t="n"/>
      <c r="K208" s="91">
        <f>IF($F208="","",$F208*IF($G208="",1,$G208))</f>
        <v/>
      </c>
      <c r="L208" s="92">
        <f>IFERROR(IF($D208="","",INDEX(t_Svc_Rate,MATCH($D208,lst_Service,0))),"")</f>
        <v/>
      </c>
      <c r="M208" s="92">
        <f>IF($L208="","",$L208*IF(p_TierMode="پلکانی",LOOKUP($K208,t_Tier_From,t_Tier_Rate),1))</f>
        <v/>
      </c>
      <c r="N208" s="91">
        <f>IF($K208="","",$K208*$M208)</f>
        <v/>
      </c>
      <c r="O208" s="91">
        <f>IF($N208="","",IF($I208="ابطال",0,MAX(p_Min,MIN(p_Max,$N208))))</f>
        <v/>
      </c>
      <c r="P208" s="91">
        <f>IF($O208="","",ROUND($O208*p_Tax,0))</f>
        <v/>
      </c>
      <c r="Q208" s="91">
        <f>IF($O208="","",$O208+$P208)</f>
        <v/>
      </c>
      <c r="R208" s="92">
        <f>IF($A208="","",IF($H208&lt;&gt;"",$H208,IFERROR(INDEX(t_Member_Share,MATCH($C208,t_Members,0)),p_DefaultShare)))</f>
        <v/>
      </c>
      <c r="S208" s="91">
        <f>IF(OR($Q208="",$R208=""),"",ROUND($Q208*$R208,0))</f>
        <v/>
      </c>
      <c r="T208" s="91">
        <f>IF(OR($Q208="",$S208=""),"",$Q208-$S208)</f>
        <v/>
      </c>
      <c r="U208" s="93">
        <f>IF($B208="","",IFERROR(INDEX(cal_JYear,MATCH($B208,cal_Key,0)),""))</f>
        <v/>
      </c>
      <c r="V208" s="93">
        <f>IF($B208="","",IFERROR(INDEX(cal_JMonth,MATCH($B208,cal_Key,0)),""))</f>
        <v/>
      </c>
      <c r="W208" s="94">
        <f>IF($B208="","",IFERROR(INDEX(cal_YM,MATCH($B208,cal_Key,0)),""))</f>
        <v/>
      </c>
      <c r="X208" s="94">
        <f>IF($B208="","",IFERROR(INDEX(cal_Season,MATCH($B208,cal_Key,0)),""))</f>
        <v/>
      </c>
      <c r="Y208" s="94">
        <f>IF($B208="","",IFERROR(INDEX(cal_Key,MATCH(INDEX(cal_Serial,MATCH($B208,cal_Key,0))+p_Due,cal_Serial,0)),""))</f>
        <v/>
      </c>
      <c r="Z208" s="95">
        <f>IF($B208="","",IF(OR($I208="پرداخت‌شده",$I208="ابطال"),"—",IFERROR(IF(INDEX(cal_Serial,MATCH($B208,cal_Key,0))+p_Due&lt;TODAY(),"بله","خیر"),"تاریخ نامعتبر")))</f>
        <v/>
      </c>
    </row>
    <row r="209" ht="20" customHeight="1">
      <c r="B209" s="86" t="n"/>
      <c r="C209" s="87" t="n"/>
      <c r="D209" s="87" t="n"/>
      <c r="E209" s="87" t="n"/>
      <c r="F209" s="88" t="n"/>
      <c r="G209" s="89" t="n"/>
      <c r="H209" s="90" t="n"/>
      <c r="I209" s="86" t="n"/>
      <c r="J209" s="87" t="n"/>
      <c r="K209" s="91">
        <f>IF($F209="","",$F209*IF($G209="",1,$G209))</f>
        <v/>
      </c>
      <c r="L209" s="92">
        <f>IFERROR(IF($D209="","",INDEX(t_Svc_Rate,MATCH($D209,lst_Service,0))),"")</f>
        <v/>
      </c>
      <c r="M209" s="92">
        <f>IF($L209="","",$L209*IF(p_TierMode="پلکانی",LOOKUP($K209,t_Tier_From,t_Tier_Rate),1))</f>
        <v/>
      </c>
      <c r="N209" s="91">
        <f>IF($K209="","",$K209*$M209)</f>
        <v/>
      </c>
      <c r="O209" s="91">
        <f>IF($N209="","",IF($I209="ابطال",0,MAX(p_Min,MIN(p_Max,$N209))))</f>
        <v/>
      </c>
      <c r="P209" s="91">
        <f>IF($O209="","",ROUND($O209*p_Tax,0))</f>
        <v/>
      </c>
      <c r="Q209" s="91">
        <f>IF($O209="","",$O209+$P209)</f>
        <v/>
      </c>
      <c r="R209" s="92">
        <f>IF($A209="","",IF($H209&lt;&gt;"",$H209,IFERROR(INDEX(t_Member_Share,MATCH($C209,t_Members,0)),p_DefaultShare)))</f>
        <v/>
      </c>
      <c r="S209" s="91">
        <f>IF(OR($Q209="",$R209=""),"",ROUND($Q209*$R209,0))</f>
        <v/>
      </c>
      <c r="T209" s="91">
        <f>IF(OR($Q209="",$S209=""),"",$Q209-$S209)</f>
        <v/>
      </c>
      <c r="U209" s="93">
        <f>IF($B209="","",IFERROR(INDEX(cal_JYear,MATCH($B209,cal_Key,0)),""))</f>
        <v/>
      </c>
      <c r="V209" s="93">
        <f>IF($B209="","",IFERROR(INDEX(cal_JMonth,MATCH($B209,cal_Key,0)),""))</f>
        <v/>
      </c>
      <c r="W209" s="94">
        <f>IF($B209="","",IFERROR(INDEX(cal_YM,MATCH($B209,cal_Key,0)),""))</f>
        <v/>
      </c>
      <c r="X209" s="94">
        <f>IF($B209="","",IFERROR(INDEX(cal_Season,MATCH($B209,cal_Key,0)),""))</f>
        <v/>
      </c>
      <c r="Y209" s="94">
        <f>IF($B209="","",IFERROR(INDEX(cal_Key,MATCH(INDEX(cal_Serial,MATCH($B209,cal_Key,0))+p_Due,cal_Serial,0)),""))</f>
        <v/>
      </c>
      <c r="Z209" s="95">
        <f>IF($B209="","",IF(OR($I209="پرداخت‌شده",$I209="ابطال"),"—",IFERROR(IF(INDEX(cal_Serial,MATCH($B209,cal_Key,0))+p_Due&lt;TODAY(),"بله","خیر"),"تاریخ نامعتبر")))</f>
        <v/>
      </c>
    </row>
    <row r="210" ht="20" customHeight="1">
      <c r="B210" s="86" t="n"/>
      <c r="C210" s="87" t="n"/>
      <c r="D210" s="87" t="n"/>
      <c r="E210" s="87" t="n"/>
      <c r="F210" s="88" t="n"/>
      <c r="G210" s="89" t="n"/>
      <c r="H210" s="90" t="n"/>
      <c r="I210" s="86" t="n"/>
      <c r="J210" s="87" t="n"/>
      <c r="K210" s="91">
        <f>IF($F210="","",$F210*IF($G210="",1,$G210))</f>
        <v/>
      </c>
      <c r="L210" s="92">
        <f>IFERROR(IF($D210="","",INDEX(t_Svc_Rate,MATCH($D210,lst_Service,0))),"")</f>
        <v/>
      </c>
      <c r="M210" s="92">
        <f>IF($L210="","",$L210*IF(p_TierMode="پلکانی",LOOKUP($K210,t_Tier_From,t_Tier_Rate),1))</f>
        <v/>
      </c>
      <c r="N210" s="91">
        <f>IF($K210="","",$K210*$M210)</f>
        <v/>
      </c>
      <c r="O210" s="91">
        <f>IF($N210="","",IF($I210="ابطال",0,MAX(p_Min,MIN(p_Max,$N210))))</f>
        <v/>
      </c>
      <c r="P210" s="91">
        <f>IF($O210="","",ROUND($O210*p_Tax,0))</f>
        <v/>
      </c>
      <c r="Q210" s="91">
        <f>IF($O210="","",$O210+$P210)</f>
        <v/>
      </c>
      <c r="R210" s="92">
        <f>IF($A210="","",IF($H210&lt;&gt;"",$H210,IFERROR(INDEX(t_Member_Share,MATCH($C210,t_Members,0)),p_DefaultShare)))</f>
        <v/>
      </c>
      <c r="S210" s="91">
        <f>IF(OR($Q210="",$R210=""),"",ROUND($Q210*$R210,0))</f>
        <v/>
      </c>
      <c r="T210" s="91">
        <f>IF(OR($Q210="",$S210=""),"",$Q210-$S210)</f>
        <v/>
      </c>
      <c r="U210" s="93">
        <f>IF($B210="","",IFERROR(INDEX(cal_JYear,MATCH($B210,cal_Key,0)),""))</f>
        <v/>
      </c>
      <c r="V210" s="93">
        <f>IF($B210="","",IFERROR(INDEX(cal_JMonth,MATCH($B210,cal_Key,0)),""))</f>
        <v/>
      </c>
      <c r="W210" s="94">
        <f>IF($B210="","",IFERROR(INDEX(cal_YM,MATCH($B210,cal_Key,0)),""))</f>
        <v/>
      </c>
      <c r="X210" s="94">
        <f>IF($B210="","",IFERROR(INDEX(cal_Season,MATCH($B210,cal_Key,0)),""))</f>
        <v/>
      </c>
      <c r="Y210" s="94">
        <f>IF($B210="","",IFERROR(INDEX(cal_Key,MATCH(INDEX(cal_Serial,MATCH($B210,cal_Key,0))+p_Due,cal_Serial,0)),""))</f>
        <v/>
      </c>
      <c r="Z210" s="95">
        <f>IF($B210="","",IF(OR($I210="پرداخت‌شده",$I210="ابطال"),"—",IFERROR(IF(INDEX(cal_Serial,MATCH($B210,cal_Key,0))+p_Due&lt;TODAY(),"بله","خیر"),"تاریخ نامعتبر")))</f>
        <v/>
      </c>
    </row>
    <row r="211" ht="20" customHeight="1">
      <c r="B211" s="86" t="n"/>
      <c r="C211" s="87" t="n"/>
      <c r="D211" s="87" t="n"/>
      <c r="E211" s="87" t="n"/>
      <c r="F211" s="88" t="n"/>
      <c r="G211" s="89" t="n"/>
      <c r="H211" s="90" t="n"/>
      <c r="I211" s="86" t="n"/>
      <c r="J211" s="87" t="n"/>
      <c r="K211" s="91">
        <f>IF($F211="","",$F211*IF($G211="",1,$G211))</f>
        <v/>
      </c>
      <c r="L211" s="92">
        <f>IFERROR(IF($D211="","",INDEX(t_Svc_Rate,MATCH($D211,lst_Service,0))),"")</f>
        <v/>
      </c>
      <c r="M211" s="92">
        <f>IF($L211="","",$L211*IF(p_TierMode="پلکانی",LOOKUP($K211,t_Tier_From,t_Tier_Rate),1))</f>
        <v/>
      </c>
      <c r="N211" s="91">
        <f>IF($K211="","",$K211*$M211)</f>
        <v/>
      </c>
      <c r="O211" s="91">
        <f>IF($N211="","",IF($I211="ابطال",0,MAX(p_Min,MIN(p_Max,$N211))))</f>
        <v/>
      </c>
      <c r="P211" s="91">
        <f>IF($O211="","",ROUND($O211*p_Tax,0))</f>
        <v/>
      </c>
      <c r="Q211" s="91">
        <f>IF($O211="","",$O211+$P211)</f>
        <v/>
      </c>
      <c r="R211" s="92">
        <f>IF($A211="","",IF($H211&lt;&gt;"",$H211,IFERROR(INDEX(t_Member_Share,MATCH($C211,t_Members,0)),p_DefaultShare)))</f>
        <v/>
      </c>
      <c r="S211" s="91">
        <f>IF(OR($Q211="",$R211=""),"",ROUND($Q211*$R211,0))</f>
        <v/>
      </c>
      <c r="T211" s="91">
        <f>IF(OR($Q211="",$S211=""),"",$Q211-$S211)</f>
        <v/>
      </c>
      <c r="U211" s="93">
        <f>IF($B211="","",IFERROR(INDEX(cal_JYear,MATCH($B211,cal_Key,0)),""))</f>
        <v/>
      </c>
      <c r="V211" s="93">
        <f>IF($B211="","",IFERROR(INDEX(cal_JMonth,MATCH($B211,cal_Key,0)),""))</f>
        <v/>
      </c>
      <c r="W211" s="94">
        <f>IF($B211="","",IFERROR(INDEX(cal_YM,MATCH($B211,cal_Key,0)),""))</f>
        <v/>
      </c>
      <c r="X211" s="94">
        <f>IF($B211="","",IFERROR(INDEX(cal_Season,MATCH($B211,cal_Key,0)),""))</f>
        <v/>
      </c>
      <c r="Y211" s="94">
        <f>IF($B211="","",IFERROR(INDEX(cal_Key,MATCH(INDEX(cal_Serial,MATCH($B211,cal_Key,0))+p_Due,cal_Serial,0)),""))</f>
        <v/>
      </c>
      <c r="Z211" s="95">
        <f>IF($B211="","",IF(OR($I211="پرداخت‌شده",$I211="ابطال"),"—",IFERROR(IF(INDEX(cal_Serial,MATCH($B211,cal_Key,0))+p_Due&lt;TODAY(),"بله","خیر"),"تاریخ نامعتبر")))</f>
        <v/>
      </c>
    </row>
    <row r="212" ht="20" customHeight="1">
      <c r="B212" s="86" t="n"/>
      <c r="C212" s="87" t="n"/>
      <c r="D212" s="87" t="n"/>
      <c r="E212" s="87" t="n"/>
      <c r="F212" s="88" t="n"/>
      <c r="G212" s="89" t="n"/>
      <c r="H212" s="90" t="n"/>
      <c r="I212" s="86" t="n"/>
      <c r="J212" s="87" t="n"/>
      <c r="K212" s="91">
        <f>IF($F212="","",$F212*IF($G212="",1,$G212))</f>
        <v/>
      </c>
      <c r="L212" s="92">
        <f>IFERROR(IF($D212="","",INDEX(t_Svc_Rate,MATCH($D212,lst_Service,0))),"")</f>
        <v/>
      </c>
      <c r="M212" s="92">
        <f>IF($L212="","",$L212*IF(p_TierMode="پلکانی",LOOKUP($K212,t_Tier_From,t_Tier_Rate),1))</f>
        <v/>
      </c>
      <c r="N212" s="91">
        <f>IF($K212="","",$K212*$M212)</f>
        <v/>
      </c>
      <c r="O212" s="91">
        <f>IF($N212="","",IF($I212="ابطال",0,MAX(p_Min,MIN(p_Max,$N212))))</f>
        <v/>
      </c>
      <c r="P212" s="91">
        <f>IF($O212="","",ROUND($O212*p_Tax,0))</f>
        <v/>
      </c>
      <c r="Q212" s="91">
        <f>IF($O212="","",$O212+$P212)</f>
        <v/>
      </c>
      <c r="R212" s="92">
        <f>IF($A212="","",IF($H212&lt;&gt;"",$H212,IFERROR(INDEX(t_Member_Share,MATCH($C212,t_Members,0)),p_DefaultShare)))</f>
        <v/>
      </c>
      <c r="S212" s="91">
        <f>IF(OR($Q212="",$R212=""),"",ROUND($Q212*$R212,0))</f>
        <v/>
      </c>
      <c r="T212" s="91">
        <f>IF(OR($Q212="",$S212=""),"",$Q212-$S212)</f>
        <v/>
      </c>
      <c r="U212" s="93">
        <f>IF($B212="","",IFERROR(INDEX(cal_JYear,MATCH($B212,cal_Key,0)),""))</f>
        <v/>
      </c>
      <c r="V212" s="93">
        <f>IF($B212="","",IFERROR(INDEX(cal_JMonth,MATCH($B212,cal_Key,0)),""))</f>
        <v/>
      </c>
      <c r="W212" s="94">
        <f>IF($B212="","",IFERROR(INDEX(cal_YM,MATCH($B212,cal_Key,0)),""))</f>
        <v/>
      </c>
      <c r="X212" s="94">
        <f>IF($B212="","",IFERROR(INDEX(cal_Season,MATCH($B212,cal_Key,0)),""))</f>
        <v/>
      </c>
      <c r="Y212" s="94">
        <f>IF($B212="","",IFERROR(INDEX(cal_Key,MATCH(INDEX(cal_Serial,MATCH($B212,cal_Key,0))+p_Due,cal_Serial,0)),""))</f>
        <v/>
      </c>
      <c r="Z212" s="95">
        <f>IF($B212="","",IF(OR($I212="پرداخت‌شده",$I212="ابطال"),"—",IFERROR(IF(INDEX(cal_Serial,MATCH($B212,cal_Key,0))+p_Due&lt;TODAY(),"بله","خیر"),"تاریخ نامعتبر")))</f>
        <v/>
      </c>
    </row>
    <row r="213" ht="20" customHeight="1">
      <c r="B213" s="86" t="n"/>
      <c r="C213" s="87" t="n"/>
      <c r="D213" s="87" t="n"/>
      <c r="E213" s="87" t="n"/>
      <c r="F213" s="88" t="n"/>
      <c r="G213" s="89" t="n"/>
      <c r="H213" s="90" t="n"/>
      <c r="I213" s="86" t="n"/>
      <c r="J213" s="87" t="n"/>
      <c r="K213" s="91">
        <f>IF($F213="","",$F213*IF($G213="",1,$G213))</f>
        <v/>
      </c>
      <c r="L213" s="92">
        <f>IFERROR(IF($D213="","",INDEX(t_Svc_Rate,MATCH($D213,lst_Service,0))),"")</f>
        <v/>
      </c>
      <c r="M213" s="92">
        <f>IF($L213="","",$L213*IF(p_TierMode="پلکانی",LOOKUP($K213,t_Tier_From,t_Tier_Rate),1))</f>
        <v/>
      </c>
      <c r="N213" s="91">
        <f>IF($K213="","",$K213*$M213)</f>
        <v/>
      </c>
      <c r="O213" s="91">
        <f>IF($N213="","",IF($I213="ابطال",0,MAX(p_Min,MIN(p_Max,$N213))))</f>
        <v/>
      </c>
      <c r="P213" s="91">
        <f>IF($O213="","",ROUND($O213*p_Tax,0))</f>
        <v/>
      </c>
      <c r="Q213" s="91">
        <f>IF($O213="","",$O213+$P213)</f>
        <v/>
      </c>
      <c r="R213" s="92">
        <f>IF($A213="","",IF($H213&lt;&gt;"",$H213,IFERROR(INDEX(t_Member_Share,MATCH($C213,t_Members,0)),p_DefaultShare)))</f>
        <v/>
      </c>
      <c r="S213" s="91">
        <f>IF(OR($Q213="",$R213=""),"",ROUND($Q213*$R213,0))</f>
        <v/>
      </c>
      <c r="T213" s="91">
        <f>IF(OR($Q213="",$S213=""),"",$Q213-$S213)</f>
        <v/>
      </c>
      <c r="U213" s="93">
        <f>IF($B213="","",IFERROR(INDEX(cal_JYear,MATCH($B213,cal_Key,0)),""))</f>
        <v/>
      </c>
      <c r="V213" s="93">
        <f>IF($B213="","",IFERROR(INDEX(cal_JMonth,MATCH($B213,cal_Key,0)),""))</f>
        <v/>
      </c>
      <c r="W213" s="94">
        <f>IF($B213="","",IFERROR(INDEX(cal_YM,MATCH($B213,cal_Key,0)),""))</f>
        <v/>
      </c>
      <c r="X213" s="94">
        <f>IF($B213="","",IFERROR(INDEX(cal_Season,MATCH($B213,cal_Key,0)),""))</f>
        <v/>
      </c>
      <c r="Y213" s="94">
        <f>IF($B213="","",IFERROR(INDEX(cal_Key,MATCH(INDEX(cal_Serial,MATCH($B213,cal_Key,0))+p_Due,cal_Serial,0)),""))</f>
        <v/>
      </c>
      <c r="Z213" s="95">
        <f>IF($B213="","",IF(OR($I213="پرداخت‌شده",$I213="ابطال"),"—",IFERROR(IF(INDEX(cal_Serial,MATCH($B213,cal_Key,0))+p_Due&lt;TODAY(),"بله","خیر"),"تاریخ نامعتبر")))</f>
        <v/>
      </c>
    </row>
    <row r="214" ht="20" customHeight="1">
      <c r="B214" s="86" t="n"/>
      <c r="C214" s="87" t="n"/>
      <c r="D214" s="87" t="n"/>
      <c r="E214" s="87" t="n"/>
      <c r="F214" s="88" t="n"/>
      <c r="G214" s="89" t="n"/>
      <c r="H214" s="90" t="n"/>
      <c r="I214" s="86" t="n"/>
      <c r="J214" s="87" t="n"/>
      <c r="K214" s="91">
        <f>IF($F214="","",$F214*IF($G214="",1,$G214))</f>
        <v/>
      </c>
      <c r="L214" s="92">
        <f>IFERROR(IF($D214="","",INDEX(t_Svc_Rate,MATCH($D214,lst_Service,0))),"")</f>
        <v/>
      </c>
      <c r="M214" s="92">
        <f>IF($L214="","",$L214*IF(p_TierMode="پلکانی",LOOKUP($K214,t_Tier_From,t_Tier_Rate),1))</f>
        <v/>
      </c>
      <c r="N214" s="91">
        <f>IF($K214="","",$K214*$M214)</f>
        <v/>
      </c>
      <c r="O214" s="91">
        <f>IF($N214="","",IF($I214="ابطال",0,MAX(p_Min,MIN(p_Max,$N214))))</f>
        <v/>
      </c>
      <c r="P214" s="91">
        <f>IF($O214="","",ROUND($O214*p_Tax,0))</f>
        <v/>
      </c>
      <c r="Q214" s="91">
        <f>IF($O214="","",$O214+$P214)</f>
        <v/>
      </c>
      <c r="R214" s="92">
        <f>IF($A214="","",IF($H214&lt;&gt;"",$H214,IFERROR(INDEX(t_Member_Share,MATCH($C214,t_Members,0)),p_DefaultShare)))</f>
        <v/>
      </c>
      <c r="S214" s="91">
        <f>IF(OR($Q214="",$R214=""),"",ROUND($Q214*$R214,0))</f>
        <v/>
      </c>
      <c r="T214" s="91">
        <f>IF(OR($Q214="",$S214=""),"",$Q214-$S214)</f>
        <v/>
      </c>
      <c r="U214" s="93">
        <f>IF($B214="","",IFERROR(INDEX(cal_JYear,MATCH($B214,cal_Key,0)),""))</f>
        <v/>
      </c>
      <c r="V214" s="93">
        <f>IF($B214="","",IFERROR(INDEX(cal_JMonth,MATCH($B214,cal_Key,0)),""))</f>
        <v/>
      </c>
      <c r="W214" s="94">
        <f>IF($B214="","",IFERROR(INDEX(cal_YM,MATCH($B214,cal_Key,0)),""))</f>
        <v/>
      </c>
      <c r="X214" s="94">
        <f>IF($B214="","",IFERROR(INDEX(cal_Season,MATCH($B214,cal_Key,0)),""))</f>
        <v/>
      </c>
      <c r="Y214" s="94">
        <f>IF($B214="","",IFERROR(INDEX(cal_Key,MATCH(INDEX(cal_Serial,MATCH($B214,cal_Key,0))+p_Due,cal_Serial,0)),""))</f>
        <v/>
      </c>
      <c r="Z214" s="95">
        <f>IF($B214="","",IF(OR($I214="پرداخت‌شده",$I214="ابطال"),"—",IFERROR(IF(INDEX(cal_Serial,MATCH($B214,cal_Key,0))+p_Due&lt;TODAY(),"بله","خیر"),"تاریخ نامعتبر")))</f>
        <v/>
      </c>
    </row>
    <row r="215" ht="20" customHeight="1">
      <c r="B215" s="86" t="n"/>
      <c r="C215" s="87" t="n"/>
      <c r="D215" s="87" t="n"/>
      <c r="E215" s="87" t="n"/>
      <c r="F215" s="88" t="n"/>
      <c r="G215" s="89" t="n"/>
      <c r="H215" s="90" t="n"/>
      <c r="I215" s="86" t="n"/>
      <c r="J215" s="87" t="n"/>
      <c r="K215" s="91">
        <f>IF($F215="","",$F215*IF($G215="",1,$G215))</f>
        <v/>
      </c>
      <c r="L215" s="92">
        <f>IFERROR(IF($D215="","",INDEX(t_Svc_Rate,MATCH($D215,lst_Service,0))),"")</f>
        <v/>
      </c>
      <c r="M215" s="92">
        <f>IF($L215="","",$L215*IF(p_TierMode="پلکانی",LOOKUP($K215,t_Tier_From,t_Tier_Rate),1))</f>
        <v/>
      </c>
      <c r="N215" s="91">
        <f>IF($K215="","",$K215*$M215)</f>
        <v/>
      </c>
      <c r="O215" s="91">
        <f>IF($N215="","",IF($I215="ابطال",0,MAX(p_Min,MIN(p_Max,$N215))))</f>
        <v/>
      </c>
      <c r="P215" s="91">
        <f>IF($O215="","",ROUND($O215*p_Tax,0))</f>
        <v/>
      </c>
      <c r="Q215" s="91">
        <f>IF($O215="","",$O215+$P215)</f>
        <v/>
      </c>
      <c r="R215" s="92">
        <f>IF($A215="","",IF($H215&lt;&gt;"",$H215,IFERROR(INDEX(t_Member_Share,MATCH($C215,t_Members,0)),p_DefaultShare)))</f>
        <v/>
      </c>
      <c r="S215" s="91">
        <f>IF(OR($Q215="",$R215=""),"",ROUND($Q215*$R215,0))</f>
        <v/>
      </c>
      <c r="T215" s="91">
        <f>IF(OR($Q215="",$S215=""),"",$Q215-$S215)</f>
        <v/>
      </c>
      <c r="U215" s="93">
        <f>IF($B215="","",IFERROR(INDEX(cal_JYear,MATCH($B215,cal_Key,0)),""))</f>
        <v/>
      </c>
      <c r="V215" s="93">
        <f>IF($B215="","",IFERROR(INDEX(cal_JMonth,MATCH($B215,cal_Key,0)),""))</f>
        <v/>
      </c>
      <c r="W215" s="94">
        <f>IF($B215="","",IFERROR(INDEX(cal_YM,MATCH($B215,cal_Key,0)),""))</f>
        <v/>
      </c>
      <c r="X215" s="94">
        <f>IF($B215="","",IFERROR(INDEX(cal_Season,MATCH($B215,cal_Key,0)),""))</f>
        <v/>
      </c>
      <c r="Y215" s="94">
        <f>IF($B215="","",IFERROR(INDEX(cal_Key,MATCH(INDEX(cal_Serial,MATCH($B215,cal_Key,0))+p_Due,cal_Serial,0)),""))</f>
        <v/>
      </c>
      <c r="Z215" s="95">
        <f>IF($B215="","",IF(OR($I215="پرداخت‌شده",$I215="ابطال"),"—",IFERROR(IF(INDEX(cal_Serial,MATCH($B215,cal_Key,0))+p_Due&lt;TODAY(),"بله","خیر"),"تاریخ نامعتبر")))</f>
        <v/>
      </c>
    </row>
    <row r="216" ht="20" customHeight="1">
      <c r="B216" s="86" t="n"/>
      <c r="C216" s="87" t="n"/>
      <c r="D216" s="87" t="n"/>
      <c r="E216" s="87" t="n"/>
      <c r="F216" s="88" t="n"/>
      <c r="G216" s="89" t="n"/>
      <c r="H216" s="90" t="n"/>
      <c r="I216" s="86" t="n"/>
      <c r="J216" s="87" t="n"/>
      <c r="K216" s="91">
        <f>IF($F216="","",$F216*IF($G216="",1,$G216))</f>
        <v/>
      </c>
      <c r="L216" s="92">
        <f>IFERROR(IF($D216="","",INDEX(t_Svc_Rate,MATCH($D216,lst_Service,0))),"")</f>
        <v/>
      </c>
      <c r="M216" s="92">
        <f>IF($L216="","",$L216*IF(p_TierMode="پلکانی",LOOKUP($K216,t_Tier_From,t_Tier_Rate),1))</f>
        <v/>
      </c>
      <c r="N216" s="91">
        <f>IF($K216="","",$K216*$M216)</f>
        <v/>
      </c>
      <c r="O216" s="91">
        <f>IF($N216="","",IF($I216="ابطال",0,MAX(p_Min,MIN(p_Max,$N216))))</f>
        <v/>
      </c>
      <c r="P216" s="91">
        <f>IF($O216="","",ROUND($O216*p_Tax,0))</f>
        <v/>
      </c>
      <c r="Q216" s="91">
        <f>IF($O216="","",$O216+$P216)</f>
        <v/>
      </c>
      <c r="R216" s="92">
        <f>IF($A216="","",IF($H216&lt;&gt;"",$H216,IFERROR(INDEX(t_Member_Share,MATCH($C216,t_Members,0)),p_DefaultShare)))</f>
        <v/>
      </c>
      <c r="S216" s="91">
        <f>IF(OR($Q216="",$R216=""),"",ROUND($Q216*$R216,0))</f>
        <v/>
      </c>
      <c r="T216" s="91">
        <f>IF(OR($Q216="",$S216=""),"",$Q216-$S216)</f>
        <v/>
      </c>
      <c r="U216" s="93">
        <f>IF($B216="","",IFERROR(INDEX(cal_JYear,MATCH($B216,cal_Key,0)),""))</f>
        <v/>
      </c>
      <c r="V216" s="93">
        <f>IF($B216="","",IFERROR(INDEX(cal_JMonth,MATCH($B216,cal_Key,0)),""))</f>
        <v/>
      </c>
      <c r="W216" s="94">
        <f>IF($B216="","",IFERROR(INDEX(cal_YM,MATCH($B216,cal_Key,0)),""))</f>
        <v/>
      </c>
      <c r="X216" s="94">
        <f>IF($B216="","",IFERROR(INDEX(cal_Season,MATCH($B216,cal_Key,0)),""))</f>
        <v/>
      </c>
      <c r="Y216" s="94">
        <f>IF($B216="","",IFERROR(INDEX(cal_Key,MATCH(INDEX(cal_Serial,MATCH($B216,cal_Key,0))+p_Due,cal_Serial,0)),""))</f>
        <v/>
      </c>
      <c r="Z216" s="95">
        <f>IF($B216="","",IF(OR($I216="پرداخت‌شده",$I216="ابطال"),"—",IFERROR(IF(INDEX(cal_Serial,MATCH($B216,cal_Key,0))+p_Due&lt;TODAY(),"بله","خیر"),"تاریخ نامعتبر")))</f>
        <v/>
      </c>
    </row>
    <row r="217" ht="20" customHeight="1">
      <c r="B217" s="86" t="n"/>
      <c r="C217" s="87" t="n"/>
      <c r="D217" s="87" t="n"/>
      <c r="E217" s="87" t="n"/>
      <c r="F217" s="88" t="n"/>
      <c r="G217" s="89" t="n"/>
      <c r="H217" s="90" t="n"/>
      <c r="I217" s="86" t="n"/>
      <c r="J217" s="87" t="n"/>
      <c r="K217" s="91">
        <f>IF($F217="","",$F217*IF($G217="",1,$G217))</f>
        <v/>
      </c>
      <c r="L217" s="92">
        <f>IFERROR(IF($D217="","",INDEX(t_Svc_Rate,MATCH($D217,lst_Service,0))),"")</f>
        <v/>
      </c>
      <c r="M217" s="92">
        <f>IF($L217="","",$L217*IF(p_TierMode="پلکانی",LOOKUP($K217,t_Tier_From,t_Tier_Rate),1))</f>
        <v/>
      </c>
      <c r="N217" s="91">
        <f>IF($K217="","",$K217*$M217)</f>
        <v/>
      </c>
      <c r="O217" s="91">
        <f>IF($N217="","",IF($I217="ابطال",0,MAX(p_Min,MIN(p_Max,$N217))))</f>
        <v/>
      </c>
      <c r="P217" s="91">
        <f>IF($O217="","",ROUND($O217*p_Tax,0))</f>
        <v/>
      </c>
      <c r="Q217" s="91">
        <f>IF($O217="","",$O217+$P217)</f>
        <v/>
      </c>
      <c r="R217" s="92">
        <f>IF($A217="","",IF($H217&lt;&gt;"",$H217,IFERROR(INDEX(t_Member_Share,MATCH($C217,t_Members,0)),p_DefaultShare)))</f>
        <v/>
      </c>
      <c r="S217" s="91">
        <f>IF(OR($Q217="",$R217=""),"",ROUND($Q217*$R217,0))</f>
        <v/>
      </c>
      <c r="T217" s="91">
        <f>IF(OR($Q217="",$S217=""),"",$Q217-$S217)</f>
        <v/>
      </c>
      <c r="U217" s="93">
        <f>IF($B217="","",IFERROR(INDEX(cal_JYear,MATCH($B217,cal_Key,0)),""))</f>
        <v/>
      </c>
      <c r="V217" s="93">
        <f>IF($B217="","",IFERROR(INDEX(cal_JMonth,MATCH($B217,cal_Key,0)),""))</f>
        <v/>
      </c>
      <c r="W217" s="94">
        <f>IF($B217="","",IFERROR(INDEX(cal_YM,MATCH($B217,cal_Key,0)),""))</f>
        <v/>
      </c>
      <c r="X217" s="94">
        <f>IF($B217="","",IFERROR(INDEX(cal_Season,MATCH($B217,cal_Key,0)),""))</f>
        <v/>
      </c>
      <c r="Y217" s="94">
        <f>IF($B217="","",IFERROR(INDEX(cal_Key,MATCH(INDEX(cal_Serial,MATCH($B217,cal_Key,0))+p_Due,cal_Serial,0)),""))</f>
        <v/>
      </c>
      <c r="Z217" s="95">
        <f>IF($B217="","",IF(OR($I217="پرداخت‌شده",$I217="ابطال"),"—",IFERROR(IF(INDEX(cal_Serial,MATCH($B217,cal_Key,0))+p_Due&lt;TODAY(),"بله","خیر"),"تاریخ نامعتبر")))</f>
        <v/>
      </c>
    </row>
    <row r="218" ht="20" customHeight="1">
      <c r="B218" s="86" t="n"/>
      <c r="C218" s="87" t="n"/>
      <c r="D218" s="87" t="n"/>
      <c r="E218" s="87" t="n"/>
      <c r="F218" s="88" t="n"/>
      <c r="G218" s="89" t="n"/>
      <c r="H218" s="90" t="n"/>
      <c r="I218" s="86" t="n"/>
      <c r="J218" s="87" t="n"/>
      <c r="K218" s="91">
        <f>IF($F218="","",$F218*IF($G218="",1,$G218))</f>
        <v/>
      </c>
      <c r="L218" s="92">
        <f>IFERROR(IF($D218="","",INDEX(t_Svc_Rate,MATCH($D218,lst_Service,0))),"")</f>
        <v/>
      </c>
      <c r="M218" s="92">
        <f>IF($L218="","",$L218*IF(p_TierMode="پلکانی",LOOKUP($K218,t_Tier_From,t_Tier_Rate),1))</f>
        <v/>
      </c>
      <c r="N218" s="91">
        <f>IF($K218="","",$K218*$M218)</f>
        <v/>
      </c>
      <c r="O218" s="91">
        <f>IF($N218="","",IF($I218="ابطال",0,MAX(p_Min,MIN(p_Max,$N218))))</f>
        <v/>
      </c>
      <c r="P218" s="91">
        <f>IF($O218="","",ROUND($O218*p_Tax,0))</f>
        <v/>
      </c>
      <c r="Q218" s="91">
        <f>IF($O218="","",$O218+$P218)</f>
        <v/>
      </c>
      <c r="R218" s="92">
        <f>IF($A218="","",IF($H218&lt;&gt;"",$H218,IFERROR(INDEX(t_Member_Share,MATCH($C218,t_Members,0)),p_DefaultShare)))</f>
        <v/>
      </c>
      <c r="S218" s="91">
        <f>IF(OR($Q218="",$R218=""),"",ROUND($Q218*$R218,0))</f>
        <v/>
      </c>
      <c r="T218" s="91">
        <f>IF(OR($Q218="",$S218=""),"",$Q218-$S218)</f>
        <v/>
      </c>
      <c r="U218" s="93">
        <f>IF($B218="","",IFERROR(INDEX(cal_JYear,MATCH($B218,cal_Key,0)),""))</f>
        <v/>
      </c>
      <c r="V218" s="93">
        <f>IF($B218="","",IFERROR(INDEX(cal_JMonth,MATCH($B218,cal_Key,0)),""))</f>
        <v/>
      </c>
      <c r="W218" s="94">
        <f>IF($B218="","",IFERROR(INDEX(cal_YM,MATCH($B218,cal_Key,0)),""))</f>
        <v/>
      </c>
      <c r="X218" s="94">
        <f>IF($B218="","",IFERROR(INDEX(cal_Season,MATCH($B218,cal_Key,0)),""))</f>
        <v/>
      </c>
      <c r="Y218" s="94">
        <f>IF($B218="","",IFERROR(INDEX(cal_Key,MATCH(INDEX(cal_Serial,MATCH($B218,cal_Key,0))+p_Due,cal_Serial,0)),""))</f>
        <v/>
      </c>
      <c r="Z218" s="95">
        <f>IF($B218="","",IF(OR($I218="پرداخت‌شده",$I218="ابطال"),"—",IFERROR(IF(INDEX(cal_Serial,MATCH($B218,cal_Key,0))+p_Due&lt;TODAY(),"بله","خیر"),"تاریخ نامعتبر")))</f>
        <v/>
      </c>
    </row>
    <row r="219" ht="20" customHeight="1">
      <c r="B219" s="86" t="n"/>
      <c r="C219" s="87" t="n"/>
      <c r="D219" s="87" t="n"/>
      <c r="E219" s="87" t="n"/>
      <c r="F219" s="88" t="n"/>
      <c r="G219" s="89" t="n"/>
      <c r="H219" s="90" t="n"/>
      <c r="I219" s="86" t="n"/>
      <c r="J219" s="87" t="n"/>
      <c r="K219" s="91">
        <f>IF($F219="","",$F219*IF($G219="",1,$G219))</f>
        <v/>
      </c>
      <c r="L219" s="92">
        <f>IFERROR(IF($D219="","",INDEX(t_Svc_Rate,MATCH($D219,lst_Service,0))),"")</f>
        <v/>
      </c>
      <c r="M219" s="92">
        <f>IF($L219="","",$L219*IF(p_TierMode="پلکانی",LOOKUP($K219,t_Tier_From,t_Tier_Rate),1))</f>
        <v/>
      </c>
      <c r="N219" s="91">
        <f>IF($K219="","",$K219*$M219)</f>
        <v/>
      </c>
      <c r="O219" s="91">
        <f>IF($N219="","",IF($I219="ابطال",0,MAX(p_Min,MIN(p_Max,$N219))))</f>
        <v/>
      </c>
      <c r="P219" s="91">
        <f>IF($O219="","",ROUND($O219*p_Tax,0))</f>
        <v/>
      </c>
      <c r="Q219" s="91">
        <f>IF($O219="","",$O219+$P219)</f>
        <v/>
      </c>
      <c r="R219" s="92">
        <f>IF($A219="","",IF($H219&lt;&gt;"",$H219,IFERROR(INDEX(t_Member_Share,MATCH($C219,t_Members,0)),p_DefaultShare)))</f>
        <v/>
      </c>
      <c r="S219" s="91">
        <f>IF(OR($Q219="",$R219=""),"",ROUND($Q219*$R219,0))</f>
        <v/>
      </c>
      <c r="T219" s="91">
        <f>IF(OR($Q219="",$S219=""),"",$Q219-$S219)</f>
        <v/>
      </c>
      <c r="U219" s="93">
        <f>IF($B219="","",IFERROR(INDEX(cal_JYear,MATCH($B219,cal_Key,0)),""))</f>
        <v/>
      </c>
      <c r="V219" s="93">
        <f>IF($B219="","",IFERROR(INDEX(cal_JMonth,MATCH($B219,cal_Key,0)),""))</f>
        <v/>
      </c>
      <c r="W219" s="94">
        <f>IF($B219="","",IFERROR(INDEX(cal_YM,MATCH($B219,cal_Key,0)),""))</f>
        <v/>
      </c>
      <c r="X219" s="94">
        <f>IF($B219="","",IFERROR(INDEX(cal_Season,MATCH($B219,cal_Key,0)),""))</f>
        <v/>
      </c>
      <c r="Y219" s="94">
        <f>IF($B219="","",IFERROR(INDEX(cal_Key,MATCH(INDEX(cal_Serial,MATCH($B219,cal_Key,0))+p_Due,cal_Serial,0)),""))</f>
        <v/>
      </c>
      <c r="Z219" s="95">
        <f>IF($B219="","",IF(OR($I219="پرداخت‌شده",$I219="ابطال"),"—",IFERROR(IF(INDEX(cal_Serial,MATCH($B219,cal_Key,0))+p_Due&lt;TODAY(),"بله","خیر"),"تاریخ نامعتبر")))</f>
        <v/>
      </c>
    </row>
    <row r="220" ht="20" customHeight="1">
      <c r="B220" s="86" t="n"/>
      <c r="C220" s="87" t="n"/>
      <c r="D220" s="87" t="n"/>
      <c r="E220" s="87" t="n"/>
      <c r="F220" s="88" t="n"/>
      <c r="G220" s="89" t="n"/>
      <c r="H220" s="90" t="n"/>
      <c r="I220" s="86" t="n"/>
      <c r="J220" s="87" t="n"/>
      <c r="K220" s="91">
        <f>IF($F220="","",$F220*IF($G220="",1,$G220))</f>
        <v/>
      </c>
      <c r="L220" s="92">
        <f>IFERROR(IF($D220="","",INDEX(t_Svc_Rate,MATCH($D220,lst_Service,0))),"")</f>
        <v/>
      </c>
      <c r="M220" s="92">
        <f>IF($L220="","",$L220*IF(p_TierMode="پلکانی",LOOKUP($K220,t_Tier_From,t_Tier_Rate),1))</f>
        <v/>
      </c>
      <c r="N220" s="91">
        <f>IF($K220="","",$K220*$M220)</f>
        <v/>
      </c>
      <c r="O220" s="91">
        <f>IF($N220="","",IF($I220="ابطال",0,MAX(p_Min,MIN(p_Max,$N220))))</f>
        <v/>
      </c>
      <c r="P220" s="91">
        <f>IF($O220="","",ROUND($O220*p_Tax,0))</f>
        <v/>
      </c>
      <c r="Q220" s="91">
        <f>IF($O220="","",$O220+$P220)</f>
        <v/>
      </c>
      <c r="R220" s="92">
        <f>IF($A220="","",IF($H220&lt;&gt;"",$H220,IFERROR(INDEX(t_Member_Share,MATCH($C220,t_Members,0)),p_DefaultShare)))</f>
        <v/>
      </c>
      <c r="S220" s="91">
        <f>IF(OR($Q220="",$R220=""),"",ROUND($Q220*$R220,0))</f>
        <v/>
      </c>
      <c r="T220" s="91">
        <f>IF(OR($Q220="",$S220=""),"",$Q220-$S220)</f>
        <v/>
      </c>
      <c r="U220" s="93">
        <f>IF($B220="","",IFERROR(INDEX(cal_JYear,MATCH($B220,cal_Key,0)),""))</f>
        <v/>
      </c>
      <c r="V220" s="93">
        <f>IF($B220="","",IFERROR(INDEX(cal_JMonth,MATCH($B220,cal_Key,0)),""))</f>
        <v/>
      </c>
      <c r="W220" s="94">
        <f>IF($B220="","",IFERROR(INDEX(cal_YM,MATCH($B220,cal_Key,0)),""))</f>
        <v/>
      </c>
      <c r="X220" s="94">
        <f>IF($B220="","",IFERROR(INDEX(cal_Season,MATCH($B220,cal_Key,0)),""))</f>
        <v/>
      </c>
      <c r="Y220" s="94">
        <f>IF($B220="","",IFERROR(INDEX(cal_Key,MATCH(INDEX(cal_Serial,MATCH($B220,cal_Key,0))+p_Due,cal_Serial,0)),""))</f>
        <v/>
      </c>
      <c r="Z220" s="95">
        <f>IF($B220="","",IF(OR($I220="پرداخت‌شده",$I220="ابطال"),"—",IFERROR(IF(INDEX(cal_Serial,MATCH($B220,cal_Key,0))+p_Due&lt;TODAY(),"بله","خیر"),"تاریخ نامعتبر")))</f>
        <v/>
      </c>
    </row>
    <row r="221" ht="20" customHeight="1">
      <c r="B221" s="86" t="n"/>
      <c r="C221" s="87" t="n"/>
      <c r="D221" s="87" t="n"/>
      <c r="E221" s="87" t="n"/>
      <c r="F221" s="88" t="n"/>
      <c r="G221" s="89" t="n"/>
      <c r="H221" s="90" t="n"/>
      <c r="I221" s="86" t="n"/>
      <c r="J221" s="87" t="n"/>
      <c r="K221" s="91">
        <f>IF($F221="","",$F221*IF($G221="",1,$G221))</f>
        <v/>
      </c>
      <c r="L221" s="92">
        <f>IFERROR(IF($D221="","",INDEX(t_Svc_Rate,MATCH($D221,lst_Service,0))),"")</f>
        <v/>
      </c>
      <c r="M221" s="92">
        <f>IF($L221="","",$L221*IF(p_TierMode="پلکانی",LOOKUP($K221,t_Tier_From,t_Tier_Rate),1))</f>
        <v/>
      </c>
      <c r="N221" s="91">
        <f>IF($K221="","",$K221*$M221)</f>
        <v/>
      </c>
      <c r="O221" s="91">
        <f>IF($N221="","",IF($I221="ابطال",0,MAX(p_Min,MIN(p_Max,$N221))))</f>
        <v/>
      </c>
      <c r="P221" s="91">
        <f>IF($O221="","",ROUND($O221*p_Tax,0))</f>
        <v/>
      </c>
      <c r="Q221" s="91">
        <f>IF($O221="","",$O221+$P221)</f>
        <v/>
      </c>
      <c r="R221" s="92">
        <f>IF($A221="","",IF($H221&lt;&gt;"",$H221,IFERROR(INDEX(t_Member_Share,MATCH($C221,t_Members,0)),p_DefaultShare)))</f>
        <v/>
      </c>
      <c r="S221" s="91">
        <f>IF(OR($Q221="",$R221=""),"",ROUND($Q221*$R221,0))</f>
        <v/>
      </c>
      <c r="T221" s="91">
        <f>IF(OR($Q221="",$S221=""),"",$Q221-$S221)</f>
        <v/>
      </c>
      <c r="U221" s="93">
        <f>IF($B221="","",IFERROR(INDEX(cal_JYear,MATCH($B221,cal_Key,0)),""))</f>
        <v/>
      </c>
      <c r="V221" s="93">
        <f>IF($B221="","",IFERROR(INDEX(cal_JMonth,MATCH($B221,cal_Key,0)),""))</f>
        <v/>
      </c>
      <c r="W221" s="94">
        <f>IF($B221="","",IFERROR(INDEX(cal_YM,MATCH($B221,cal_Key,0)),""))</f>
        <v/>
      </c>
      <c r="X221" s="94">
        <f>IF($B221="","",IFERROR(INDEX(cal_Season,MATCH($B221,cal_Key,0)),""))</f>
        <v/>
      </c>
      <c r="Y221" s="94">
        <f>IF($B221="","",IFERROR(INDEX(cal_Key,MATCH(INDEX(cal_Serial,MATCH($B221,cal_Key,0))+p_Due,cal_Serial,0)),""))</f>
        <v/>
      </c>
      <c r="Z221" s="95">
        <f>IF($B221="","",IF(OR($I221="پرداخت‌شده",$I221="ابطال"),"—",IFERROR(IF(INDEX(cal_Serial,MATCH($B221,cal_Key,0))+p_Due&lt;TODAY(),"بله","خیر"),"تاریخ نامعتبر")))</f>
        <v/>
      </c>
    </row>
    <row r="222" ht="20" customHeight="1">
      <c r="B222" s="86" t="n"/>
      <c r="C222" s="87" t="n"/>
      <c r="D222" s="87" t="n"/>
      <c r="E222" s="87" t="n"/>
      <c r="F222" s="88" t="n"/>
      <c r="G222" s="89" t="n"/>
      <c r="H222" s="90" t="n"/>
      <c r="I222" s="86" t="n"/>
      <c r="J222" s="87" t="n"/>
      <c r="K222" s="91">
        <f>IF($F222="","",$F222*IF($G222="",1,$G222))</f>
        <v/>
      </c>
      <c r="L222" s="92">
        <f>IFERROR(IF($D222="","",INDEX(t_Svc_Rate,MATCH($D222,lst_Service,0))),"")</f>
        <v/>
      </c>
      <c r="M222" s="92">
        <f>IF($L222="","",$L222*IF(p_TierMode="پلکانی",LOOKUP($K222,t_Tier_From,t_Tier_Rate),1))</f>
        <v/>
      </c>
      <c r="N222" s="91">
        <f>IF($K222="","",$K222*$M222)</f>
        <v/>
      </c>
      <c r="O222" s="91">
        <f>IF($N222="","",IF($I222="ابطال",0,MAX(p_Min,MIN(p_Max,$N222))))</f>
        <v/>
      </c>
      <c r="P222" s="91">
        <f>IF($O222="","",ROUND($O222*p_Tax,0))</f>
        <v/>
      </c>
      <c r="Q222" s="91">
        <f>IF($O222="","",$O222+$P222)</f>
        <v/>
      </c>
      <c r="R222" s="92">
        <f>IF($A222="","",IF($H222&lt;&gt;"",$H222,IFERROR(INDEX(t_Member_Share,MATCH($C222,t_Members,0)),p_DefaultShare)))</f>
        <v/>
      </c>
      <c r="S222" s="91">
        <f>IF(OR($Q222="",$R222=""),"",ROUND($Q222*$R222,0))</f>
        <v/>
      </c>
      <c r="T222" s="91">
        <f>IF(OR($Q222="",$S222=""),"",$Q222-$S222)</f>
        <v/>
      </c>
      <c r="U222" s="93">
        <f>IF($B222="","",IFERROR(INDEX(cal_JYear,MATCH($B222,cal_Key,0)),""))</f>
        <v/>
      </c>
      <c r="V222" s="93">
        <f>IF($B222="","",IFERROR(INDEX(cal_JMonth,MATCH($B222,cal_Key,0)),""))</f>
        <v/>
      </c>
      <c r="W222" s="94">
        <f>IF($B222="","",IFERROR(INDEX(cal_YM,MATCH($B222,cal_Key,0)),""))</f>
        <v/>
      </c>
      <c r="X222" s="94">
        <f>IF($B222="","",IFERROR(INDEX(cal_Season,MATCH($B222,cal_Key,0)),""))</f>
        <v/>
      </c>
      <c r="Y222" s="94">
        <f>IF($B222="","",IFERROR(INDEX(cal_Key,MATCH(INDEX(cal_Serial,MATCH($B222,cal_Key,0))+p_Due,cal_Serial,0)),""))</f>
        <v/>
      </c>
      <c r="Z222" s="95">
        <f>IF($B222="","",IF(OR($I222="پرداخت‌شده",$I222="ابطال"),"—",IFERROR(IF(INDEX(cal_Serial,MATCH($B222,cal_Key,0))+p_Due&lt;TODAY(),"بله","خیر"),"تاریخ نامعتبر")))</f>
        <v/>
      </c>
    </row>
    <row r="223" ht="20" customHeight="1">
      <c r="B223" s="86" t="n"/>
      <c r="C223" s="87" t="n"/>
      <c r="D223" s="87" t="n"/>
      <c r="E223" s="87" t="n"/>
      <c r="F223" s="88" t="n"/>
      <c r="G223" s="89" t="n"/>
      <c r="H223" s="90" t="n"/>
      <c r="I223" s="86" t="n"/>
      <c r="J223" s="87" t="n"/>
      <c r="K223" s="91">
        <f>IF($F223="","",$F223*IF($G223="",1,$G223))</f>
        <v/>
      </c>
      <c r="L223" s="92">
        <f>IFERROR(IF($D223="","",INDEX(t_Svc_Rate,MATCH($D223,lst_Service,0))),"")</f>
        <v/>
      </c>
      <c r="M223" s="92">
        <f>IF($L223="","",$L223*IF(p_TierMode="پلکانی",LOOKUP($K223,t_Tier_From,t_Tier_Rate),1))</f>
        <v/>
      </c>
      <c r="N223" s="91">
        <f>IF($K223="","",$K223*$M223)</f>
        <v/>
      </c>
      <c r="O223" s="91">
        <f>IF($N223="","",IF($I223="ابطال",0,MAX(p_Min,MIN(p_Max,$N223))))</f>
        <v/>
      </c>
      <c r="P223" s="91">
        <f>IF($O223="","",ROUND($O223*p_Tax,0))</f>
        <v/>
      </c>
      <c r="Q223" s="91">
        <f>IF($O223="","",$O223+$P223)</f>
        <v/>
      </c>
      <c r="R223" s="92">
        <f>IF($A223="","",IF($H223&lt;&gt;"",$H223,IFERROR(INDEX(t_Member_Share,MATCH($C223,t_Members,0)),p_DefaultShare)))</f>
        <v/>
      </c>
      <c r="S223" s="91">
        <f>IF(OR($Q223="",$R223=""),"",ROUND($Q223*$R223,0))</f>
        <v/>
      </c>
      <c r="T223" s="91">
        <f>IF(OR($Q223="",$S223=""),"",$Q223-$S223)</f>
        <v/>
      </c>
      <c r="U223" s="93">
        <f>IF($B223="","",IFERROR(INDEX(cal_JYear,MATCH($B223,cal_Key,0)),""))</f>
        <v/>
      </c>
      <c r="V223" s="93">
        <f>IF($B223="","",IFERROR(INDEX(cal_JMonth,MATCH($B223,cal_Key,0)),""))</f>
        <v/>
      </c>
      <c r="W223" s="94">
        <f>IF($B223="","",IFERROR(INDEX(cal_YM,MATCH($B223,cal_Key,0)),""))</f>
        <v/>
      </c>
      <c r="X223" s="94">
        <f>IF($B223="","",IFERROR(INDEX(cal_Season,MATCH($B223,cal_Key,0)),""))</f>
        <v/>
      </c>
      <c r="Y223" s="94">
        <f>IF($B223="","",IFERROR(INDEX(cal_Key,MATCH(INDEX(cal_Serial,MATCH($B223,cal_Key,0))+p_Due,cal_Serial,0)),""))</f>
        <v/>
      </c>
      <c r="Z223" s="95">
        <f>IF($B223="","",IF(OR($I223="پرداخت‌شده",$I223="ابطال"),"—",IFERROR(IF(INDEX(cal_Serial,MATCH($B223,cal_Key,0))+p_Due&lt;TODAY(),"بله","خیر"),"تاریخ نامعتبر")))</f>
        <v/>
      </c>
    </row>
    <row r="224" ht="20" customHeight="1">
      <c r="B224" s="86" t="n"/>
      <c r="C224" s="87" t="n"/>
      <c r="D224" s="87" t="n"/>
      <c r="E224" s="87" t="n"/>
      <c r="F224" s="88" t="n"/>
      <c r="G224" s="89" t="n"/>
      <c r="H224" s="90" t="n"/>
      <c r="I224" s="86" t="n"/>
      <c r="J224" s="87" t="n"/>
      <c r="K224" s="91">
        <f>IF($F224="","",$F224*IF($G224="",1,$G224))</f>
        <v/>
      </c>
      <c r="L224" s="92">
        <f>IFERROR(IF($D224="","",INDEX(t_Svc_Rate,MATCH($D224,lst_Service,0))),"")</f>
        <v/>
      </c>
      <c r="M224" s="92">
        <f>IF($L224="","",$L224*IF(p_TierMode="پلکانی",LOOKUP($K224,t_Tier_From,t_Tier_Rate),1))</f>
        <v/>
      </c>
      <c r="N224" s="91">
        <f>IF($K224="","",$K224*$M224)</f>
        <v/>
      </c>
      <c r="O224" s="91">
        <f>IF($N224="","",IF($I224="ابطال",0,MAX(p_Min,MIN(p_Max,$N224))))</f>
        <v/>
      </c>
      <c r="P224" s="91">
        <f>IF($O224="","",ROUND($O224*p_Tax,0))</f>
        <v/>
      </c>
      <c r="Q224" s="91">
        <f>IF($O224="","",$O224+$P224)</f>
        <v/>
      </c>
      <c r="R224" s="92">
        <f>IF($A224="","",IF($H224&lt;&gt;"",$H224,IFERROR(INDEX(t_Member_Share,MATCH($C224,t_Members,0)),p_DefaultShare)))</f>
        <v/>
      </c>
      <c r="S224" s="91">
        <f>IF(OR($Q224="",$R224=""),"",ROUND($Q224*$R224,0))</f>
        <v/>
      </c>
      <c r="T224" s="91">
        <f>IF(OR($Q224="",$S224=""),"",$Q224-$S224)</f>
        <v/>
      </c>
      <c r="U224" s="93">
        <f>IF($B224="","",IFERROR(INDEX(cal_JYear,MATCH($B224,cal_Key,0)),""))</f>
        <v/>
      </c>
      <c r="V224" s="93">
        <f>IF($B224="","",IFERROR(INDEX(cal_JMonth,MATCH($B224,cal_Key,0)),""))</f>
        <v/>
      </c>
      <c r="W224" s="94">
        <f>IF($B224="","",IFERROR(INDEX(cal_YM,MATCH($B224,cal_Key,0)),""))</f>
        <v/>
      </c>
      <c r="X224" s="94">
        <f>IF($B224="","",IFERROR(INDEX(cal_Season,MATCH($B224,cal_Key,0)),""))</f>
        <v/>
      </c>
      <c r="Y224" s="94">
        <f>IF($B224="","",IFERROR(INDEX(cal_Key,MATCH(INDEX(cal_Serial,MATCH($B224,cal_Key,0))+p_Due,cal_Serial,0)),""))</f>
        <v/>
      </c>
      <c r="Z224" s="95">
        <f>IF($B224="","",IF(OR($I224="پرداخت‌شده",$I224="ابطال"),"—",IFERROR(IF(INDEX(cal_Serial,MATCH($B224,cal_Key,0))+p_Due&lt;TODAY(),"بله","خیر"),"تاریخ نامعتبر")))</f>
        <v/>
      </c>
    </row>
    <row r="225" ht="20" customHeight="1">
      <c r="B225" s="86" t="n"/>
      <c r="C225" s="87" t="n"/>
      <c r="D225" s="87" t="n"/>
      <c r="E225" s="87" t="n"/>
      <c r="F225" s="88" t="n"/>
      <c r="G225" s="89" t="n"/>
      <c r="H225" s="90" t="n"/>
      <c r="I225" s="86" t="n"/>
      <c r="J225" s="87" t="n"/>
      <c r="K225" s="91">
        <f>IF($F225="","",$F225*IF($G225="",1,$G225))</f>
        <v/>
      </c>
      <c r="L225" s="92">
        <f>IFERROR(IF($D225="","",INDEX(t_Svc_Rate,MATCH($D225,lst_Service,0))),"")</f>
        <v/>
      </c>
      <c r="M225" s="92">
        <f>IF($L225="","",$L225*IF(p_TierMode="پلکانی",LOOKUP($K225,t_Tier_From,t_Tier_Rate),1))</f>
        <v/>
      </c>
      <c r="N225" s="91">
        <f>IF($K225="","",$K225*$M225)</f>
        <v/>
      </c>
      <c r="O225" s="91">
        <f>IF($N225="","",IF($I225="ابطال",0,MAX(p_Min,MIN(p_Max,$N225))))</f>
        <v/>
      </c>
      <c r="P225" s="91">
        <f>IF($O225="","",ROUND($O225*p_Tax,0))</f>
        <v/>
      </c>
      <c r="Q225" s="91">
        <f>IF($O225="","",$O225+$P225)</f>
        <v/>
      </c>
      <c r="R225" s="92">
        <f>IF($A225="","",IF($H225&lt;&gt;"",$H225,IFERROR(INDEX(t_Member_Share,MATCH($C225,t_Members,0)),p_DefaultShare)))</f>
        <v/>
      </c>
      <c r="S225" s="91">
        <f>IF(OR($Q225="",$R225=""),"",ROUND($Q225*$R225,0))</f>
        <v/>
      </c>
      <c r="T225" s="91">
        <f>IF(OR($Q225="",$S225=""),"",$Q225-$S225)</f>
        <v/>
      </c>
      <c r="U225" s="93">
        <f>IF($B225="","",IFERROR(INDEX(cal_JYear,MATCH($B225,cal_Key,0)),""))</f>
        <v/>
      </c>
      <c r="V225" s="93">
        <f>IF($B225="","",IFERROR(INDEX(cal_JMonth,MATCH($B225,cal_Key,0)),""))</f>
        <v/>
      </c>
      <c r="W225" s="94">
        <f>IF($B225="","",IFERROR(INDEX(cal_YM,MATCH($B225,cal_Key,0)),""))</f>
        <v/>
      </c>
      <c r="X225" s="94">
        <f>IF($B225="","",IFERROR(INDEX(cal_Season,MATCH($B225,cal_Key,0)),""))</f>
        <v/>
      </c>
      <c r="Y225" s="94">
        <f>IF($B225="","",IFERROR(INDEX(cal_Key,MATCH(INDEX(cal_Serial,MATCH($B225,cal_Key,0))+p_Due,cal_Serial,0)),""))</f>
        <v/>
      </c>
      <c r="Z225" s="95">
        <f>IF($B225="","",IF(OR($I225="پرداخت‌شده",$I225="ابطال"),"—",IFERROR(IF(INDEX(cal_Serial,MATCH($B225,cal_Key,0))+p_Due&lt;TODAY(),"بله","خیر"),"تاریخ نامعتبر")))</f>
        <v/>
      </c>
    </row>
    <row r="226" ht="20" customHeight="1">
      <c r="B226" s="86" t="n"/>
      <c r="C226" s="87" t="n"/>
      <c r="D226" s="87" t="n"/>
      <c r="E226" s="87" t="n"/>
      <c r="F226" s="88" t="n"/>
      <c r="G226" s="89" t="n"/>
      <c r="H226" s="90" t="n"/>
      <c r="I226" s="86" t="n"/>
      <c r="J226" s="87" t="n"/>
      <c r="K226" s="91">
        <f>IF($F226="","",$F226*IF($G226="",1,$G226))</f>
        <v/>
      </c>
      <c r="L226" s="92">
        <f>IFERROR(IF($D226="","",INDEX(t_Svc_Rate,MATCH($D226,lst_Service,0))),"")</f>
        <v/>
      </c>
      <c r="M226" s="92">
        <f>IF($L226="","",$L226*IF(p_TierMode="پلکانی",LOOKUP($K226,t_Tier_From,t_Tier_Rate),1))</f>
        <v/>
      </c>
      <c r="N226" s="91">
        <f>IF($K226="","",$K226*$M226)</f>
        <v/>
      </c>
      <c r="O226" s="91">
        <f>IF($N226="","",IF($I226="ابطال",0,MAX(p_Min,MIN(p_Max,$N226))))</f>
        <v/>
      </c>
      <c r="P226" s="91">
        <f>IF($O226="","",ROUND($O226*p_Tax,0))</f>
        <v/>
      </c>
      <c r="Q226" s="91">
        <f>IF($O226="","",$O226+$P226)</f>
        <v/>
      </c>
      <c r="R226" s="92">
        <f>IF($A226="","",IF($H226&lt;&gt;"",$H226,IFERROR(INDEX(t_Member_Share,MATCH($C226,t_Members,0)),p_DefaultShare)))</f>
        <v/>
      </c>
      <c r="S226" s="91">
        <f>IF(OR($Q226="",$R226=""),"",ROUND($Q226*$R226,0))</f>
        <v/>
      </c>
      <c r="T226" s="91">
        <f>IF(OR($Q226="",$S226=""),"",$Q226-$S226)</f>
        <v/>
      </c>
      <c r="U226" s="93">
        <f>IF($B226="","",IFERROR(INDEX(cal_JYear,MATCH($B226,cal_Key,0)),""))</f>
        <v/>
      </c>
      <c r="V226" s="93">
        <f>IF($B226="","",IFERROR(INDEX(cal_JMonth,MATCH($B226,cal_Key,0)),""))</f>
        <v/>
      </c>
      <c r="W226" s="94">
        <f>IF($B226="","",IFERROR(INDEX(cal_YM,MATCH($B226,cal_Key,0)),""))</f>
        <v/>
      </c>
      <c r="X226" s="94">
        <f>IF($B226="","",IFERROR(INDEX(cal_Season,MATCH($B226,cal_Key,0)),""))</f>
        <v/>
      </c>
      <c r="Y226" s="94">
        <f>IF($B226="","",IFERROR(INDEX(cal_Key,MATCH(INDEX(cal_Serial,MATCH($B226,cal_Key,0))+p_Due,cal_Serial,0)),""))</f>
        <v/>
      </c>
      <c r="Z226" s="95">
        <f>IF($B226="","",IF(OR($I226="پرداخت‌شده",$I226="ابطال"),"—",IFERROR(IF(INDEX(cal_Serial,MATCH($B226,cal_Key,0))+p_Due&lt;TODAY(),"بله","خیر"),"تاریخ نامعتبر")))</f>
        <v/>
      </c>
    </row>
    <row r="227" ht="20" customHeight="1">
      <c r="B227" s="86" t="n"/>
      <c r="C227" s="87" t="n"/>
      <c r="D227" s="87" t="n"/>
      <c r="E227" s="87" t="n"/>
      <c r="F227" s="88" t="n"/>
      <c r="G227" s="89" t="n"/>
      <c r="H227" s="90" t="n"/>
      <c r="I227" s="86" t="n"/>
      <c r="J227" s="87" t="n"/>
      <c r="K227" s="91">
        <f>IF($F227="","",$F227*IF($G227="",1,$G227))</f>
        <v/>
      </c>
      <c r="L227" s="92">
        <f>IFERROR(IF($D227="","",INDEX(t_Svc_Rate,MATCH($D227,lst_Service,0))),"")</f>
        <v/>
      </c>
      <c r="M227" s="92">
        <f>IF($L227="","",$L227*IF(p_TierMode="پلکانی",LOOKUP($K227,t_Tier_From,t_Tier_Rate),1))</f>
        <v/>
      </c>
      <c r="N227" s="91">
        <f>IF($K227="","",$K227*$M227)</f>
        <v/>
      </c>
      <c r="O227" s="91">
        <f>IF($N227="","",IF($I227="ابطال",0,MAX(p_Min,MIN(p_Max,$N227))))</f>
        <v/>
      </c>
      <c r="P227" s="91">
        <f>IF($O227="","",ROUND($O227*p_Tax,0))</f>
        <v/>
      </c>
      <c r="Q227" s="91">
        <f>IF($O227="","",$O227+$P227)</f>
        <v/>
      </c>
      <c r="R227" s="92">
        <f>IF($A227="","",IF($H227&lt;&gt;"",$H227,IFERROR(INDEX(t_Member_Share,MATCH($C227,t_Members,0)),p_DefaultShare)))</f>
        <v/>
      </c>
      <c r="S227" s="91">
        <f>IF(OR($Q227="",$R227=""),"",ROUND($Q227*$R227,0))</f>
        <v/>
      </c>
      <c r="T227" s="91">
        <f>IF(OR($Q227="",$S227=""),"",$Q227-$S227)</f>
        <v/>
      </c>
      <c r="U227" s="93">
        <f>IF($B227="","",IFERROR(INDEX(cal_JYear,MATCH($B227,cal_Key,0)),""))</f>
        <v/>
      </c>
      <c r="V227" s="93">
        <f>IF($B227="","",IFERROR(INDEX(cal_JMonth,MATCH($B227,cal_Key,0)),""))</f>
        <v/>
      </c>
      <c r="W227" s="94">
        <f>IF($B227="","",IFERROR(INDEX(cal_YM,MATCH($B227,cal_Key,0)),""))</f>
        <v/>
      </c>
      <c r="X227" s="94">
        <f>IF($B227="","",IFERROR(INDEX(cal_Season,MATCH($B227,cal_Key,0)),""))</f>
        <v/>
      </c>
      <c r="Y227" s="94">
        <f>IF($B227="","",IFERROR(INDEX(cal_Key,MATCH(INDEX(cal_Serial,MATCH($B227,cal_Key,0))+p_Due,cal_Serial,0)),""))</f>
        <v/>
      </c>
      <c r="Z227" s="95">
        <f>IF($B227="","",IF(OR($I227="پرداخت‌شده",$I227="ابطال"),"—",IFERROR(IF(INDEX(cal_Serial,MATCH($B227,cal_Key,0))+p_Due&lt;TODAY(),"بله","خیر"),"تاریخ نامعتبر")))</f>
        <v/>
      </c>
    </row>
    <row r="228" ht="20" customHeight="1">
      <c r="B228" s="86" t="n"/>
      <c r="C228" s="87" t="n"/>
      <c r="D228" s="87" t="n"/>
      <c r="E228" s="87" t="n"/>
      <c r="F228" s="88" t="n"/>
      <c r="G228" s="89" t="n"/>
      <c r="H228" s="90" t="n"/>
      <c r="I228" s="86" t="n"/>
      <c r="J228" s="87" t="n"/>
      <c r="K228" s="91">
        <f>IF($F228="","",$F228*IF($G228="",1,$G228))</f>
        <v/>
      </c>
      <c r="L228" s="92">
        <f>IFERROR(IF($D228="","",INDEX(t_Svc_Rate,MATCH($D228,lst_Service,0))),"")</f>
        <v/>
      </c>
      <c r="M228" s="92">
        <f>IF($L228="","",$L228*IF(p_TierMode="پلکانی",LOOKUP($K228,t_Tier_From,t_Tier_Rate),1))</f>
        <v/>
      </c>
      <c r="N228" s="91">
        <f>IF($K228="","",$K228*$M228)</f>
        <v/>
      </c>
      <c r="O228" s="91">
        <f>IF($N228="","",IF($I228="ابطال",0,MAX(p_Min,MIN(p_Max,$N228))))</f>
        <v/>
      </c>
      <c r="P228" s="91">
        <f>IF($O228="","",ROUND($O228*p_Tax,0))</f>
        <v/>
      </c>
      <c r="Q228" s="91">
        <f>IF($O228="","",$O228+$P228)</f>
        <v/>
      </c>
      <c r="R228" s="92">
        <f>IF($A228="","",IF($H228&lt;&gt;"",$H228,IFERROR(INDEX(t_Member_Share,MATCH($C228,t_Members,0)),p_DefaultShare)))</f>
        <v/>
      </c>
      <c r="S228" s="91">
        <f>IF(OR($Q228="",$R228=""),"",ROUND($Q228*$R228,0))</f>
        <v/>
      </c>
      <c r="T228" s="91">
        <f>IF(OR($Q228="",$S228=""),"",$Q228-$S228)</f>
        <v/>
      </c>
      <c r="U228" s="93">
        <f>IF($B228="","",IFERROR(INDEX(cal_JYear,MATCH($B228,cal_Key,0)),""))</f>
        <v/>
      </c>
      <c r="V228" s="93">
        <f>IF($B228="","",IFERROR(INDEX(cal_JMonth,MATCH($B228,cal_Key,0)),""))</f>
        <v/>
      </c>
      <c r="W228" s="94">
        <f>IF($B228="","",IFERROR(INDEX(cal_YM,MATCH($B228,cal_Key,0)),""))</f>
        <v/>
      </c>
      <c r="X228" s="94">
        <f>IF($B228="","",IFERROR(INDEX(cal_Season,MATCH($B228,cal_Key,0)),""))</f>
        <v/>
      </c>
      <c r="Y228" s="94">
        <f>IF($B228="","",IFERROR(INDEX(cal_Key,MATCH(INDEX(cal_Serial,MATCH($B228,cal_Key,0))+p_Due,cal_Serial,0)),""))</f>
        <v/>
      </c>
      <c r="Z228" s="95">
        <f>IF($B228="","",IF(OR($I228="پرداخت‌شده",$I228="ابطال"),"—",IFERROR(IF(INDEX(cal_Serial,MATCH($B228,cal_Key,0))+p_Due&lt;TODAY(),"بله","خیر"),"تاریخ نامعتبر")))</f>
        <v/>
      </c>
    </row>
    <row r="229" ht="20" customHeight="1">
      <c r="B229" s="86" t="n"/>
      <c r="C229" s="87" t="n"/>
      <c r="D229" s="87" t="n"/>
      <c r="E229" s="87" t="n"/>
      <c r="F229" s="88" t="n"/>
      <c r="G229" s="89" t="n"/>
      <c r="H229" s="90" t="n"/>
      <c r="I229" s="86" t="n"/>
      <c r="J229" s="87" t="n"/>
      <c r="K229" s="91">
        <f>IF($F229="","",$F229*IF($G229="",1,$G229))</f>
        <v/>
      </c>
      <c r="L229" s="92">
        <f>IFERROR(IF($D229="","",INDEX(t_Svc_Rate,MATCH($D229,lst_Service,0))),"")</f>
        <v/>
      </c>
      <c r="M229" s="92">
        <f>IF($L229="","",$L229*IF(p_TierMode="پلکانی",LOOKUP($K229,t_Tier_From,t_Tier_Rate),1))</f>
        <v/>
      </c>
      <c r="N229" s="91">
        <f>IF($K229="","",$K229*$M229)</f>
        <v/>
      </c>
      <c r="O229" s="91">
        <f>IF($N229="","",IF($I229="ابطال",0,MAX(p_Min,MIN(p_Max,$N229))))</f>
        <v/>
      </c>
      <c r="P229" s="91">
        <f>IF($O229="","",ROUND($O229*p_Tax,0))</f>
        <v/>
      </c>
      <c r="Q229" s="91">
        <f>IF($O229="","",$O229+$P229)</f>
        <v/>
      </c>
      <c r="R229" s="92">
        <f>IF($A229="","",IF($H229&lt;&gt;"",$H229,IFERROR(INDEX(t_Member_Share,MATCH($C229,t_Members,0)),p_DefaultShare)))</f>
        <v/>
      </c>
      <c r="S229" s="91">
        <f>IF(OR($Q229="",$R229=""),"",ROUND($Q229*$R229,0))</f>
        <v/>
      </c>
      <c r="T229" s="91">
        <f>IF(OR($Q229="",$S229=""),"",$Q229-$S229)</f>
        <v/>
      </c>
      <c r="U229" s="93">
        <f>IF($B229="","",IFERROR(INDEX(cal_JYear,MATCH($B229,cal_Key,0)),""))</f>
        <v/>
      </c>
      <c r="V229" s="93">
        <f>IF($B229="","",IFERROR(INDEX(cal_JMonth,MATCH($B229,cal_Key,0)),""))</f>
        <v/>
      </c>
      <c r="W229" s="94">
        <f>IF($B229="","",IFERROR(INDEX(cal_YM,MATCH($B229,cal_Key,0)),""))</f>
        <v/>
      </c>
      <c r="X229" s="94">
        <f>IF($B229="","",IFERROR(INDEX(cal_Season,MATCH($B229,cal_Key,0)),""))</f>
        <v/>
      </c>
      <c r="Y229" s="94">
        <f>IF($B229="","",IFERROR(INDEX(cal_Key,MATCH(INDEX(cal_Serial,MATCH($B229,cal_Key,0))+p_Due,cal_Serial,0)),""))</f>
        <v/>
      </c>
      <c r="Z229" s="95">
        <f>IF($B229="","",IF(OR($I229="پرداخت‌شده",$I229="ابطال"),"—",IFERROR(IF(INDEX(cal_Serial,MATCH($B229,cal_Key,0))+p_Due&lt;TODAY(),"بله","خیر"),"تاریخ نامعتبر")))</f>
        <v/>
      </c>
    </row>
    <row r="230" ht="20" customHeight="1">
      <c r="B230" s="86" t="n"/>
      <c r="C230" s="87" t="n"/>
      <c r="D230" s="87" t="n"/>
      <c r="E230" s="87" t="n"/>
      <c r="F230" s="88" t="n"/>
      <c r="G230" s="89" t="n"/>
      <c r="H230" s="90" t="n"/>
      <c r="I230" s="86" t="n"/>
      <c r="J230" s="87" t="n"/>
      <c r="K230" s="91">
        <f>IF($F230="","",$F230*IF($G230="",1,$G230))</f>
        <v/>
      </c>
      <c r="L230" s="92">
        <f>IFERROR(IF($D230="","",INDEX(t_Svc_Rate,MATCH($D230,lst_Service,0))),"")</f>
        <v/>
      </c>
      <c r="M230" s="92">
        <f>IF($L230="","",$L230*IF(p_TierMode="پلکانی",LOOKUP($K230,t_Tier_From,t_Tier_Rate),1))</f>
        <v/>
      </c>
      <c r="N230" s="91">
        <f>IF($K230="","",$K230*$M230)</f>
        <v/>
      </c>
      <c r="O230" s="91">
        <f>IF($N230="","",IF($I230="ابطال",0,MAX(p_Min,MIN(p_Max,$N230))))</f>
        <v/>
      </c>
      <c r="P230" s="91">
        <f>IF($O230="","",ROUND($O230*p_Tax,0))</f>
        <v/>
      </c>
      <c r="Q230" s="91">
        <f>IF($O230="","",$O230+$P230)</f>
        <v/>
      </c>
      <c r="R230" s="92">
        <f>IF($A230="","",IF($H230&lt;&gt;"",$H230,IFERROR(INDEX(t_Member_Share,MATCH($C230,t_Members,0)),p_DefaultShare)))</f>
        <v/>
      </c>
      <c r="S230" s="91">
        <f>IF(OR($Q230="",$R230=""),"",ROUND($Q230*$R230,0))</f>
        <v/>
      </c>
      <c r="T230" s="91">
        <f>IF(OR($Q230="",$S230=""),"",$Q230-$S230)</f>
        <v/>
      </c>
      <c r="U230" s="93">
        <f>IF($B230="","",IFERROR(INDEX(cal_JYear,MATCH($B230,cal_Key,0)),""))</f>
        <v/>
      </c>
      <c r="V230" s="93">
        <f>IF($B230="","",IFERROR(INDEX(cal_JMonth,MATCH($B230,cal_Key,0)),""))</f>
        <v/>
      </c>
      <c r="W230" s="94">
        <f>IF($B230="","",IFERROR(INDEX(cal_YM,MATCH($B230,cal_Key,0)),""))</f>
        <v/>
      </c>
      <c r="X230" s="94">
        <f>IF($B230="","",IFERROR(INDEX(cal_Season,MATCH($B230,cal_Key,0)),""))</f>
        <v/>
      </c>
      <c r="Y230" s="94">
        <f>IF($B230="","",IFERROR(INDEX(cal_Key,MATCH(INDEX(cal_Serial,MATCH($B230,cal_Key,0))+p_Due,cal_Serial,0)),""))</f>
        <v/>
      </c>
      <c r="Z230" s="95">
        <f>IF($B230="","",IF(OR($I230="پرداخت‌شده",$I230="ابطال"),"—",IFERROR(IF(INDEX(cal_Serial,MATCH($B230,cal_Key,0))+p_Due&lt;TODAY(),"بله","خیر"),"تاریخ نامعتبر")))</f>
        <v/>
      </c>
    </row>
    <row r="231" ht="20" customHeight="1">
      <c r="B231" s="86" t="n"/>
      <c r="C231" s="87" t="n"/>
      <c r="D231" s="87" t="n"/>
      <c r="E231" s="87" t="n"/>
      <c r="F231" s="88" t="n"/>
      <c r="G231" s="89" t="n"/>
      <c r="H231" s="90" t="n"/>
      <c r="I231" s="86" t="n"/>
      <c r="J231" s="87" t="n"/>
      <c r="K231" s="91">
        <f>IF($F231="","",$F231*IF($G231="",1,$G231))</f>
        <v/>
      </c>
      <c r="L231" s="92">
        <f>IFERROR(IF($D231="","",INDEX(t_Svc_Rate,MATCH($D231,lst_Service,0))),"")</f>
        <v/>
      </c>
      <c r="M231" s="92">
        <f>IF($L231="","",$L231*IF(p_TierMode="پلکانی",LOOKUP($K231,t_Tier_From,t_Tier_Rate),1))</f>
        <v/>
      </c>
      <c r="N231" s="91">
        <f>IF($K231="","",$K231*$M231)</f>
        <v/>
      </c>
      <c r="O231" s="91">
        <f>IF($N231="","",IF($I231="ابطال",0,MAX(p_Min,MIN(p_Max,$N231))))</f>
        <v/>
      </c>
      <c r="P231" s="91">
        <f>IF($O231="","",ROUND($O231*p_Tax,0))</f>
        <v/>
      </c>
      <c r="Q231" s="91">
        <f>IF($O231="","",$O231+$P231)</f>
        <v/>
      </c>
      <c r="R231" s="92">
        <f>IF($A231="","",IF($H231&lt;&gt;"",$H231,IFERROR(INDEX(t_Member_Share,MATCH($C231,t_Members,0)),p_DefaultShare)))</f>
        <v/>
      </c>
      <c r="S231" s="91">
        <f>IF(OR($Q231="",$R231=""),"",ROUND($Q231*$R231,0))</f>
        <v/>
      </c>
      <c r="T231" s="91">
        <f>IF(OR($Q231="",$S231=""),"",$Q231-$S231)</f>
        <v/>
      </c>
      <c r="U231" s="93">
        <f>IF($B231="","",IFERROR(INDEX(cal_JYear,MATCH($B231,cal_Key,0)),""))</f>
        <v/>
      </c>
      <c r="V231" s="93">
        <f>IF($B231="","",IFERROR(INDEX(cal_JMonth,MATCH($B231,cal_Key,0)),""))</f>
        <v/>
      </c>
      <c r="W231" s="94">
        <f>IF($B231="","",IFERROR(INDEX(cal_YM,MATCH($B231,cal_Key,0)),""))</f>
        <v/>
      </c>
      <c r="X231" s="94">
        <f>IF($B231="","",IFERROR(INDEX(cal_Season,MATCH($B231,cal_Key,0)),""))</f>
        <v/>
      </c>
      <c r="Y231" s="94">
        <f>IF($B231="","",IFERROR(INDEX(cal_Key,MATCH(INDEX(cal_Serial,MATCH($B231,cal_Key,0))+p_Due,cal_Serial,0)),""))</f>
        <v/>
      </c>
      <c r="Z231" s="95">
        <f>IF($B231="","",IF(OR($I231="پرداخت‌شده",$I231="ابطال"),"—",IFERROR(IF(INDEX(cal_Serial,MATCH($B231,cal_Key,0))+p_Due&lt;TODAY(),"بله","خیر"),"تاریخ نامعتبر")))</f>
        <v/>
      </c>
    </row>
    <row r="232" ht="20" customHeight="1">
      <c r="B232" s="86" t="n"/>
      <c r="C232" s="87" t="n"/>
      <c r="D232" s="87" t="n"/>
      <c r="E232" s="87" t="n"/>
      <c r="F232" s="88" t="n"/>
      <c r="G232" s="89" t="n"/>
      <c r="H232" s="90" t="n"/>
      <c r="I232" s="86" t="n"/>
      <c r="J232" s="87" t="n"/>
      <c r="K232" s="91">
        <f>IF($F232="","",$F232*IF($G232="",1,$G232))</f>
        <v/>
      </c>
      <c r="L232" s="92">
        <f>IFERROR(IF($D232="","",INDEX(t_Svc_Rate,MATCH($D232,lst_Service,0))),"")</f>
        <v/>
      </c>
      <c r="M232" s="92">
        <f>IF($L232="","",$L232*IF(p_TierMode="پلکانی",LOOKUP($K232,t_Tier_From,t_Tier_Rate),1))</f>
        <v/>
      </c>
      <c r="N232" s="91">
        <f>IF($K232="","",$K232*$M232)</f>
        <v/>
      </c>
      <c r="O232" s="91">
        <f>IF($N232="","",IF($I232="ابطال",0,MAX(p_Min,MIN(p_Max,$N232))))</f>
        <v/>
      </c>
      <c r="P232" s="91">
        <f>IF($O232="","",ROUND($O232*p_Tax,0))</f>
        <v/>
      </c>
      <c r="Q232" s="91">
        <f>IF($O232="","",$O232+$P232)</f>
        <v/>
      </c>
      <c r="R232" s="92">
        <f>IF($A232="","",IF($H232&lt;&gt;"",$H232,IFERROR(INDEX(t_Member_Share,MATCH($C232,t_Members,0)),p_DefaultShare)))</f>
        <v/>
      </c>
      <c r="S232" s="91">
        <f>IF(OR($Q232="",$R232=""),"",ROUND($Q232*$R232,0))</f>
        <v/>
      </c>
      <c r="T232" s="91">
        <f>IF(OR($Q232="",$S232=""),"",$Q232-$S232)</f>
        <v/>
      </c>
      <c r="U232" s="93">
        <f>IF($B232="","",IFERROR(INDEX(cal_JYear,MATCH($B232,cal_Key,0)),""))</f>
        <v/>
      </c>
      <c r="V232" s="93">
        <f>IF($B232="","",IFERROR(INDEX(cal_JMonth,MATCH($B232,cal_Key,0)),""))</f>
        <v/>
      </c>
      <c r="W232" s="94">
        <f>IF($B232="","",IFERROR(INDEX(cal_YM,MATCH($B232,cal_Key,0)),""))</f>
        <v/>
      </c>
      <c r="X232" s="94">
        <f>IF($B232="","",IFERROR(INDEX(cal_Season,MATCH($B232,cal_Key,0)),""))</f>
        <v/>
      </c>
      <c r="Y232" s="94">
        <f>IF($B232="","",IFERROR(INDEX(cal_Key,MATCH(INDEX(cal_Serial,MATCH($B232,cal_Key,0))+p_Due,cal_Serial,0)),""))</f>
        <v/>
      </c>
      <c r="Z232" s="95">
        <f>IF($B232="","",IF(OR($I232="پرداخت‌شده",$I232="ابطال"),"—",IFERROR(IF(INDEX(cal_Serial,MATCH($B232,cal_Key,0))+p_Due&lt;TODAY(),"بله","خیر"),"تاریخ نامعتبر")))</f>
        <v/>
      </c>
    </row>
    <row r="233" ht="20" customHeight="1">
      <c r="B233" s="86" t="n"/>
      <c r="C233" s="87" t="n"/>
      <c r="D233" s="87" t="n"/>
      <c r="E233" s="87" t="n"/>
      <c r="F233" s="88" t="n"/>
      <c r="G233" s="89" t="n"/>
      <c r="H233" s="90" t="n"/>
      <c r="I233" s="86" t="n"/>
      <c r="J233" s="87" t="n"/>
      <c r="K233" s="91">
        <f>IF($F233="","",$F233*IF($G233="",1,$G233))</f>
        <v/>
      </c>
      <c r="L233" s="92">
        <f>IFERROR(IF($D233="","",INDEX(t_Svc_Rate,MATCH($D233,lst_Service,0))),"")</f>
        <v/>
      </c>
      <c r="M233" s="92">
        <f>IF($L233="","",$L233*IF(p_TierMode="پلکانی",LOOKUP($K233,t_Tier_From,t_Tier_Rate),1))</f>
        <v/>
      </c>
      <c r="N233" s="91">
        <f>IF($K233="","",$K233*$M233)</f>
        <v/>
      </c>
      <c r="O233" s="91">
        <f>IF($N233="","",IF($I233="ابطال",0,MAX(p_Min,MIN(p_Max,$N233))))</f>
        <v/>
      </c>
      <c r="P233" s="91">
        <f>IF($O233="","",ROUND($O233*p_Tax,0))</f>
        <v/>
      </c>
      <c r="Q233" s="91">
        <f>IF($O233="","",$O233+$P233)</f>
        <v/>
      </c>
      <c r="R233" s="92">
        <f>IF($A233="","",IF($H233&lt;&gt;"",$H233,IFERROR(INDEX(t_Member_Share,MATCH($C233,t_Members,0)),p_DefaultShare)))</f>
        <v/>
      </c>
      <c r="S233" s="91">
        <f>IF(OR($Q233="",$R233=""),"",ROUND($Q233*$R233,0))</f>
        <v/>
      </c>
      <c r="T233" s="91">
        <f>IF(OR($Q233="",$S233=""),"",$Q233-$S233)</f>
        <v/>
      </c>
      <c r="U233" s="93">
        <f>IF($B233="","",IFERROR(INDEX(cal_JYear,MATCH($B233,cal_Key,0)),""))</f>
        <v/>
      </c>
      <c r="V233" s="93">
        <f>IF($B233="","",IFERROR(INDEX(cal_JMonth,MATCH($B233,cal_Key,0)),""))</f>
        <v/>
      </c>
      <c r="W233" s="94">
        <f>IF($B233="","",IFERROR(INDEX(cal_YM,MATCH($B233,cal_Key,0)),""))</f>
        <v/>
      </c>
      <c r="X233" s="94">
        <f>IF($B233="","",IFERROR(INDEX(cal_Season,MATCH($B233,cal_Key,0)),""))</f>
        <v/>
      </c>
      <c r="Y233" s="94">
        <f>IF($B233="","",IFERROR(INDEX(cal_Key,MATCH(INDEX(cal_Serial,MATCH($B233,cal_Key,0))+p_Due,cal_Serial,0)),""))</f>
        <v/>
      </c>
      <c r="Z233" s="95">
        <f>IF($B233="","",IF(OR($I233="پرداخت‌شده",$I233="ابطال"),"—",IFERROR(IF(INDEX(cal_Serial,MATCH($B233,cal_Key,0))+p_Due&lt;TODAY(),"بله","خیر"),"تاریخ نامعتبر")))</f>
        <v/>
      </c>
    </row>
    <row r="234" ht="20" customHeight="1">
      <c r="B234" s="86" t="n"/>
      <c r="C234" s="87" t="n"/>
      <c r="D234" s="87" t="n"/>
      <c r="E234" s="87" t="n"/>
      <c r="F234" s="88" t="n"/>
      <c r="G234" s="89" t="n"/>
      <c r="H234" s="90" t="n"/>
      <c r="I234" s="86" t="n"/>
      <c r="J234" s="87" t="n"/>
      <c r="K234" s="91">
        <f>IF($F234="","",$F234*IF($G234="",1,$G234))</f>
        <v/>
      </c>
      <c r="L234" s="92">
        <f>IFERROR(IF($D234="","",INDEX(t_Svc_Rate,MATCH($D234,lst_Service,0))),"")</f>
        <v/>
      </c>
      <c r="M234" s="92">
        <f>IF($L234="","",$L234*IF(p_TierMode="پلکانی",LOOKUP($K234,t_Tier_From,t_Tier_Rate),1))</f>
        <v/>
      </c>
      <c r="N234" s="91">
        <f>IF($K234="","",$K234*$M234)</f>
        <v/>
      </c>
      <c r="O234" s="91">
        <f>IF($N234="","",IF($I234="ابطال",0,MAX(p_Min,MIN(p_Max,$N234))))</f>
        <v/>
      </c>
      <c r="P234" s="91">
        <f>IF($O234="","",ROUND($O234*p_Tax,0))</f>
        <v/>
      </c>
      <c r="Q234" s="91">
        <f>IF($O234="","",$O234+$P234)</f>
        <v/>
      </c>
      <c r="R234" s="92">
        <f>IF($A234="","",IF($H234&lt;&gt;"",$H234,IFERROR(INDEX(t_Member_Share,MATCH($C234,t_Members,0)),p_DefaultShare)))</f>
        <v/>
      </c>
      <c r="S234" s="91">
        <f>IF(OR($Q234="",$R234=""),"",ROUND($Q234*$R234,0))</f>
        <v/>
      </c>
      <c r="T234" s="91">
        <f>IF(OR($Q234="",$S234=""),"",$Q234-$S234)</f>
        <v/>
      </c>
      <c r="U234" s="93">
        <f>IF($B234="","",IFERROR(INDEX(cal_JYear,MATCH($B234,cal_Key,0)),""))</f>
        <v/>
      </c>
      <c r="V234" s="93">
        <f>IF($B234="","",IFERROR(INDEX(cal_JMonth,MATCH($B234,cal_Key,0)),""))</f>
        <v/>
      </c>
      <c r="W234" s="94">
        <f>IF($B234="","",IFERROR(INDEX(cal_YM,MATCH($B234,cal_Key,0)),""))</f>
        <v/>
      </c>
      <c r="X234" s="94">
        <f>IF($B234="","",IFERROR(INDEX(cal_Season,MATCH($B234,cal_Key,0)),""))</f>
        <v/>
      </c>
      <c r="Y234" s="94">
        <f>IF($B234="","",IFERROR(INDEX(cal_Key,MATCH(INDEX(cal_Serial,MATCH($B234,cal_Key,0))+p_Due,cal_Serial,0)),""))</f>
        <v/>
      </c>
      <c r="Z234" s="95">
        <f>IF($B234="","",IF(OR($I234="پرداخت‌شده",$I234="ابطال"),"—",IFERROR(IF(INDEX(cal_Serial,MATCH($B234,cal_Key,0))+p_Due&lt;TODAY(),"بله","خیر"),"تاریخ نامعتبر")))</f>
        <v/>
      </c>
    </row>
    <row r="235" ht="20" customHeight="1">
      <c r="B235" s="86" t="n"/>
      <c r="C235" s="87" t="n"/>
      <c r="D235" s="87" t="n"/>
      <c r="E235" s="87" t="n"/>
      <c r="F235" s="88" t="n"/>
      <c r="G235" s="89" t="n"/>
      <c r="H235" s="90" t="n"/>
      <c r="I235" s="86" t="n"/>
      <c r="J235" s="87" t="n"/>
      <c r="K235" s="91">
        <f>IF($F235="","",$F235*IF($G235="",1,$G235))</f>
        <v/>
      </c>
      <c r="L235" s="92">
        <f>IFERROR(IF($D235="","",INDEX(t_Svc_Rate,MATCH($D235,lst_Service,0))),"")</f>
        <v/>
      </c>
      <c r="M235" s="92">
        <f>IF($L235="","",$L235*IF(p_TierMode="پلکانی",LOOKUP($K235,t_Tier_From,t_Tier_Rate),1))</f>
        <v/>
      </c>
      <c r="N235" s="91">
        <f>IF($K235="","",$K235*$M235)</f>
        <v/>
      </c>
      <c r="O235" s="91">
        <f>IF($N235="","",IF($I235="ابطال",0,MAX(p_Min,MIN(p_Max,$N235))))</f>
        <v/>
      </c>
      <c r="P235" s="91">
        <f>IF($O235="","",ROUND($O235*p_Tax,0))</f>
        <v/>
      </c>
      <c r="Q235" s="91">
        <f>IF($O235="","",$O235+$P235)</f>
        <v/>
      </c>
      <c r="R235" s="92">
        <f>IF($A235="","",IF($H235&lt;&gt;"",$H235,IFERROR(INDEX(t_Member_Share,MATCH($C235,t_Members,0)),p_DefaultShare)))</f>
        <v/>
      </c>
      <c r="S235" s="91">
        <f>IF(OR($Q235="",$R235=""),"",ROUND($Q235*$R235,0))</f>
        <v/>
      </c>
      <c r="T235" s="91">
        <f>IF(OR($Q235="",$S235=""),"",$Q235-$S235)</f>
        <v/>
      </c>
      <c r="U235" s="93">
        <f>IF($B235="","",IFERROR(INDEX(cal_JYear,MATCH($B235,cal_Key,0)),""))</f>
        <v/>
      </c>
      <c r="V235" s="93">
        <f>IF($B235="","",IFERROR(INDEX(cal_JMonth,MATCH($B235,cal_Key,0)),""))</f>
        <v/>
      </c>
      <c r="W235" s="94">
        <f>IF($B235="","",IFERROR(INDEX(cal_YM,MATCH($B235,cal_Key,0)),""))</f>
        <v/>
      </c>
      <c r="X235" s="94">
        <f>IF($B235="","",IFERROR(INDEX(cal_Season,MATCH($B235,cal_Key,0)),""))</f>
        <v/>
      </c>
      <c r="Y235" s="94">
        <f>IF($B235="","",IFERROR(INDEX(cal_Key,MATCH(INDEX(cal_Serial,MATCH($B235,cal_Key,0))+p_Due,cal_Serial,0)),""))</f>
        <v/>
      </c>
      <c r="Z235" s="95">
        <f>IF($B235="","",IF(OR($I235="پرداخت‌شده",$I235="ابطال"),"—",IFERROR(IF(INDEX(cal_Serial,MATCH($B235,cal_Key,0))+p_Due&lt;TODAY(),"بله","خیر"),"تاریخ نامعتبر")))</f>
        <v/>
      </c>
    </row>
    <row r="236" ht="20" customHeight="1">
      <c r="B236" s="86" t="n"/>
      <c r="C236" s="87" t="n"/>
      <c r="D236" s="87" t="n"/>
      <c r="E236" s="87" t="n"/>
      <c r="F236" s="88" t="n"/>
      <c r="G236" s="89" t="n"/>
      <c r="H236" s="90" t="n"/>
      <c r="I236" s="86" t="n"/>
      <c r="J236" s="87" t="n"/>
      <c r="K236" s="91">
        <f>IF($F236="","",$F236*IF($G236="",1,$G236))</f>
        <v/>
      </c>
      <c r="L236" s="92">
        <f>IFERROR(IF($D236="","",INDEX(t_Svc_Rate,MATCH($D236,lst_Service,0))),"")</f>
        <v/>
      </c>
      <c r="M236" s="92">
        <f>IF($L236="","",$L236*IF(p_TierMode="پلکانی",LOOKUP($K236,t_Tier_From,t_Tier_Rate),1))</f>
        <v/>
      </c>
      <c r="N236" s="91">
        <f>IF($K236="","",$K236*$M236)</f>
        <v/>
      </c>
      <c r="O236" s="91">
        <f>IF($N236="","",IF($I236="ابطال",0,MAX(p_Min,MIN(p_Max,$N236))))</f>
        <v/>
      </c>
      <c r="P236" s="91">
        <f>IF($O236="","",ROUND($O236*p_Tax,0))</f>
        <v/>
      </c>
      <c r="Q236" s="91">
        <f>IF($O236="","",$O236+$P236)</f>
        <v/>
      </c>
      <c r="R236" s="92">
        <f>IF($A236="","",IF($H236&lt;&gt;"",$H236,IFERROR(INDEX(t_Member_Share,MATCH($C236,t_Members,0)),p_DefaultShare)))</f>
        <v/>
      </c>
      <c r="S236" s="91">
        <f>IF(OR($Q236="",$R236=""),"",ROUND($Q236*$R236,0))</f>
        <v/>
      </c>
      <c r="T236" s="91">
        <f>IF(OR($Q236="",$S236=""),"",$Q236-$S236)</f>
        <v/>
      </c>
      <c r="U236" s="93">
        <f>IF($B236="","",IFERROR(INDEX(cal_JYear,MATCH($B236,cal_Key,0)),""))</f>
        <v/>
      </c>
      <c r="V236" s="93">
        <f>IF($B236="","",IFERROR(INDEX(cal_JMonth,MATCH($B236,cal_Key,0)),""))</f>
        <v/>
      </c>
      <c r="W236" s="94">
        <f>IF($B236="","",IFERROR(INDEX(cal_YM,MATCH($B236,cal_Key,0)),""))</f>
        <v/>
      </c>
      <c r="X236" s="94">
        <f>IF($B236="","",IFERROR(INDEX(cal_Season,MATCH($B236,cal_Key,0)),""))</f>
        <v/>
      </c>
      <c r="Y236" s="94">
        <f>IF($B236="","",IFERROR(INDEX(cal_Key,MATCH(INDEX(cal_Serial,MATCH($B236,cal_Key,0))+p_Due,cal_Serial,0)),""))</f>
        <v/>
      </c>
      <c r="Z236" s="95">
        <f>IF($B236="","",IF(OR($I236="پرداخت‌شده",$I236="ابطال"),"—",IFERROR(IF(INDEX(cal_Serial,MATCH($B236,cal_Key,0))+p_Due&lt;TODAY(),"بله","خیر"),"تاریخ نامعتبر")))</f>
        <v/>
      </c>
    </row>
    <row r="237" ht="20" customHeight="1">
      <c r="B237" s="86" t="n"/>
      <c r="C237" s="87" t="n"/>
      <c r="D237" s="87" t="n"/>
      <c r="E237" s="87" t="n"/>
      <c r="F237" s="88" t="n"/>
      <c r="G237" s="89" t="n"/>
      <c r="H237" s="90" t="n"/>
      <c r="I237" s="86" t="n"/>
      <c r="J237" s="87" t="n"/>
      <c r="K237" s="91">
        <f>IF($F237="","",$F237*IF($G237="",1,$G237))</f>
        <v/>
      </c>
      <c r="L237" s="92">
        <f>IFERROR(IF($D237="","",INDEX(t_Svc_Rate,MATCH($D237,lst_Service,0))),"")</f>
        <v/>
      </c>
      <c r="M237" s="92">
        <f>IF($L237="","",$L237*IF(p_TierMode="پلکانی",LOOKUP($K237,t_Tier_From,t_Tier_Rate),1))</f>
        <v/>
      </c>
      <c r="N237" s="91">
        <f>IF($K237="","",$K237*$M237)</f>
        <v/>
      </c>
      <c r="O237" s="91">
        <f>IF($N237="","",IF($I237="ابطال",0,MAX(p_Min,MIN(p_Max,$N237))))</f>
        <v/>
      </c>
      <c r="P237" s="91">
        <f>IF($O237="","",ROUND($O237*p_Tax,0))</f>
        <v/>
      </c>
      <c r="Q237" s="91">
        <f>IF($O237="","",$O237+$P237)</f>
        <v/>
      </c>
      <c r="R237" s="92">
        <f>IF($A237="","",IF($H237&lt;&gt;"",$H237,IFERROR(INDEX(t_Member_Share,MATCH($C237,t_Members,0)),p_DefaultShare)))</f>
        <v/>
      </c>
      <c r="S237" s="91">
        <f>IF(OR($Q237="",$R237=""),"",ROUND($Q237*$R237,0))</f>
        <v/>
      </c>
      <c r="T237" s="91">
        <f>IF(OR($Q237="",$S237=""),"",$Q237-$S237)</f>
        <v/>
      </c>
      <c r="U237" s="93">
        <f>IF($B237="","",IFERROR(INDEX(cal_JYear,MATCH($B237,cal_Key,0)),""))</f>
        <v/>
      </c>
      <c r="V237" s="93">
        <f>IF($B237="","",IFERROR(INDEX(cal_JMonth,MATCH($B237,cal_Key,0)),""))</f>
        <v/>
      </c>
      <c r="W237" s="94">
        <f>IF($B237="","",IFERROR(INDEX(cal_YM,MATCH($B237,cal_Key,0)),""))</f>
        <v/>
      </c>
      <c r="X237" s="94">
        <f>IF($B237="","",IFERROR(INDEX(cal_Season,MATCH($B237,cal_Key,0)),""))</f>
        <v/>
      </c>
      <c r="Y237" s="94">
        <f>IF($B237="","",IFERROR(INDEX(cal_Key,MATCH(INDEX(cal_Serial,MATCH($B237,cal_Key,0))+p_Due,cal_Serial,0)),""))</f>
        <v/>
      </c>
      <c r="Z237" s="95">
        <f>IF($B237="","",IF(OR($I237="پرداخت‌شده",$I237="ابطال"),"—",IFERROR(IF(INDEX(cal_Serial,MATCH($B237,cal_Key,0))+p_Due&lt;TODAY(),"بله","خیر"),"تاریخ نامعتبر")))</f>
        <v/>
      </c>
    </row>
    <row r="238" ht="20" customHeight="1">
      <c r="B238" s="86" t="n"/>
      <c r="C238" s="87" t="n"/>
      <c r="D238" s="87" t="n"/>
      <c r="E238" s="87" t="n"/>
      <c r="F238" s="88" t="n"/>
      <c r="G238" s="89" t="n"/>
      <c r="H238" s="90" t="n"/>
      <c r="I238" s="86" t="n"/>
      <c r="J238" s="87" t="n"/>
      <c r="K238" s="91">
        <f>IF($F238="","",$F238*IF($G238="",1,$G238))</f>
        <v/>
      </c>
      <c r="L238" s="92">
        <f>IFERROR(IF($D238="","",INDEX(t_Svc_Rate,MATCH($D238,lst_Service,0))),"")</f>
        <v/>
      </c>
      <c r="M238" s="92">
        <f>IF($L238="","",$L238*IF(p_TierMode="پلکانی",LOOKUP($K238,t_Tier_From,t_Tier_Rate),1))</f>
        <v/>
      </c>
      <c r="N238" s="91">
        <f>IF($K238="","",$K238*$M238)</f>
        <v/>
      </c>
      <c r="O238" s="91">
        <f>IF($N238="","",IF($I238="ابطال",0,MAX(p_Min,MIN(p_Max,$N238))))</f>
        <v/>
      </c>
      <c r="P238" s="91">
        <f>IF($O238="","",ROUND($O238*p_Tax,0))</f>
        <v/>
      </c>
      <c r="Q238" s="91">
        <f>IF($O238="","",$O238+$P238)</f>
        <v/>
      </c>
      <c r="R238" s="92">
        <f>IF($A238="","",IF($H238&lt;&gt;"",$H238,IFERROR(INDEX(t_Member_Share,MATCH($C238,t_Members,0)),p_DefaultShare)))</f>
        <v/>
      </c>
      <c r="S238" s="91">
        <f>IF(OR($Q238="",$R238=""),"",ROUND($Q238*$R238,0))</f>
        <v/>
      </c>
      <c r="T238" s="91">
        <f>IF(OR($Q238="",$S238=""),"",$Q238-$S238)</f>
        <v/>
      </c>
      <c r="U238" s="93">
        <f>IF($B238="","",IFERROR(INDEX(cal_JYear,MATCH($B238,cal_Key,0)),""))</f>
        <v/>
      </c>
      <c r="V238" s="93">
        <f>IF($B238="","",IFERROR(INDEX(cal_JMonth,MATCH($B238,cal_Key,0)),""))</f>
        <v/>
      </c>
      <c r="W238" s="94">
        <f>IF($B238="","",IFERROR(INDEX(cal_YM,MATCH($B238,cal_Key,0)),""))</f>
        <v/>
      </c>
      <c r="X238" s="94">
        <f>IF($B238="","",IFERROR(INDEX(cal_Season,MATCH($B238,cal_Key,0)),""))</f>
        <v/>
      </c>
      <c r="Y238" s="94">
        <f>IF($B238="","",IFERROR(INDEX(cal_Key,MATCH(INDEX(cal_Serial,MATCH($B238,cal_Key,0))+p_Due,cal_Serial,0)),""))</f>
        <v/>
      </c>
      <c r="Z238" s="95">
        <f>IF($B238="","",IF(OR($I238="پرداخت‌شده",$I238="ابطال"),"—",IFERROR(IF(INDEX(cal_Serial,MATCH($B238,cal_Key,0))+p_Due&lt;TODAY(),"بله","خیر"),"تاریخ نامعتبر")))</f>
        <v/>
      </c>
    </row>
    <row r="239" ht="20" customHeight="1">
      <c r="B239" s="86" t="n"/>
      <c r="C239" s="87" t="n"/>
      <c r="D239" s="87" t="n"/>
      <c r="E239" s="87" t="n"/>
      <c r="F239" s="88" t="n"/>
      <c r="G239" s="89" t="n"/>
      <c r="H239" s="90" t="n"/>
      <c r="I239" s="86" t="n"/>
      <c r="J239" s="87" t="n"/>
      <c r="K239" s="91">
        <f>IF($F239="","",$F239*IF($G239="",1,$G239))</f>
        <v/>
      </c>
      <c r="L239" s="92">
        <f>IFERROR(IF($D239="","",INDEX(t_Svc_Rate,MATCH($D239,lst_Service,0))),"")</f>
        <v/>
      </c>
      <c r="M239" s="92">
        <f>IF($L239="","",$L239*IF(p_TierMode="پلکانی",LOOKUP($K239,t_Tier_From,t_Tier_Rate),1))</f>
        <v/>
      </c>
      <c r="N239" s="91">
        <f>IF($K239="","",$K239*$M239)</f>
        <v/>
      </c>
      <c r="O239" s="91">
        <f>IF($N239="","",IF($I239="ابطال",0,MAX(p_Min,MIN(p_Max,$N239))))</f>
        <v/>
      </c>
      <c r="P239" s="91">
        <f>IF($O239="","",ROUND($O239*p_Tax,0))</f>
        <v/>
      </c>
      <c r="Q239" s="91">
        <f>IF($O239="","",$O239+$P239)</f>
        <v/>
      </c>
      <c r="R239" s="92">
        <f>IF($A239="","",IF($H239&lt;&gt;"",$H239,IFERROR(INDEX(t_Member_Share,MATCH($C239,t_Members,0)),p_DefaultShare)))</f>
        <v/>
      </c>
      <c r="S239" s="91">
        <f>IF(OR($Q239="",$R239=""),"",ROUND($Q239*$R239,0))</f>
        <v/>
      </c>
      <c r="T239" s="91">
        <f>IF(OR($Q239="",$S239=""),"",$Q239-$S239)</f>
        <v/>
      </c>
      <c r="U239" s="93">
        <f>IF($B239="","",IFERROR(INDEX(cal_JYear,MATCH($B239,cal_Key,0)),""))</f>
        <v/>
      </c>
      <c r="V239" s="93">
        <f>IF($B239="","",IFERROR(INDEX(cal_JMonth,MATCH($B239,cal_Key,0)),""))</f>
        <v/>
      </c>
      <c r="W239" s="94">
        <f>IF($B239="","",IFERROR(INDEX(cal_YM,MATCH($B239,cal_Key,0)),""))</f>
        <v/>
      </c>
      <c r="X239" s="94">
        <f>IF($B239="","",IFERROR(INDEX(cal_Season,MATCH($B239,cal_Key,0)),""))</f>
        <v/>
      </c>
      <c r="Y239" s="94">
        <f>IF($B239="","",IFERROR(INDEX(cal_Key,MATCH(INDEX(cal_Serial,MATCH($B239,cal_Key,0))+p_Due,cal_Serial,0)),""))</f>
        <v/>
      </c>
      <c r="Z239" s="95">
        <f>IF($B239="","",IF(OR($I239="پرداخت‌شده",$I239="ابطال"),"—",IFERROR(IF(INDEX(cal_Serial,MATCH($B239,cal_Key,0))+p_Due&lt;TODAY(),"بله","خیر"),"تاریخ نامعتبر")))</f>
        <v/>
      </c>
    </row>
    <row r="240" ht="20" customHeight="1">
      <c r="B240" s="86" t="n"/>
      <c r="C240" s="87" t="n"/>
      <c r="D240" s="87" t="n"/>
      <c r="E240" s="87" t="n"/>
      <c r="F240" s="88" t="n"/>
      <c r="G240" s="89" t="n"/>
      <c r="H240" s="90" t="n"/>
      <c r="I240" s="86" t="n"/>
      <c r="J240" s="87" t="n"/>
      <c r="K240" s="91">
        <f>IF($F240="","",$F240*IF($G240="",1,$G240))</f>
        <v/>
      </c>
      <c r="L240" s="92">
        <f>IFERROR(IF($D240="","",INDEX(t_Svc_Rate,MATCH($D240,lst_Service,0))),"")</f>
        <v/>
      </c>
      <c r="M240" s="92">
        <f>IF($L240="","",$L240*IF(p_TierMode="پلکانی",LOOKUP($K240,t_Tier_From,t_Tier_Rate),1))</f>
        <v/>
      </c>
      <c r="N240" s="91">
        <f>IF($K240="","",$K240*$M240)</f>
        <v/>
      </c>
      <c r="O240" s="91">
        <f>IF($N240="","",IF($I240="ابطال",0,MAX(p_Min,MIN(p_Max,$N240))))</f>
        <v/>
      </c>
      <c r="P240" s="91">
        <f>IF($O240="","",ROUND($O240*p_Tax,0))</f>
        <v/>
      </c>
      <c r="Q240" s="91">
        <f>IF($O240="","",$O240+$P240)</f>
        <v/>
      </c>
      <c r="R240" s="92">
        <f>IF($A240="","",IF($H240&lt;&gt;"",$H240,IFERROR(INDEX(t_Member_Share,MATCH($C240,t_Members,0)),p_DefaultShare)))</f>
        <v/>
      </c>
      <c r="S240" s="91">
        <f>IF(OR($Q240="",$R240=""),"",ROUND($Q240*$R240,0))</f>
        <v/>
      </c>
      <c r="T240" s="91">
        <f>IF(OR($Q240="",$S240=""),"",$Q240-$S240)</f>
        <v/>
      </c>
      <c r="U240" s="93">
        <f>IF($B240="","",IFERROR(INDEX(cal_JYear,MATCH($B240,cal_Key,0)),""))</f>
        <v/>
      </c>
      <c r="V240" s="93">
        <f>IF($B240="","",IFERROR(INDEX(cal_JMonth,MATCH($B240,cal_Key,0)),""))</f>
        <v/>
      </c>
      <c r="W240" s="94">
        <f>IF($B240="","",IFERROR(INDEX(cal_YM,MATCH($B240,cal_Key,0)),""))</f>
        <v/>
      </c>
      <c r="X240" s="94">
        <f>IF($B240="","",IFERROR(INDEX(cal_Season,MATCH($B240,cal_Key,0)),""))</f>
        <v/>
      </c>
      <c r="Y240" s="94">
        <f>IF($B240="","",IFERROR(INDEX(cal_Key,MATCH(INDEX(cal_Serial,MATCH($B240,cal_Key,0))+p_Due,cal_Serial,0)),""))</f>
        <v/>
      </c>
      <c r="Z240" s="95">
        <f>IF($B240="","",IF(OR($I240="پرداخت‌شده",$I240="ابطال"),"—",IFERROR(IF(INDEX(cal_Serial,MATCH($B240,cal_Key,0))+p_Due&lt;TODAY(),"بله","خیر"),"تاریخ نامعتبر")))</f>
        <v/>
      </c>
    </row>
    <row r="241" ht="20" customHeight="1">
      <c r="B241" s="86" t="n"/>
      <c r="C241" s="87" t="n"/>
      <c r="D241" s="87" t="n"/>
      <c r="E241" s="87" t="n"/>
      <c r="F241" s="88" t="n"/>
      <c r="G241" s="89" t="n"/>
      <c r="H241" s="90" t="n"/>
      <c r="I241" s="86" t="n"/>
      <c r="J241" s="87" t="n"/>
      <c r="K241" s="91">
        <f>IF($F241="","",$F241*IF($G241="",1,$G241))</f>
        <v/>
      </c>
      <c r="L241" s="92">
        <f>IFERROR(IF($D241="","",INDEX(t_Svc_Rate,MATCH($D241,lst_Service,0))),"")</f>
        <v/>
      </c>
      <c r="M241" s="92">
        <f>IF($L241="","",$L241*IF(p_TierMode="پلکانی",LOOKUP($K241,t_Tier_From,t_Tier_Rate),1))</f>
        <v/>
      </c>
      <c r="N241" s="91">
        <f>IF($K241="","",$K241*$M241)</f>
        <v/>
      </c>
      <c r="O241" s="91">
        <f>IF($N241="","",IF($I241="ابطال",0,MAX(p_Min,MIN(p_Max,$N241))))</f>
        <v/>
      </c>
      <c r="P241" s="91">
        <f>IF($O241="","",ROUND($O241*p_Tax,0))</f>
        <v/>
      </c>
      <c r="Q241" s="91">
        <f>IF($O241="","",$O241+$P241)</f>
        <v/>
      </c>
      <c r="R241" s="92">
        <f>IF($A241="","",IF($H241&lt;&gt;"",$H241,IFERROR(INDEX(t_Member_Share,MATCH($C241,t_Members,0)),p_DefaultShare)))</f>
        <v/>
      </c>
      <c r="S241" s="91">
        <f>IF(OR($Q241="",$R241=""),"",ROUND($Q241*$R241,0))</f>
        <v/>
      </c>
      <c r="T241" s="91">
        <f>IF(OR($Q241="",$S241=""),"",$Q241-$S241)</f>
        <v/>
      </c>
      <c r="U241" s="93">
        <f>IF($B241="","",IFERROR(INDEX(cal_JYear,MATCH($B241,cal_Key,0)),""))</f>
        <v/>
      </c>
      <c r="V241" s="93">
        <f>IF($B241="","",IFERROR(INDEX(cal_JMonth,MATCH($B241,cal_Key,0)),""))</f>
        <v/>
      </c>
      <c r="W241" s="94">
        <f>IF($B241="","",IFERROR(INDEX(cal_YM,MATCH($B241,cal_Key,0)),""))</f>
        <v/>
      </c>
      <c r="X241" s="94">
        <f>IF($B241="","",IFERROR(INDEX(cal_Season,MATCH($B241,cal_Key,0)),""))</f>
        <v/>
      </c>
      <c r="Y241" s="94">
        <f>IF($B241="","",IFERROR(INDEX(cal_Key,MATCH(INDEX(cal_Serial,MATCH($B241,cal_Key,0))+p_Due,cal_Serial,0)),""))</f>
        <v/>
      </c>
      <c r="Z241" s="95">
        <f>IF($B241="","",IF(OR($I241="پرداخت‌شده",$I241="ابطال"),"—",IFERROR(IF(INDEX(cal_Serial,MATCH($B241,cal_Key,0))+p_Due&lt;TODAY(),"بله","خیر"),"تاریخ نامعتبر")))</f>
        <v/>
      </c>
    </row>
    <row r="242" ht="20" customHeight="1">
      <c r="B242" s="86" t="n"/>
      <c r="C242" s="87" t="n"/>
      <c r="D242" s="87" t="n"/>
      <c r="E242" s="87" t="n"/>
      <c r="F242" s="88" t="n"/>
      <c r="G242" s="89" t="n"/>
      <c r="H242" s="90" t="n"/>
      <c r="I242" s="86" t="n"/>
      <c r="J242" s="87" t="n"/>
      <c r="K242" s="91">
        <f>IF($F242="","",$F242*IF($G242="",1,$G242))</f>
        <v/>
      </c>
      <c r="L242" s="92">
        <f>IFERROR(IF($D242="","",INDEX(t_Svc_Rate,MATCH($D242,lst_Service,0))),"")</f>
        <v/>
      </c>
      <c r="M242" s="92">
        <f>IF($L242="","",$L242*IF(p_TierMode="پلکانی",LOOKUP($K242,t_Tier_From,t_Tier_Rate),1))</f>
        <v/>
      </c>
      <c r="N242" s="91">
        <f>IF($K242="","",$K242*$M242)</f>
        <v/>
      </c>
      <c r="O242" s="91">
        <f>IF($N242="","",IF($I242="ابطال",0,MAX(p_Min,MIN(p_Max,$N242))))</f>
        <v/>
      </c>
      <c r="P242" s="91">
        <f>IF($O242="","",ROUND($O242*p_Tax,0))</f>
        <v/>
      </c>
      <c r="Q242" s="91">
        <f>IF($O242="","",$O242+$P242)</f>
        <v/>
      </c>
      <c r="R242" s="92">
        <f>IF($A242="","",IF($H242&lt;&gt;"",$H242,IFERROR(INDEX(t_Member_Share,MATCH($C242,t_Members,0)),p_DefaultShare)))</f>
        <v/>
      </c>
      <c r="S242" s="91">
        <f>IF(OR($Q242="",$R242=""),"",ROUND($Q242*$R242,0))</f>
        <v/>
      </c>
      <c r="T242" s="91">
        <f>IF(OR($Q242="",$S242=""),"",$Q242-$S242)</f>
        <v/>
      </c>
      <c r="U242" s="93">
        <f>IF($B242="","",IFERROR(INDEX(cal_JYear,MATCH($B242,cal_Key,0)),""))</f>
        <v/>
      </c>
      <c r="V242" s="93">
        <f>IF($B242="","",IFERROR(INDEX(cal_JMonth,MATCH($B242,cal_Key,0)),""))</f>
        <v/>
      </c>
      <c r="W242" s="94">
        <f>IF($B242="","",IFERROR(INDEX(cal_YM,MATCH($B242,cal_Key,0)),""))</f>
        <v/>
      </c>
      <c r="X242" s="94">
        <f>IF($B242="","",IFERROR(INDEX(cal_Season,MATCH($B242,cal_Key,0)),""))</f>
        <v/>
      </c>
      <c r="Y242" s="94">
        <f>IF($B242="","",IFERROR(INDEX(cal_Key,MATCH(INDEX(cal_Serial,MATCH($B242,cal_Key,0))+p_Due,cal_Serial,0)),""))</f>
        <v/>
      </c>
      <c r="Z242" s="95">
        <f>IF($B242="","",IF(OR($I242="پرداخت‌شده",$I242="ابطال"),"—",IFERROR(IF(INDEX(cal_Serial,MATCH($B242,cal_Key,0))+p_Due&lt;TODAY(),"بله","خیر"),"تاریخ نامعتبر")))</f>
        <v/>
      </c>
    </row>
    <row r="243" ht="20" customHeight="1">
      <c r="B243" s="86" t="n"/>
      <c r="C243" s="87" t="n"/>
      <c r="D243" s="87" t="n"/>
      <c r="E243" s="87" t="n"/>
      <c r="F243" s="88" t="n"/>
      <c r="G243" s="89" t="n"/>
      <c r="H243" s="90" t="n"/>
      <c r="I243" s="86" t="n"/>
      <c r="J243" s="87" t="n"/>
      <c r="K243" s="91">
        <f>IF($F243="","",$F243*IF($G243="",1,$G243))</f>
        <v/>
      </c>
      <c r="L243" s="92">
        <f>IFERROR(IF($D243="","",INDEX(t_Svc_Rate,MATCH($D243,lst_Service,0))),"")</f>
        <v/>
      </c>
      <c r="M243" s="92">
        <f>IF($L243="","",$L243*IF(p_TierMode="پلکانی",LOOKUP($K243,t_Tier_From,t_Tier_Rate),1))</f>
        <v/>
      </c>
      <c r="N243" s="91">
        <f>IF($K243="","",$K243*$M243)</f>
        <v/>
      </c>
      <c r="O243" s="91">
        <f>IF($N243="","",IF($I243="ابطال",0,MAX(p_Min,MIN(p_Max,$N243))))</f>
        <v/>
      </c>
      <c r="P243" s="91">
        <f>IF($O243="","",ROUND($O243*p_Tax,0))</f>
        <v/>
      </c>
      <c r="Q243" s="91">
        <f>IF($O243="","",$O243+$P243)</f>
        <v/>
      </c>
      <c r="R243" s="92">
        <f>IF($A243="","",IF($H243&lt;&gt;"",$H243,IFERROR(INDEX(t_Member_Share,MATCH($C243,t_Members,0)),p_DefaultShare)))</f>
        <v/>
      </c>
      <c r="S243" s="91">
        <f>IF(OR($Q243="",$R243=""),"",ROUND($Q243*$R243,0))</f>
        <v/>
      </c>
      <c r="T243" s="91">
        <f>IF(OR($Q243="",$S243=""),"",$Q243-$S243)</f>
        <v/>
      </c>
      <c r="U243" s="93">
        <f>IF($B243="","",IFERROR(INDEX(cal_JYear,MATCH($B243,cal_Key,0)),""))</f>
        <v/>
      </c>
      <c r="V243" s="93">
        <f>IF($B243="","",IFERROR(INDEX(cal_JMonth,MATCH($B243,cal_Key,0)),""))</f>
        <v/>
      </c>
      <c r="W243" s="94">
        <f>IF($B243="","",IFERROR(INDEX(cal_YM,MATCH($B243,cal_Key,0)),""))</f>
        <v/>
      </c>
      <c r="X243" s="94">
        <f>IF($B243="","",IFERROR(INDEX(cal_Season,MATCH($B243,cal_Key,0)),""))</f>
        <v/>
      </c>
      <c r="Y243" s="94">
        <f>IF($B243="","",IFERROR(INDEX(cal_Key,MATCH(INDEX(cal_Serial,MATCH($B243,cal_Key,0))+p_Due,cal_Serial,0)),""))</f>
        <v/>
      </c>
      <c r="Z243" s="95">
        <f>IF($B243="","",IF(OR($I243="پرداخت‌شده",$I243="ابطال"),"—",IFERROR(IF(INDEX(cal_Serial,MATCH($B243,cal_Key,0))+p_Due&lt;TODAY(),"بله","خیر"),"تاریخ نامعتبر")))</f>
        <v/>
      </c>
    </row>
    <row r="244" ht="20" customHeight="1">
      <c r="B244" s="86" t="n"/>
      <c r="C244" s="87" t="n"/>
      <c r="D244" s="87" t="n"/>
      <c r="E244" s="87" t="n"/>
      <c r="F244" s="88" t="n"/>
      <c r="G244" s="89" t="n"/>
      <c r="H244" s="90" t="n"/>
      <c r="I244" s="86" t="n"/>
      <c r="J244" s="87" t="n"/>
      <c r="K244" s="91">
        <f>IF($F244="","",$F244*IF($G244="",1,$G244))</f>
        <v/>
      </c>
      <c r="L244" s="92">
        <f>IFERROR(IF($D244="","",INDEX(t_Svc_Rate,MATCH($D244,lst_Service,0))),"")</f>
        <v/>
      </c>
      <c r="M244" s="92">
        <f>IF($L244="","",$L244*IF(p_TierMode="پلکانی",LOOKUP($K244,t_Tier_From,t_Tier_Rate),1))</f>
        <v/>
      </c>
      <c r="N244" s="91">
        <f>IF($K244="","",$K244*$M244)</f>
        <v/>
      </c>
      <c r="O244" s="91">
        <f>IF($N244="","",IF($I244="ابطال",0,MAX(p_Min,MIN(p_Max,$N244))))</f>
        <v/>
      </c>
      <c r="P244" s="91">
        <f>IF($O244="","",ROUND($O244*p_Tax,0))</f>
        <v/>
      </c>
      <c r="Q244" s="91">
        <f>IF($O244="","",$O244+$P244)</f>
        <v/>
      </c>
      <c r="R244" s="92">
        <f>IF($A244="","",IF($H244&lt;&gt;"",$H244,IFERROR(INDEX(t_Member_Share,MATCH($C244,t_Members,0)),p_DefaultShare)))</f>
        <v/>
      </c>
      <c r="S244" s="91">
        <f>IF(OR($Q244="",$R244=""),"",ROUND($Q244*$R244,0))</f>
        <v/>
      </c>
      <c r="T244" s="91">
        <f>IF(OR($Q244="",$S244=""),"",$Q244-$S244)</f>
        <v/>
      </c>
      <c r="U244" s="93">
        <f>IF($B244="","",IFERROR(INDEX(cal_JYear,MATCH($B244,cal_Key,0)),""))</f>
        <v/>
      </c>
      <c r="V244" s="93">
        <f>IF($B244="","",IFERROR(INDEX(cal_JMonth,MATCH($B244,cal_Key,0)),""))</f>
        <v/>
      </c>
      <c r="W244" s="94">
        <f>IF($B244="","",IFERROR(INDEX(cal_YM,MATCH($B244,cal_Key,0)),""))</f>
        <v/>
      </c>
      <c r="X244" s="94">
        <f>IF($B244="","",IFERROR(INDEX(cal_Season,MATCH($B244,cal_Key,0)),""))</f>
        <v/>
      </c>
      <c r="Y244" s="94">
        <f>IF($B244="","",IFERROR(INDEX(cal_Key,MATCH(INDEX(cal_Serial,MATCH($B244,cal_Key,0))+p_Due,cal_Serial,0)),""))</f>
        <v/>
      </c>
      <c r="Z244" s="95">
        <f>IF($B244="","",IF(OR($I244="پرداخت‌شده",$I244="ابطال"),"—",IFERROR(IF(INDEX(cal_Serial,MATCH($B244,cal_Key,0))+p_Due&lt;TODAY(),"بله","خیر"),"تاریخ نامعتبر")))</f>
        <v/>
      </c>
    </row>
    <row r="245" ht="20" customHeight="1">
      <c r="B245" s="86" t="n"/>
      <c r="C245" s="87" t="n"/>
      <c r="D245" s="87" t="n"/>
      <c r="E245" s="87" t="n"/>
      <c r="F245" s="88" t="n"/>
      <c r="G245" s="89" t="n"/>
      <c r="H245" s="90" t="n"/>
      <c r="I245" s="86" t="n"/>
      <c r="J245" s="87" t="n"/>
      <c r="K245" s="91">
        <f>IF($F245="","",$F245*IF($G245="",1,$G245))</f>
        <v/>
      </c>
      <c r="L245" s="92">
        <f>IFERROR(IF($D245="","",INDEX(t_Svc_Rate,MATCH($D245,lst_Service,0))),"")</f>
        <v/>
      </c>
      <c r="M245" s="92">
        <f>IF($L245="","",$L245*IF(p_TierMode="پلکانی",LOOKUP($K245,t_Tier_From,t_Tier_Rate),1))</f>
        <v/>
      </c>
      <c r="N245" s="91">
        <f>IF($K245="","",$K245*$M245)</f>
        <v/>
      </c>
      <c r="O245" s="91">
        <f>IF($N245="","",IF($I245="ابطال",0,MAX(p_Min,MIN(p_Max,$N245))))</f>
        <v/>
      </c>
      <c r="P245" s="91">
        <f>IF($O245="","",ROUND($O245*p_Tax,0))</f>
        <v/>
      </c>
      <c r="Q245" s="91">
        <f>IF($O245="","",$O245+$P245)</f>
        <v/>
      </c>
      <c r="R245" s="92">
        <f>IF($A245="","",IF($H245&lt;&gt;"",$H245,IFERROR(INDEX(t_Member_Share,MATCH($C245,t_Members,0)),p_DefaultShare)))</f>
        <v/>
      </c>
      <c r="S245" s="91">
        <f>IF(OR($Q245="",$R245=""),"",ROUND($Q245*$R245,0))</f>
        <v/>
      </c>
      <c r="T245" s="91">
        <f>IF(OR($Q245="",$S245=""),"",$Q245-$S245)</f>
        <v/>
      </c>
      <c r="U245" s="93">
        <f>IF($B245="","",IFERROR(INDEX(cal_JYear,MATCH($B245,cal_Key,0)),""))</f>
        <v/>
      </c>
      <c r="V245" s="93">
        <f>IF($B245="","",IFERROR(INDEX(cal_JMonth,MATCH($B245,cal_Key,0)),""))</f>
        <v/>
      </c>
      <c r="W245" s="94">
        <f>IF($B245="","",IFERROR(INDEX(cal_YM,MATCH($B245,cal_Key,0)),""))</f>
        <v/>
      </c>
      <c r="X245" s="94">
        <f>IF($B245="","",IFERROR(INDEX(cal_Season,MATCH($B245,cal_Key,0)),""))</f>
        <v/>
      </c>
      <c r="Y245" s="94">
        <f>IF($B245="","",IFERROR(INDEX(cal_Key,MATCH(INDEX(cal_Serial,MATCH($B245,cal_Key,0))+p_Due,cal_Serial,0)),""))</f>
        <v/>
      </c>
      <c r="Z245" s="95">
        <f>IF($B245="","",IF(OR($I245="پرداخت‌شده",$I245="ابطال"),"—",IFERROR(IF(INDEX(cal_Serial,MATCH($B245,cal_Key,0))+p_Due&lt;TODAY(),"بله","خیر"),"تاریخ نامعتبر")))</f>
        <v/>
      </c>
    </row>
    <row r="246" ht="20" customHeight="1">
      <c r="B246" s="86" t="n"/>
      <c r="C246" s="87" t="n"/>
      <c r="D246" s="87" t="n"/>
      <c r="E246" s="87" t="n"/>
      <c r="F246" s="88" t="n"/>
      <c r="G246" s="89" t="n"/>
      <c r="H246" s="90" t="n"/>
      <c r="I246" s="86" t="n"/>
      <c r="J246" s="87" t="n"/>
      <c r="K246" s="91">
        <f>IF($F246="","",$F246*IF($G246="",1,$G246))</f>
        <v/>
      </c>
      <c r="L246" s="92">
        <f>IFERROR(IF($D246="","",INDEX(t_Svc_Rate,MATCH($D246,lst_Service,0))),"")</f>
        <v/>
      </c>
      <c r="M246" s="92">
        <f>IF($L246="","",$L246*IF(p_TierMode="پلکانی",LOOKUP($K246,t_Tier_From,t_Tier_Rate),1))</f>
        <v/>
      </c>
      <c r="N246" s="91">
        <f>IF($K246="","",$K246*$M246)</f>
        <v/>
      </c>
      <c r="O246" s="91">
        <f>IF($N246="","",IF($I246="ابطال",0,MAX(p_Min,MIN(p_Max,$N246))))</f>
        <v/>
      </c>
      <c r="P246" s="91">
        <f>IF($O246="","",ROUND($O246*p_Tax,0))</f>
        <v/>
      </c>
      <c r="Q246" s="91">
        <f>IF($O246="","",$O246+$P246)</f>
        <v/>
      </c>
      <c r="R246" s="92">
        <f>IF($A246="","",IF($H246&lt;&gt;"",$H246,IFERROR(INDEX(t_Member_Share,MATCH($C246,t_Members,0)),p_DefaultShare)))</f>
        <v/>
      </c>
      <c r="S246" s="91">
        <f>IF(OR($Q246="",$R246=""),"",ROUND($Q246*$R246,0))</f>
        <v/>
      </c>
      <c r="T246" s="91">
        <f>IF(OR($Q246="",$S246=""),"",$Q246-$S246)</f>
        <v/>
      </c>
      <c r="U246" s="93">
        <f>IF($B246="","",IFERROR(INDEX(cal_JYear,MATCH($B246,cal_Key,0)),""))</f>
        <v/>
      </c>
      <c r="V246" s="93">
        <f>IF($B246="","",IFERROR(INDEX(cal_JMonth,MATCH($B246,cal_Key,0)),""))</f>
        <v/>
      </c>
      <c r="W246" s="94">
        <f>IF($B246="","",IFERROR(INDEX(cal_YM,MATCH($B246,cal_Key,0)),""))</f>
        <v/>
      </c>
      <c r="X246" s="94">
        <f>IF($B246="","",IFERROR(INDEX(cal_Season,MATCH($B246,cal_Key,0)),""))</f>
        <v/>
      </c>
      <c r="Y246" s="94">
        <f>IF($B246="","",IFERROR(INDEX(cal_Key,MATCH(INDEX(cal_Serial,MATCH($B246,cal_Key,0))+p_Due,cal_Serial,0)),""))</f>
        <v/>
      </c>
      <c r="Z246" s="95">
        <f>IF($B246="","",IF(OR($I246="پرداخت‌شده",$I246="ابطال"),"—",IFERROR(IF(INDEX(cal_Serial,MATCH($B246,cal_Key,0))+p_Due&lt;TODAY(),"بله","خیر"),"تاریخ نامعتبر")))</f>
        <v/>
      </c>
    </row>
    <row r="247" ht="20" customHeight="1">
      <c r="B247" s="86" t="n"/>
      <c r="C247" s="87" t="n"/>
      <c r="D247" s="87" t="n"/>
      <c r="E247" s="87" t="n"/>
      <c r="F247" s="88" t="n"/>
      <c r="G247" s="89" t="n"/>
      <c r="H247" s="90" t="n"/>
      <c r="I247" s="86" t="n"/>
      <c r="J247" s="87" t="n"/>
      <c r="K247" s="91">
        <f>IF($F247="","",$F247*IF($G247="",1,$G247))</f>
        <v/>
      </c>
      <c r="L247" s="92">
        <f>IFERROR(IF($D247="","",INDEX(t_Svc_Rate,MATCH($D247,lst_Service,0))),"")</f>
        <v/>
      </c>
      <c r="M247" s="92">
        <f>IF($L247="","",$L247*IF(p_TierMode="پلکانی",LOOKUP($K247,t_Tier_From,t_Tier_Rate),1))</f>
        <v/>
      </c>
      <c r="N247" s="91">
        <f>IF($K247="","",$K247*$M247)</f>
        <v/>
      </c>
      <c r="O247" s="91">
        <f>IF($N247="","",IF($I247="ابطال",0,MAX(p_Min,MIN(p_Max,$N247))))</f>
        <v/>
      </c>
      <c r="P247" s="91">
        <f>IF($O247="","",ROUND($O247*p_Tax,0))</f>
        <v/>
      </c>
      <c r="Q247" s="91">
        <f>IF($O247="","",$O247+$P247)</f>
        <v/>
      </c>
      <c r="R247" s="92">
        <f>IF($A247="","",IF($H247&lt;&gt;"",$H247,IFERROR(INDEX(t_Member_Share,MATCH($C247,t_Members,0)),p_DefaultShare)))</f>
        <v/>
      </c>
      <c r="S247" s="91">
        <f>IF(OR($Q247="",$R247=""),"",ROUND($Q247*$R247,0))</f>
        <v/>
      </c>
      <c r="T247" s="91">
        <f>IF(OR($Q247="",$S247=""),"",$Q247-$S247)</f>
        <v/>
      </c>
      <c r="U247" s="93">
        <f>IF($B247="","",IFERROR(INDEX(cal_JYear,MATCH($B247,cal_Key,0)),""))</f>
        <v/>
      </c>
      <c r="V247" s="93">
        <f>IF($B247="","",IFERROR(INDEX(cal_JMonth,MATCH($B247,cal_Key,0)),""))</f>
        <v/>
      </c>
      <c r="W247" s="94">
        <f>IF($B247="","",IFERROR(INDEX(cal_YM,MATCH($B247,cal_Key,0)),""))</f>
        <v/>
      </c>
      <c r="X247" s="94">
        <f>IF($B247="","",IFERROR(INDEX(cal_Season,MATCH($B247,cal_Key,0)),""))</f>
        <v/>
      </c>
      <c r="Y247" s="94">
        <f>IF($B247="","",IFERROR(INDEX(cal_Key,MATCH(INDEX(cal_Serial,MATCH($B247,cal_Key,0))+p_Due,cal_Serial,0)),""))</f>
        <v/>
      </c>
      <c r="Z247" s="95">
        <f>IF($B247="","",IF(OR($I247="پرداخت‌شده",$I247="ابطال"),"—",IFERROR(IF(INDEX(cal_Serial,MATCH($B247,cal_Key,0))+p_Due&lt;TODAY(),"بله","خیر"),"تاریخ نامعتبر")))</f>
        <v/>
      </c>
    </row>
    <row r="248" ht="20" customHeight="1">
      <c r="B248" s="86" t="n"/>
      <c r="C248" s="87" t="n"/>
      <c r="D248" s="87" t="n"/>
      <c r="E248" s="87" t="n"/>
      <c r="F248" s="88" t="n"/>
      <c r="G248" s="89" t="n"/>
      <c r="H248" s="90" t="n"/>
      <c r="I248" s="86" t="n"/>
      <c r="J248" s="87" t="n"/>
      <c r="K248" s="91">
        <f>IF($F248="","",$F248*IF($G248="",1,$G248))</f>
        <v/>
      </c>
      <c r="L248" s="92">
        <f>IFERROR(IF($D248="","",INDEX(t_Svc_Rate,MATCH($D248,lst_Service,0))),"")</f>
        <v/>
      </c>
      <c r="M248" s="92">
        <f>IF($L248="","",$L248*IF(p_TierMode="پلکانی",LOOKUP($K248,t_Tier_From,t_Tier_Rate),1))</f>
        <v/>
      </c>
      <c r="N248" s="91">
        <f>IF($K248="","",$K248*$M248)</f>
        <v/>
      </c>
      <c r="O248" s="91">
        <f>IF($N248="","",IF($I248="ابطال",0,MAX(p_Min,MIN(p_Max,$N248))))</f>
        <v/>
      </c>
      <c r="P248" s="91">
        <f>IF($O248="","",ROUND($O248*p_Tax,0))</f>
        <v/>
      </c>
      <c r="Q248" s="91">
        <f>IF($O248="","",$O248+$P248)</f>
        <v/>
      </c>
      <c r="R248" s="92">
        <f>IF($A248="","",IF($H248&lt;&gt;"",$H248,IFERROR(INDEX(t_Member_Share,MATCH($C248,t_Members,0)),p_DefaultShare)))</f>
        <v/>
      </c>
      <c r="S248" s="91">
        <f>IF(OR($Q248="",$R248=""),"",ROUND($Q248*$R248,0))</f>
        <v/>
      </c>
      <c r="T248" s="91">
        <f>IF(OR($Q248="",$S248=""),"",$Q248-$S248)</f>
        <v/>
      </c>
      <c r="U248" s="93">
        <f>IF($B248="","",IFERROR(INDEX(cal_JYear,MATCH($B248,cal_Key,0)),""))</f>
        <v/>
      </c>
      <c r="V248" s="93">
        <f>IF($B248="","",IFERROR(INDEX(cal_JMonth,MATCH($B248,cal_Key,0)),""))</f>
        <v/>
      </c>
      <c r="W248" s="94">
        <f>IF($B248="","",IFERROR(INDEX(cal_YM,MATCH($B248,cal_Key,0)),""))</f>
        <v/>
      </c>
      <c r="X248" s="94">
        <f>IF($B248="","",IFERROR(INDEX(cal_Season,MATCH($B248,cal_Key,0)),""))</f>
        <v/>
      </c>
      <c r="Y248" s="94">
        <f>IF($B248="","",IFERROR(INDEX(cal_Key,MATCH(INDEX(cal_Serial,MATCH($B248,cal_Key,0))+p_Due,cal_Serial,0)),""))</f>
        <v/>
      </c>
      <c r="Z248" s="95">
        <f>IF($B248="","",IF(OR($I248="پرداخت‌شده",$I248="ابطال"),"—",IFERROR(IF(INDEX(cal_Serial,MATCH($B248,cal_Key,0))+p_Due&lt;TODAY(),"بله","خیر"),"تاریخ نامعتبر")))</f>
        <v/>
      </c>
    </row>
    <row r="249" ht="20" customHeight="1">
      <c r="B249" s="86" t="n"/>
      <c r="C249" s="87" t="n"/>
      <c r="D249" s="87" t="n"/>
      <c r="E249" s="87" t="n"/>
      <c r="F249" s="88" t="n"/>
      <c r="G249" s="89" t="n"/>
      <c r="H249" s="90" t="n"/>
      <c r="I249" s="86" t="n"/>
      <c r="J249" s="87" t="n"/>
      <c r="K249" s="91">
        <f>IF($F249="","",$F249*IF($G249="",1,$G249))</f>
        <v/>
      </c>
      <c r="L249" s="92">
        <f>IFERROR(IF($D249="","",INDEX(t_Svc_Rate,MATCH($D249,lst_Service,0))),"")</f>
        <v/>
      </c>
      <c r="M249" s="92">
        <f>IF($L249="","",$L249*IF(p_TierMode="پلکانی",LOOKUP($K249,t_Tier_From,t_Tier_Rate),1))</f>
        <v/>
      </c>
      <c r="N249" s="91">
        <f>IF($K249="","",$K249*$M249)</f>
        <v/>
      </c>
      <c r="O249" s="91">
        <f>IF($N249="","",IF($I249="ابطال",0,MAX(p_Min,MIN(p_Max,$N249))))</f>
        <v/>
      </c>
      <c r="P249" s="91">
        <f>IF($O249="","",ROUND($O249*p_Tax,0))</f>
        <v/>
      </c>
      <c r="Q249" s="91">
        <f>IF($O249="","",$O249+$P249)</f>
        <v/>
      </c>
      <c r="R249" s="92">
        <f>IF($A249="","",IF($H249&lt;&gt;"",$H249,IFERROR(INDEX(t_Member_Share,MATCH($C249,t_Members,0)),p_DefaultShare)))</f>
        <v/>
      </c>
      <c r="S249" s="91">
        <f>IF(OR($Q249="",$R249=""),"",ROUND($Q249*$R249,0))</f>
        <v/>
      </c>
      <c r="T249" s="91">
        <f>IF(OR($Q249="",$S249=""),"",$Q249-$S249)</f>
        <v/>
      </c>
      <c r="U249" s="93">
        <f>IF($B249="","",IFERROR(INDEX(cal_JYear,MATCH($B249,cal_Key,0)),""))</f>
        <v/>
      </c>
      <c r="V249" s="93">
        <f>IF($B249="","",IFERROR(INDEX(cal_JMonth,MATCH($B249,cal_Key,0)),""))</f>
        <v/>
      </c>
      <c r="W249" s="94">
        <f>IF($B249="","",IFERROR(INDEX(cal_YM,MATCH($B249,cal_Key,0)),""))</f>
        <v/>
      </c>
      <c r="X249" s="94">
        <f>IF($B249="","",IFERROR(INDEX(cal_Season,MATCH($B249,cal_Key,0)),""))</f>
        <v/>
      </c>
      <c r="Y249" s="94">
        <f>IF($B249="","",IFERROR(INDEX(cal_Key,MATCH(INDEX(cal_Serial,MATCH($B249,cal_Key,0))+p_Due,cal_Serial,0)),""))</f>
        <v/>
      </c>
      <c r="Z249" s="95">
        <f>IF($B249="","",IF(OR($I249="پرداخت‌شده",$I249="ابطال"),"—",IFERROR(IF(INDEX(cal_Serial,MATCH($B249,cal_Key,0))+p_Due&lt;TODAY(),"بله","خیر"),"تاریخ نامعتبر")))</f>
        <v/>
      </c>
    </row>
    <row r="250" ht="20" customHeight="1">
      <c r="B250" s="86" t="n"/>
      <c r="C250" s="87" t="n"/>
      <c r="D250" s="87" t="n"/>
      <c r="E250" s="87" t="n"/>
      <c r="F250" s="88" t="n"/>
      <c r="G250" s="89" t="n"/>
      <c r="H250" s="90" t="n"/>
      <c r="I250" s="86" t="n"/>
      <c r="J250" s="87" t="n"/>
      <c r="K250" s="91">
        <f>IF($F250="","",$F250*IF($G250="",1,$G250))</f>
        <v/>
      </c>
      <c r="L250" s="92">
        <f>IFERROR(IF($D250="","",INDEX(t_Svc_Rate,MATCH($D250,lst_Service,0))),"")</f>
        <v/>
      </c>
      <c r="M250" s="92">
        <f>IF($L250="","",$L250*IF(p_TierMode="پلکانی",LOOKUP($K250,t_Tier_From,t_Tier_Rate),1))</f>
        <v/>
      </c>
      <c r="N250" s="91">
        <f>IF($K250="","",$K250*$M250)</f>
        <v/>
      </c>
      <c r="O250" s="91">
        <f>IF($N250="","",IF($I250="ابطال",0,MAX(p_Min,MIN(p_Max,$N250))))</f>
        <v/>
      </c>
      <c r="P250" s="91">
        <f>IF($O250="","",ROUND($O250*p_Tax,0))</f>
        <v/>
      </c>
      <c r="Q250" s="91">
        <f>IF($O250="","",$O250+$P250)</f>
        <v/>
      </c>
      <c r="R250" s="92">
        <f>IF($A250="","",IF($H250&lt;&gt;"",$H250,IFERROR(INDEX(t_Member_Share,MATCH($C250,t_Members,0)),p_DefaultShare)))</f>
        <v/>
      </c>
      <c r="S250" s="91">
        <f>IF(OR($Q250="",$R250=""),"",ROUND($Q250*$R250,0))</f>
        <v/>
      </c>
      <c r="T250" s="91">
        <f>IF(OR($Q250="",$S250=""),"",$Q250-$S250)</f>
        <v/>
      </c>
      <c r="U250" s="93">
        <f>IF($B250="","",IFERROR(INDEX(cal_JYear,MATCH($B250,cal_Key,0)),""))</f>
        <v/>
      </c>
      <c r="V250" s="93">
        <f>IF($B250="","",IFERROR(INDEX(cal_JMonth,MATCH($B250,cal_Key,0)),""))</f>
        <v/>
      </c>
      <c r="W250" s="94">
        <f>IF($B250="","",IFERROR(INDEX(cal_YM,MATCH($B250,cal_Key,0)),""))</f>
        <v/>
      </c>
      <c r="X250" s="94">
        <f>IF($B250="","",IFERROR(INDEX(cal_Season,MATCH($B250,cal_Key,0)),""))</f>
        <v/>
      </c>
      <c r="Y250" s="94">
        <f>IF($B250="","",IFERROR(INDEX(cal_Key,MATCH(INDEX(cal_Serial,MATCH($B250,cal_Key,0))+p_Due,cal_Serial,0)),""))</f>
        <v/>
      </c>
      <c r="Z250" s="95">
        <f>IF($B250="","",IF(OR($I250="پرداخت‌شده",$I250="ابطال"),"—",IFERROR(IF(INDEX(cal_Serial,MATCH($B250,cal_Key,0))+p_Due&lt;TODAY(),"بله","خیر"),"تاریخ نامعتبر")))</f>
        <v/>
      </c>
    </row>
    <row r="251" ht="20" customHeight="1">
      <c r="B251" s="86" t="n"/>
      <c r="C251" s="87" t="n"/>
      <c r="D251" s="87" t="n"/>
      <c r="E251" s="87" t="n"/>
      <c r="F251" s="88" t="n"/>
      <c r="G251" s="89" t="n"/>
      <c r="H251" s="90" t="n"/>
      <c r="I251" s="86" t="n"/>
      <c r="J251" s="87" t="n"/>
      <c r="K251" s="91">
        <f>IF($F251="","",$F251*IF($G251="",1,$G251))</f>
        <v/>
      </c>
      <c r="L251" s="92">
        <f>IFERROR(IF($D251="","",INDEX(t_Svc_Rate,MATCH($D251,lst_Service,0))),"")</f>
        <v/>
      </c>
      <c r="M251" s="92">
        <f>IF($L251="","",$L251*IF(p_TierMode="پلکانی",LOOKUP($K251,t_Tier_From,t_Tier_Rate),1))</f>
        <v/>
      </c>
      <c r="N251" s="91">
        <f>IF($K251="","",$K251*$M251)</f>
        <v/>
      </c>
      <c r="O251" s="91">
        <f>IF($N251="","",IF($I251="ابطال",0,MAX(p_Min,MIN(p_Max,$N251))))</f>
        <v/>
      </c>
      <c r="P251" s="91">
        <f>IF($O251="","",ROUND($O251*p_Tax,0))</f>
        <v/>
      </c>
      <c r="Q251" s="91">
        <f>IF($O251="","",$O251+$P251)</f>
        <v/>
      </c>
      <c r="R251" s="92">
        <f>IF($A251="","",IF($H251&lt;&gt;"",$H251,IFERROR(INDEX(t_Member_Share,MATCH($C251,t_Members,0)),p_DefaultShare)))</f>
        <v/>
      </c>
      <c r="S251" s="91">
        <f>IF(OR($Q251="",$R251=""),"",ROUND($Q251*$R251,0))</f>
        <v/>
      </c>
      <c r="T251" s="91">
        <f>IF(OR($Q251="",$S251=""),"",$Q251-$S251)</f>
        <v/>
      </c>
      <c r="U251" s="93">
        <f>IF($B251="","",IFERROR(INDEX(cal_JYear,MATCH($B251,cal_Key,0)),""))</f>
        <v/>
      </c>
      <c r="V251" s="93">
        <f>IF($B251="","",IFERROR(INDEX(cal_JMonth,MATCH($B251,cal_Key,0)),""))</f>
        <v/>
      </c>
      <c r="W251" s="94">
        <f>IF($B251="","",IFERROR(INDEX(cal_YM,MATCH($B251,cal_Key,0)),""))</f>
        <v/>
      </c>
      <c r="X251" s="94">
        <f>IF($B251="","",IFERROR(INDEX(cal_Season,MATCH($B251,cal_Key,0)),""))</f>
        <v/>
      </c>
      <c r="Y251" s="94">
        <f>IF($B251="","",IFERROR(INDEX(cal_Key,MATCH(INDEX(cal_Serial,MATCH($B251,cal_Key,0))+p_Due,cal_Serial,0)),""))</f>
        <v/>
      </c>
      <c r="Z251" s="95">
        <f>IF($B251="","",IF(OR($I251="پرداخت‌شده",$I251="ابطال"),"—",IFERROR(IF(INDEX(cal_Serial,MATCH($B251,cal_Key,0))+p_Due&lt;TODAY(),"بله","خیر"),"تاریخ نامعتبر")))</f>
        <v/>
      </c>
    </row>
    <row r="252" ht="20" customHeight="1">
      <c r="B252" s="86" t="n"/>
      <c r="C252" s="87" t="n"/>
      <c r="D252" s="87" t="n"/>
      <c r="E252" s="87" t="n"/>
      <c r="F252" s="88" t="n"/>
      <c r="G252" s="89" t="n"/>
      <c r="H252" s="90" t="n"/>
      <c r="I252" s="86" t="n"/>
      <c r="J252" s="87" t="n"/>
      <c r="K252" s="91">
        <f>IF($F252="","",$F252*IF($G252="",1,$G252))</f>
        <v/>
      </c>
      <c r="L252" s="92">
        <f>IFERROR(IF($D252="","",INDEX(t_Svc_Rate,MATCH($D252,lst_Service,0))),"")</f>
        <v/>
      </c>
      <c r="M252" s="92">
        <f>IF($L252="","",$L252*IF(p_TierMode="پلکانی",LOOKUP($K252,t_Tier_From,t_Tier_Rate),1))</f>
        <v/>
      </c>
      <c r="N252" s="91">
        <f>IF($K252="","",$K252*$M252)</f>
        <v/>
      </c>
      <c r="O252" s="91">
        <f>IF($N252="","",IF($I252="ابطال",0,MAX(p_Min,MIN(p_Max,$N252))))</f>
        <v/>
      </c>
      <c r="P252" s="91">
        <f>IF($O252="","",ROUND($O252*p_Tax,0))</f>
        <v/>
      </c>
      <c r="Q252" s="91">
        <f>IF($O252="","",$O252+$P252)</f>
        <v/>
      </c>
      <c r="R252" s="92">
        <f>IF($A252="","",IF($H252&lt;&gt;"",$H252,IFERROR(INDEX(t_Member_Share,MATCH($C252,t_Members,0)),p_DefaultShare)))</f>
        <v/>
      </c>
      <c r="S252" s="91">
        <f>IF(OR($Q252="",$R252=""),"",ROUND($Q252*$R252,0))</f>
        <v/>
      </c>
      <c r="T252" s="91">
        <f>IF(OR($Q252="",$S252=""),"",$Q252-$S252)</f>
        <v/>
      </c>
      <c r="U252" s="93">
        <f>IF($B252="","",IFERROR(INDEX(cal_JYear,MATCH($B252,cal_Key,0)),""))</f>
        <v/>
      </c>
      <c r="V252" s="93">
        <f>IF($B252="","",IFERROR(INDEX(cal_JMonth,MATCH($B252,cal_Key,0)),""))</f>
        <v/>
      </c>
      <c r="W252" s="94">
        <f>IF($B252="","",IFERROR(INDEX(cal_YM,MATCH($B252,cal_Key,0)),""))</f>
        <v/>
      </c>
      <c r="X252" s="94">
        <f>IF($B252="","",IFERROR(INDEX(cal_Season,MATCH($B252,cal_Key,0)),""))</f>
        <v/>
      </c>
      <c r="Y252" s="94">
        <f>IF($B252="","",IFERROR(INDEX(cal_Key,MATCH(INDEX(cal_Serial,MATCH($B252,cal_Key,0))+p_Due,cal_Serial,0)),""))</f>
        <v/>
      </c>
      <c r="Z252" s="95">
        <f>IF($B252="","",IF(OR($I252="پرداخت‌شده",$I252="ابطال"),"—",IFERROR(IF(INDEX(cal_Serial,MATCH($B252,cal_Key,0))+p_Due&lt;TODAY(),"بله","خیر"),"تاریخ نامعتبر")))</f>
        <v/>
      </c>
    </row>
    <row r="253" ht="20" customHeight="1">
      <c r="B253" s="86" t="n"/>
      <c r="C253" s="87" t="n"/>
      <c r="D253" s="87" t="n"/>
      <c r="E253" s="87" t="n"/>
      <c r="F253" s="88" t="n"/>
      <c r="G253" s="89" t="n"/>
      <c r="H253" s="90" t="n"/>
      <c r="I253" s="86" t="n"/>
      <c r="J253" s="87" t="n"/>
      <c r="K253" s="91">
        <f>IF($F253="","",$F253*IF($G253="",1,$G253))</f>
        <v/>
      </c>
      <c r="L253" s="92">
        <f>IFERROR(IF($D253="","",INDEX(t_Svc_Rate,MATCH($D253,lst_Service,0))),"")</f>
        <v/>
      </c>
      <c r="M253" s="92">
        <f>IF($L253="","",$L253*IF(p_TierMode="پلکانی",LOOKUP($K253,t_Tier_From,t_Tier_Rate),1))</f>
        <v/>
      </c>
      <c r="N253" s="91">
        <f>IF($K253="","",$K253*$M253)</f>
        <v/>
      </c>
      <c r="O253" s="91">
        <f>IF($N253="","",IF($I253="ابطال",0,MAX(p_Min,MIN(p_Max,$N253))))</f>
        <v/>
      </c>
      <c r="P253" s="91">
        <f>IF($O253="","",ROUND($O253*p_Tax,0))</f>
        <v/>
      </c>
      <c r="Q253" s="91">
        <f>IF($O253="","",$O253+$P253)</f>
        <v/>
      </c>
      <c r="R253" s="92">
        <f>IF($A253="","",IF($H253&lt;&gt;"",$H253,IFERROR(INDEX(t_Member_Share,MATCH($C253,t_Members,0)),p_DefaultShare)))</f>
        <v/>
      </c>
      <c r="S253" s="91">
        <f>IF(OR($Q253="",$R253=""),"",ROUND($Q253*$R253,0))</f>
        <v/>
      </c>
      <c r="T253" s="91">
        <f>IF(OR($Q253="",$S253=""),"",$Q253-$S253)</f>
        <v/>
      </c>
      <c r="U253" s="93">
        <f>IF($B253="","",IFERROR(INDEX(cal_JYear,MATCH($B253,cal_Key,0)),""))</f>
        <v/>
      </c>
      <c r="V253" s="93">
        <f>IF($B253="","",IFERROR(INDEX(cal_JMonth,MATCH($B253,cal_Key,0)),""))</f>
        <v/>
      </c>
      <c r="W253" s="94">
        <f>IF($B253="","",IFERROR(INDEX(cal_YM,MATCH($B253,cal_Key,0)),""))</f>
        <v/>
      </c>
      <c r="X253" s="94">
        <f>IF($B253="","",IFERROR(INDEX(cal_Season,MATCH($B253,cal_Key,0)),""))</f>
        <v/>
      </c>
      <c r="Y253" s="94">
        <f>IF($B253="","",IFERROR(INDEX(cal_Key,MATCH(INDEX(cal_Serial,MATCH($B253,cal_Key,0))+p_Due,cal_Serial,0)),""))</f>
        <v/>
      </c>
      <c r="Z253" s="95">
        <f>IF($B253="","",IF(OR($I253="پرداخت‌شده",$I253="ابطال"),"—",IFERROR(IF(INDEX(cal_Serial,MATCH($B253,cal_Key,0))+p_Due&lt;TODAY(),"بله","خیر"),"تاریخ نامعتبر")))</f>
        <v/>
      </c>
    </row>
    <row r="254" ht="20" customHeight="1">
      <c r="B254" s="86" t="n"/>
      <c r="C254" s="87" t="n"/>
      <c r="D254" s="87" t="n"/>
      <c r="E254" s="87" t="n"/>
      <c r="F254" s="88" t="n"/>
      <c r="G254" s="89" t="n"/>
      <c r="H254" s="90" t="n"/>
      <c r="I254" s="86" t="n"/>
      <c r="J254" s="87" t="n"/>
      <c r="K254" s="91">
        <f>IF($F254="","",$F254*IF($G254="",1,$G254))</f>
        <v/>
      </c>
      <c r="L254" s="92">
        <f>IFERROR(IF($D254="","",INDEX(t_Svc_Rate,MATCH($D254,lst_Service,0))),"")</f>
        <v/>
      </c>
      <c r="M254" s="92">
        <f>IF($L254="","",$L254*IF(p_TierMode="پلکانی",LOOKUP($K254,t_Tier_From,t_Tier_Rate),1))</f>
        <v/>
      </c>
      <c r="N254" s="91">
        <f>IF($K254="","",$K254*$M254)</f>
        <v/>
      </c>
      <c r="O254" s="91">
        <f>IF($N254="","",IF($I254="ابطال",0,MAX(p_Min,MIN(p_Max,$N254))))</f>
        <v/>
      </c>
      <c r="P254" s="91">
        <f>IF($O254="","",ROUND($O254*p_Tax,0))</f>
        <v/>
      </c>
      <c r="Q254" s="91">
        <f>IF($O254="","",$O254+$P254)</f>
        <v/>
      </c>
      <c r="R254" s="92">
        <f>IF($A254="","",IF($H254&lt;&gt;"",$H254,IFERROR(INDEX(t_Member_Share,MATCH($C254,t_Members,0)),p_DefaultShare)))</f>
        <v/>
      </c>
      <c r="S254" s="91">
        <f>IF(OR($Q254="",$R254=""),"",ROUND($Q254*$R254,0))</f>
        <v/>
      </c>
      <c r="T254" s="91">
        <f>IF(OR($Q254="",$S254=""),"",$Q254-$S254)</f>
        <v/>
      </c>
      <c r="U254" s="93">
        <f>IF($B254="","",IFERROR(INDEX(cal_JYear,MATCH($B254,cal_Key,0)),""))</f>
        <v/>
      </c>
      <c r="V254" s="93">
        <f>IF($B254="","",IFERROR(INDEX(cal_JMonth,MATCH($B254,cal_Key,0)),""))</f>
        <v/>
      </c>
      <c r="W254" s="94">
        <f>IF($B254="","",IFERROR(INDEX(cal_YM,MATCH($B254,cal_Key,0)),""))</f>
        <v/>
      </c>
      <c r="X254" s="94">
        <f>IF($B254="","",IFERROR(INDEX(cal_Season,MATCH($B254,cal_Key,0)),""))</f>
        <v/>
      </c>
      <c r="Y254" s="94">
        <f>IF($B254="","",IFERROR(INDEX(cal_Key,MATCH(INDEX(cal_Serial,MATCH($B254,cal_Key,0))+p_Due,cal_Serial,0)),""))</f>
        <v/>
      </c>
      <c r="Z254" s="95">
        <f>IF($B254="","",IF(OR($I254="پرداخت‌شده",$I254="ابطال"),"—",IFERROR(IF(INDEX(cal_Serial,MATCH($B254,cal_Key,0))+p_Due&lt;TODAY(),"بله","خیر"),"تاریخ نامعتبر")))</f>
        <v/>
      </c>
    </row>
    <row r="255" ht="20" customHeight="1">
      <c r="B255" s="86" t="n"/>
      <c r="C255" s="87" t="n"/>
      <c r="D255" s="87" t="n"/>
      <c r="E255" s="87" t="n"/>
      <c r="F255" s="88" t="n"/>
      <c r="G255" s="89" t="n"/>
      <c r="H255" s="90" t="n"/>
      <c r="I255" s="86" t="n"/>
      <c r="J255" s="87" t="n"/>
      <c r="K255" s="91">
        <f>IF($F255="","",$F255*IF($G255="",1,$G255))</f>
        <v/>
      </c>
      <c r="L255" s="92">
        <f>IFERROR(IF($D255="","",INDEX(t_Svc_Rate,MATCH($D255,lst_Service,0))),"")</f>
        <v/>
      </c>
      <c r="M255" s="92">
        <f>IF($L255="","",$L255*IF(p_TierMode="پلکانی",LOOKUP($K255,t_Tier_From,t_Tier_Rate),1))</f>
        <v/>
      </c>
      <c r="N255" s="91">
        <f>IF($K255="","",$K255*$M255)</f>
        <v/>
      </c>
      <c r="O255" s="91">
        <f>IF($N255="","",IF($I255="ابطال",0,MAX(p_Min,MIN(p_Max,$N255))))</f>
        <v/>
      </c>
      <c r="P255" s="91">
        <f>IF($O255="","",ROUND($O255*p_Tax,0))</f>
        <v/>
      </c>
      <c r="Q255" s="91">
        <f>IF($O255="","",$O255+$P255)</f>
        <v/>
      </c>
      <c r="R255" s="92">
        <f>IF($A255="","",IF($H255&lt;&gt;"",$H255,IFERROR(INDEX(t_Member_Share,MATCH($C255,t_Members,0)),p_DefaultShare)))</f>
        <v/>
      </c>
      <c r="S255" s="91">
        <f>IF(OR($Q255="",$R255=""),"",ROUND($Q255*$R255,0))</f>
        <v/>
      </c>
      <c r="T255" s="91">
        <f>IF(OR($Q255="",$S255=""),"",$Q255-$S255)</f>
        <v/>
      </c>
      <c r="U255" s="93">
        <f>IF($B255="","",IFERROR(INDEX(cal_JYear,MATCH($B255,cal_Key,0)),""))</f>
        <v/>
      </c>
      <c r="V255" s="93">
        <f>IF($B255="","",IFERROR(INDEX(cal_JMonth,MATCH($B255,cal_Key,0)),""))</f>
        <v/>
      </c>
      <c r="W255" s="94">
        <f>IF($B255="","",IFERROR(INDEX(cal_YM,MATCH($B255,cal_Key,0)),""))</f>
        <v/>
      </c>
      <c r="X255" s="94">
        <f>IF($B255="","",IFERROR(INDEX(cal_Season,MATCH($B255,cal_Key,0)),""))</f>
        <v/>
      </c>
      <c r="Y255" s="94">
        <f>IF($B255="","",IFERROR(INDEX(cal_Key,MATCH(INDEX(cal_Serial,MATCH($B255,cal_Key,0))+p_Due,cal_Serial,0)),""))</f>
        <v/>
      </c>
      <c r="Z255" s="95">
        <f>IF($B255="","",IF(OR($I255="پرداخت‌شده",$I255="ابطال"),"—",IFERROR(IF(INDEX(cal_Serial,MATCH($B255,cal_Key,0))+p_Due&lt;TODAY(),"بله","خیر"),"تاریخ نامعتبر")))</f>
        <v/>
      </c>
    </row>
    <row r="256" ht="20" customHeight="1">
      <c r="B256" s="86" t="n"/>
      <c r="C256" s="87" t="n"/>
      <c r="D256" s="87" t="n"/>
      <c r="E256" s="87" t="n"/>
      <c r="F256" s="88" t="n"/>
      <c r="G256" s="89" t="n"/>
      <c r="H256" s="90" t="n"/>
      <c r="I256" s="86" t="n"/>
      <c r="J256" s="87" t="n"/>
      <c r="K256" s="91">
        <f>IF($F256="","",$F256*IF($G256="",1,$G256))</f>
        <v/>
      </c>
      <c r="L256" s="92">
        <f>IFERROR(IF($D256="","",INDEX(t_Svc_Rate,MATCH($D256,lst_Service,0))),"")</f>
        <v/>
      </c>
      <c r="M256" s="92">
        <f>IF($L256="","",$L256*IF(p_TierMode="پلکانی",LOOKUP($K256,t_Tier_From,t_Tier_Rate),1))</f>
        <v/>
      </c>
      <c r="N256" s="91">
        <f>IF($K256="","",$K256*$M256)</f>
        <v/>
      </c>
      <c r="O256" s="91">
        <f>IF($N256="","",IF($I256="ابطال",0,MAX(p_Min,MIN(p_Max,$N256))))</f>
        <v/>
      </c>
      <c r="P256" s="91">
        <f>IF($O256="","",ROUND($O256*p_Tax,0))</f>
        <v/>
      </c>
      <c r="Q256" s="91">
        <f>IF($O256="","",$O256+$P256)</f>
        <v/>
      </c>
      <c r="R256" s="92">
        <f>IF($A256="","",IF($H256&lt;&gt;"",$H256,IFERROR(INDEX(t_Member_Share,MATCH($C256,t_Members,0)),p_DefaultShare)))</f>
        <v/>
      </c>
      <c r="S256" s="91">
        <f>IF(OR($Q256="",$R256=""),"",ROUND($Q256*$R256,0))</f>
        <v/>
      </c>
      <c r="T256" s="91">
        <f>IF(OR($Q256="",$S256=""),"",$Q256-$S256)</f>
        <v/>
      </c>
      <c r="U256" s="93">
        <f>IF($B256="","",IFERROR(INDEX(cal_JYear,MATCH($B256,cal_Key,0)),""))</f>
        <v/>
      </c>
      <c r="V256" s="93">
        <f>IF($B256="","",IFERROR(INDEX(cal_JMonth,MATCH($B256,cal_Key,0)),""))</f>
        <v/>
      </c>
      <c r="W256" s="94">
        <f>IF($B256="","",IFERROR(INDEX(cal_YM,MATCH($B256,cal_Key,0)),""))</f>
        <v/>
      </c>
      <c r="X256" s="94">
        <f>IF($B256="","",IFERROR(INDEX(cal_Season,MATCH($B256,cal_Key,0)),""))</f>
        <v/>
      </c>
      <c r="Y256" s="94">
        <f>IF($B256="","",IFERROR(INDEX(cal_Key,MATCH(INDEX(cal_Serial,MATCH($B256,cal_Key,0))+p_Due,cal_Serial,0)),""))</f>
        <v/>
      </c>
      <c r="Z256" s="95">
        <f>IF($B256="","",IF(OR($I256="پرداخت‌شده",$I256="ابطال"),"—",IFERROR(IF(INDEX(cal_Serial,MATCH($B256,cal_Key,0))+p_Due&lt;TODAY(),"بله","خیر"),"تاریخ نامعتبر")))</f>
        <v/>
      </c>
    </row>
    <row r="257" ht="20" customHeight="1">
      <c r="B257" s="86" t="n"/>
      <c r="C257" s="87" t="n"/>
      <c r="D257" s="87" t="n"/>
      <c r="E257" s="87" t="n"/>
      <c r="F257" s="88" t="n"/>
      <c r="G257" s="89" t="n"/>
      <c r="H257" s="90" t="n"/>
      <c r="I257" s="86" t="n"/>
      <c r="J257" s="87" t="n"/>
      <c r="K257" s="91">
        <f>IF($F257="","",$F257*IF($G257="",1,$G257))</f>
        <v/>
      </c>
      <c r="L257" s="92">
        <f>IFERROR(IF($D257="","",INDEX(t_Svc_Rate,MATCH($D257,lst_Service,0))),"")</f>
        <v/>
      </c>
      <c r="M257" s="92">
        <f>IF($L257="","",$L257*IF(p_TierMode="پلکانی",LOOKUP($K257,t_Tier_From,t_Tier_Rate),1))</f>
        <v/>
      </c>
      <c r="N257" s="91">
        <f>IF($K257="","",$K257*$M257)</f>
        <v/>
      </c>
      <c r="O257" s="91">
        <f>IF($N257="","",IF($I257="ابطال",0,MAX(p_Min,MIN(p_Max,$N257))))</f>
        <v/>
      </c>
      <c r="P257" s="91">
        <f>IF($O257="","",ROUND($O257*p_Tax,0))</f>
        <v/>
      </c>
      <c r="Q257" s="91">
        <f>IF($O257="","",$O257+$P257)</f>
        <v/>
      </c>
      <c r="R257" s="92">
        <f>IF($A257="","",IF($H257&lt;&gt;"",$H257,IFERROR(INDEX(t_Member_Share,MATCH($C257,t_Members,0)),p_DefaultShare)))</f>
        <v/>
      </c>
      <c r="S257" s="91">
        <f>IF(OR($Q257="",$R257=""),"",ROUND($Q257*$R257,0))</f>
        <v/>
      </c>
      <c r="T257" s="91">
        <f>IF(OR($Q257="",$S257=""),"",$Q257-$S257)</f>
        <v/>
      </c>
      <c r="U257" s="93">
        <f>IF($B257="","",IFERROR(INDEX(cal_JYear,MATCH($B257,cal_Key,0)),""))</f>
        <v/>
      </c>
      <c r="V257" s="93">
        <f>IF($B257="","",IFERROR(INDEX(cal_JMonth,MATCH($B257,cal_Key,0)),""))</f>
        <v/>
      </c>
      <c r="W257" s="94">
        <f>IF($B257="","",IFERROR(INDEX(cal_YM,MATCH($B257,cal_Key,0)),""))</f>
        <v/>
      </c>
      <c r="X257" s="94">
        <f>IF($B257="","",IFERROR(INDEX(cal_Season,MATCH($B257,cal_Key,0)),""))</f>
        <v/>
      </c>
      <c r="Y257" s="94">
        <f>IF($B257="","",IFERROR(INDEX(cal_Key,MATCH(INDEX(cal_Serial,MATCH($B257,cal_Key,0))+p_Due,cal_Serial,0)),""))</f>
        <v/>
      </c>
      <c r="Z257" s="95">
        <f>IF($B257="","",IF(OR($I257="پرداخت‌شده",$I257="ابطال"),"—",IFERROR(IF(INDEX(cal_Serial,MATCH($B257,cal_Key,0))+p_Due&lt;TODAY(),"بله","خیر"),"تاریخ نامعتبر")))</f>
        <v/>
      </c>
    </row>
    <row r="258" ht="20" customHeight="1">
      <c r="B258" s="86" t="n"/>
      <c r="C258" s="87" t="n"/>
      <c r="D258" s="87" t="n"/>
      <c r="E258" s="87" t="n"/>
      <c r="F258" s="88" t="n"/>
      <c r="G258" s="89" t="n"/>
      <c r="H258" s="90" t="n"/>
      <c r="I258" s="86" t="n"/>
      <c r="J258" s="87" t="n"/>
      <c r="K258" s="91">
        <f>IF($F258="","",$F258*IF($G258="",1,$G258))</f>
        <v/>
      </c>
      <c r="L258" s="92">
        <f>IFERROR(IF($D258="","",INDEX(t_Svc_Rate,MATCH($D258,lst_Service,0))),"")</f>
        <v/>
      </c>
      <c r="M258" s="92">
        <f>IF($L258="","",$L258*IF(p_TierMode="پلکانی",LOOKUP($K258,t_Tier_From,t_Tier_Rate),1))</f>
        <v/>
      </c>
      <c r="N258" s="91">
        <f>IF($K258="","",$K258*$M258)</f>
        <v/>
      </c>
      <c r="O258" s="91">
        <f>IF($N258="","",IF($I258="ابطال",0,MAX(p_Min,MIN(p_Max,$N258))))</f>
        <v/>
      </c>
      <c r="P258" s="91">
        <f>IF($O258="","",ROUND($O258*p_Tax,0))</f>
        <v/>
      </c>
      <c r="Q258" s="91">
        <f>IF($O258="","",$O258+$P258)</f>
        <v/>
      </c>
      <c r="R258" s="92">
        <f>IF($A258="","",IF($H258&lt;&gt;"",$H258,IFERROR(INDEX(t_Member_Share,MATCH($C258,t_Members,0)),p_DefaultShare)))</f>
        <v/>
      </c>
      <c r="S258" s="91">
        <f>IF(OR($Q258="",$R258=""),"",ROUND($Q258*$R258,0))</f>
        <v/>
      </c>
      <c r="T258" s="91">
        <f>IF(OR($Q258="",$S258=""),"",$Q258-$S258)</f>
        <v/>
      </c>
      <c r="U258" s="93">
        <f>IF($B258="","",IFERROR(INDEX(cal_JYear,MATCH($B258,cal_Key,0)),""))</f>
        <v/>
      </c>
      <c r="V258" s="93">
        <f>IF($B258="","",IFERROR(INDEX(cal_JMonth,MATCH($B258,cal_Key,0)),""))</f>
        <v/>
      </c>
      <c r="W258" s="94">
        <f>IF($B258="","",IFERROR(INDEX(cal_YM,MATCH($B258,cal_Key,0)),""))</f>
        <v/>
      </c>
      <c r="X258" s="94">
        <f>IF($B258="","",IFERROR(INDEX(cal_Season,MATCH($B258,cal_Key,0)),""))</f>
        <v/>
      </c>
      <c r="Y258" s="94">
        <f>IF($B258="","",IFERROR(INDEX(cal_Key,MATCH(INDEX(cal_Serial,MATCH($B258,cal_Key,0))+p_Due,cal_Serial,0)),""))</f>
        <v/>
      </c>
      <c r="Z258" s="95">
        <f>IF($B258="","",IF(OR($I258="پرداخت‌شده",$I258="ابطال"),"—",IFERROR(IF(INDEX(cal_Serial,MATCH($B258,cal_Key,0))+p_Due&lt;TODAY(),"بله","خیر"),"تاریخ نامعتبر")))</f>
        <v/>
      </c>
    </row>
    <row r="259" ht="20" customHeight="1">
      <c r="B259" s="86" t="n"/>
      <c r="C259" s="87" t="n"/>
      <c r="D259" s="87" t="n"/>
      <c r="E259" s="87" t="n"/>
      <c r="F259" s="88" t="n"/>
      <c r="G259" s="89" t="n"/>
      <c r="H259" s="90" t="n"/>
      <c r="I259" s="86" t="n"/>
      <c r="J259" s="87" t="n"/>
      <c r="K259" s="91">
        <f>IF($F259="","",$F259*IF($G259="",1,$G259))</f>
        <v/>
      </c>
      <c r="L259" s="92">
        <f>IFERROR(IF($D259="","",INDEX(t_Svc_Rate,MATCH($D259,lst_Service,0))),"")</f>
        <v/>
      </c>
      <c r="M259" s="92">
        <f>IF($L259="","",$L259*IF(p_TierMode="پلکانی",LOOKUP($K259,t_Tier_From,t_Tier_Rate),1))</f>
        <v/>
      </c>
      <c r="N259" s="91">
        <f>IF($K259="","",$K259*$M259)</f>
        <v/>
      </c>
      <c r="O259" s="91">
        <f>IF($N259="","",IF($I259="ابطال",0,MAX(p_Min,MIN(p_Max,$N259))))</f>
        <v/>
      </c>
      <c r="P259" s="91">
        <f>IF($O259="","",ROUND($O259*p_Tax,0))</f>
        <v/>
      </c>
      <c r="Q259" s="91">
        <f>IF($O259="","",$O259+$P259)</f>
        <v/>
      </c>
      <c r="R259" s="92">
        <f>IF($A259="","",IF($H259&lt;&gt;"",$H259,IFERROR(INDEX(t_Member_Share,MATCH($C259,t_Members,0)),p_DefaultShare)))</f>
        <v/>
      </c>
      <c r="S259" s="91">
        <f>IF(OR($Q259="",$R259=""),"",ROUND($Q259*$R259,0))</f>
        <v/>
      </c>
      <c r="T259" s="91">
        <f>IF(OR($Q259="",$S259=""),"",$Q259-$S259)</f>
        <v/>
      </c>
      <c r="U259" s="93">
        <f>IF($B259="","",IFERROR(INDEX(cal_JYear,MATCH($B259,cal_Key,0)),""))</f>
        <v/>
      </c>
      <c r="V259" s="93">
        <f>IF($B259="","",IFERROR(INDEX(cal_JMonth,MATCH($B259,cal_Key,0)),""))</f>
        <v/>
      </c>
      <c r="W259" s="94">
        <f>IF($B259="","",IFERROR(INDEX(cal_YM,MATCH($B259,cal_Key,0)),""))</f>
        <v/>
      </c>
      <c r="X259" s="94">
        <f>IF($B259="","",IFERROR(INDEX(cal_Season,MATCH($B259,cal_Key,0)),""))</f>
        <v/>
      </c>
      <c r="Y259" s="94">
        <f>IF($B259="","",IFERROR(INDEX(cal_Key,MATCH(INDEX(cal_Serial,MATCH($B259,cal_Key,0))+p_Due,cal_Serial,0)),""))</f>
        <v/>
      </c>
      <c r="Z259" s="95">
        <f>IF($B259="","",IF(OR($I259="پرداخت‌شده",$I259="ابطال"),"—",IFERROR(IF(INDEX(cal_Serial,MATCH($B259,cal_Key,0))+p_Due&lt;TODAY(),"بله","خیر"),"تاریخ نامعتبر")))</f>
        <v/>
      </c>
    </row>
    <row r="260" ht="20" customHeight="1">
      <c r="B260" s="86" t="n"/>
      <c r="C260" s="87" t="n"/>
      <c r="D260" s="87" t="n"/>
      <c r="E260" s="87" t="n"/>
      <c r="F260" s="88" t="n"/>
      <c r="G260" s="89" t="n"/>
      <c r="H260" s="90" t="n"/>
      <c r="I260" s="86" t="n"/>
      <c r="J260" s="87" t="n"/>
      <c r="K260" s="91">
        <f>IF($F260="","",$F260*IF($G260="",1,$G260))</f>
        <v/>
      </c>
      <c r="L260" s="92">
        <f>IFERROR(IF($D260="","",INDEX(t_Svc_Rate,MATCH($D260,lst_Service,0))),"")</f>
        <v/>
      </c>
      <c r="M260" s="92">
        <f>IF($L260="","",$L260*IF(p_TierMode="پلکانی",LOOKUP($K260,t_Tier_From,t_Tier_Rate),1))</f>
        <v/>
      </c>
      <c r="N260" s="91">
        <f>IF($K260="","",$K260*$M260)</f>
        <v/>
      </c>
      <c r="O260" s="91">
        <f>IF($N260="","",IF($I260="ابطال",0,MAX(p_Min,MIN(p_Max,$N260))))</f>
        <v/>
      </c>
      <c r="P260" s="91">
        <f>IF($O260="","",ROUND($O260*p_Tax,0))</f>
        <v/>
      </c>
      <c r="Q260" s="91">
        <f>IF($O260="","",$O260+$P260)</f>
        <v/>
      </c>
      <c r="R260" s="92">
        <f>IF($A260="","",IF($H260&lt;&gt;"",$H260,IFERROR(INDEX(t_Member_Share,MATCH($C260,t_Members,0)),p_DefaultShare)))</f>
        <v/>
      </c>
      <c r="S260" s="91">
        <f>IF(OR($Q260="",$R260=""),"",ROUND($Q260*$R260,0))</f>
        <v/>
      </c>
      <c r="T260" s="91">
        <f>IF(OR($Q260="",$S260=""),"",$Q260-$S260)</f>
        <v/>
      </c>
      <c r="U260" s="93">
        <f>IF($B260="","",IFERROR(INDEX(cal_JYear,MATCH($B260,cal_Key,0)),""))</f>
        <v/>
      </c>
      <c r="V260" s="93">
        <f>IF($B260="","",IFERROR(INDEX(cal_JMonth,MATCH($B260,cal_Key,0)),""))</f>
        <v/>
      </c>
      <c r="W260" s="94">
        <f>IF($B260="","",IFERROR(INDEX(cal_YM,MATCH($B260,cal_Key,0)),""))</f>
        <v/>
      </c>
      <c r="X260" s="94">
        <f>IF($B260="","",IFERROR(INDEX(cal_Season,MATCH($B260,cal_Key,0)),""))</f>
        <v/>
      </c>
      <c r="Y260" s="94">
        <f>IF($B260="","",IFERROR(INDEX(cal_Key,MATCH(INDEX(cal_Serial,MATCH($B260,cal_Key,0))+p_Due,cal_Serial,0)),""))</f>
        <v/>
      </c>
      <c r="Z260" s="95">
        <f>IF($B260="","",IF(OR($I260="پرداخت‌شده",$I260="ابطال"),"—",IFERROR(IF(INDEX(cal_Serial,MATCH($B260,cal_Key,0))+p_Due&lt;TODAY(),"بله","خیر"),"تاریخ نامعتبر")))</f>
        <v/>
      </c>
    </row>
    <row r="261" ht="20" customHeight="1">
      <c r="B261" s="86" t="n"/>
      <c r="C261" s="87" t="n"/>
      <c r="D261" s="87" t="n"/>
      <c r="E261" s="87" t="n"/>
      <c r="F261" s="88" t="n"/>
      <c r="G261" s="89" t="n"/>
      <c r="H261" s="90" t="n"/>
      <c r="I261" s="86" t="n"/>
      <c r="J261" s="87" t="n"/>
      <c r="K261" s="91">
        <f>IF($F261="","",$F261*IF($G261="",1,$G261))</f>
        <v/>
      </c>
      <c r="L261" s="92">
        <f>IFERROR(IF($D261="","",INDEX(t_Svc_Rate,MATCH($D261,lst_Service,0))),"")</f>
        <v/>
      </c>
      <c r="M261" s="92">
        <f>IF($L261="","",$L261*IF(p_TierMode="پلکانی",LOOKUP($K261,t_Tier_From,t_Tier_Rate),1))</f>
        <v/>
      </c>
      <c r="N261" s="91">
        <f>IF($K261="","",$K261*$M261)</f>
        <v/>
      </c>
      <c r="O261" s="91">
        <f>IF($N261="","",IF($I261="ابطال",0,MAX(p_Min,MIN(p_Max,$N261))))</f>
        <v/>
      </c>
      <c r="P261" s="91">
        <f>IF($O261="","",ROUND($O261*p_Tax,0))</f>
        <v/>
      </c>
      <c r="Q261" s="91">
        <f>IF($O261="","",$O261+$P261)</f>
        <v/>
      </c>
      <c r="R261" s="92">
        <f>IF($A261="","",IF($H261&lt;&gt;"",$H261,IFERROR(INDEX(t_Member_Share,MATCH($C261,t_Members,0)),p_DefaultShare)))</f>
        <v/>
      </c>
      <c r="S261" s="91">
        <f>IF(OR($Q261="",$R261=""),"",ROUND($Q261*$R261,0))</f>
        <v/>
      </c>
      <c r="T261" s="91">
        <f>IF(OR($Q261="",$S261=""),"",$Q261-$S261)</f>
        <v/>
      </c>
      <c r="U261" s="93">
        <f>IF($B261="","",IFERROR(INDEX(cal_JYear,MATCH($B261,cal_Key,0)),""))</f>
        <v/>
      </c>
      <c r="V261" s="93">
        <f>IF($B261="","",IFERROR(INDEX(cal_JMonth,MATCH($B261,cal_Key,0)),""))</f>
        <v/>
      </c>
      <c r="W261" s="94">
        <f>IF($B261="","",IFERROR(INDEX(cal_YM,MATCH($B261,cal_Key,0)),""))</f>
        <v/>
      </c>
      <c r="X261" s="94">
        <f>IF($B261="","",IFERROR(INDEX(cal_Season,MATCH($B261,cal_Key,0)),""))</f>
        <v/>
      </c>
      <c r="Y261" s="94">
        <f>IF($B261="","",IFERROR(INDEX(cal_Key,MATCH(INDEX(cal_Serial,MATCH($B261,cal_Key,0))+p_Due,cal_Serial,0)),""))</f>
        <v/>
      </c>
      <c r="Z261" s="95">
        <f>IF($B261="","",IF(OR($I261="پرداخت‌شده",$I261="ابطال"),"—",IFERROR(IF(INDEX(cal_Serial,MATCH($B261,cal_Key,0))+p_Due&lt;TODAY(),"بله","خیر"),"تاریخ نامعتبر")))</f>
        <v/>
      </c>
    </row>
    <row r="262" ht="20" customHeight="1">
      <c r="B262" s="86" t="n"/>
      <c r="C262" s="87" t="n"/>
      <c r="D262" s="87" t="n"/>
      <c r="E262" s="87" t="n"/>
      <c r="F262" s="88" t="n"/>
      <c r="G262" s="89" t="n"/>
      <c r="H262" s="90" t="n"/>
      <c r="I262" s="86" t="n"/>
      <c r="J262" s="87" t="n"/>
      <c r="K262" s="91">
        <f>IF($F262="","",$F262*IF($G262="",1,$G262))</f>
        <v/>
      </c>
      <c r="L262" s="92">
        <f>IFERROR(IF($D262="","",INDEX(t_Svc_Rate,MATCH($D262,lst_Service,0))),"")</f>
        <v/>
      </c>
      <c r="M262" s="92">
        <f>IF($L262="","",$L262*IF(p_TierMode="پلکانی",LOOKUP($K262,t_Tier_From,t_Tier_Rate),1))</f>
        <v/>
      </c>
      <c r="N262" s="91">
        <f>IF($K262="","",$K262*$M262)</f>
        <v/>
      </c>
      <c r="O262" s="91">
        <f>IF($N262="","",IF($I262="ابطال",0,MAX(p_Min,MIN(p_Max,$N262))))</f>
        <v/>
      </c>
      <c r="P262" s="91">
        <f>IF($O262="","",ROUND($O262*p_Tax,0))</f>
        <v/>
      </c>
      <c r="Q262" s="91">
        <f>IF($O262="","",$O262+$P262)</f>
        <v/>
      </c>
      <c r="R262" s="92">
        <f>IF($A262="","",IF($H262&lt;&gt;"",$H262,IFERROR(INDEX(t_Member_Share,MATCH($C262,t_Members,0)),p_DefaultShare)))</f>
        <v/>
      </c>
      <c r="S262" s="91">
        <f>IF(OR($Q262="",$R262=""),"",ROUND($Q262*$R262,0))</f>
        <v/>
      </c>
      <c r="T262" s="91">
        <f>IF(OR($Q262="",$S262=""),"",$Q262-$S262)</f>
        <v/>
      </c>
      <c r="U262" s="93">
        <f>IF($B262="","",IFERROR(INDEX(cal_JYear,MATCH($B262,cal_Key,0)),""))</f>
        <v/>
      </c>
      <c r="V262" s="93">
        <f>IF($B262="","",IFERROR(INDEX(cal_JMonth,MATCH($B262,cal_Key,0)),""))</f>
        <v/>
      </c>
      <c r="W262" s="94">
        <f>IF($B262="","",IFERROR(INDEX(cal_YM,MATCH($B262,cal_Key,0)),""))</f>
        <v/>
      </c>
      <c r="X262" s="94">
        <f>IF($B262="","",IFERROR(INDEX(cal_Season,MATCH($B262,cal_Key,0)),""))</f>
        <v/>
      </c>
      <c r="Y262" s="94">
        <f>IF($B262="","",IFERROR(INDEX(cal_Key,MATCH(INDEX(cal_Serial,MATCH($B262,cal_Key,0))+p_Due,cal_Serial,0)),""))</f>
        <v/>
      </c>
      <c r="Z262" s="95">
        <f>IF($B262="","",IF(OR($I262="پرداخت‌شده",$I262="ابطال"),"—",IFERROR(IF(INDEX(cal_Serial,MATCH($B262,cal_Key,0))+p_Due&lt;TODAY(),"بله","خیر"),"تاریخ نامعتبر")))</f>
        <v/>
      </c>
    </row>
    <row r="263" ht="20" customHeight="1">
      <c r="B263" s="86" t="n"/>
      <c r="C263" s="87" t="n"/>
      <c r="D263" s="87" t="n"/>
      <c r="E263" s="87" t="n"/>
      <c r="F263" s="88" t="n"/>
      <c r="G263" s="89" t="n"/>
      <c r="H263" s="90" t="n"/>
      <c r="I263" s="86" t="n"/>
      <c r="J263" s="87" t="n"/>
      <c r="K263" s="91">
        <f>IF($F263="","",$F263*IF($G263="",1,$G263))</f>
        <v/>
      </c>
      <c r="L263" s="92">
        <f>IFERROR(IF($D263="","",INDEX(t_Svc_Rate,MATCH($D263,lst_Service,0))),"")</f>
        <v/>
      </c>
      <c r="M263" s="92">
        <f>IF($L263="","",$L263*IF(p_TierMode="پلکانی",LOOKUP($K263,t_Tier_From,t_Tier_Rate),1))</f>
        <v/>
      </c>
      <c r="N263" s="91">
        <f>IF($K263="","",$K263*$M263)</f>
        <v/>
      </c>
      <c r="O263" s="91">
        <f>IF($N263="","",IF($I263="ابطال",0,MAX(p_Min,MIN(p_Max,$N263))))</f>
        <v/>
      </c>
      <c r="P263" s="91">
        <f>IF($O263="","",ROUND($O263*p_Tax,0))</f>
        <v/>
      </c>
      <c r="Q263" s="91">
        <f>IF($O263="","",$O263+$P263)</f>
        <v/>
      </c>
      <c r="R263" s="92">
        <f>IF($A263="","",IF($H263&lt;&gt;"",$H263,IFERROR(INDEX(t_Member_Share,MATCH($C263,t_Members,0)),p_DefaultShare)))</f>
        <v/>
      </c>
      <c r="S263" s="91">
        <f>IF(OR($Q263="",$R263=""),"",ROUND($Q263*$R263,0))</f>
        <v/>
      </c>
      <c r="T263" s="91">
        <f>IF(OR($Q263="",$S263=""),"",$Q263-$S263)</f>
        <v/>
      </c>
      <c r="U263" s="93">
        <f>IF($B263="","",IFERROR(INDEX(cal_JYear,MATCH($B263,cal_Key,0)),""))</f>
        <v/>
      </c>
      <c r="V263" s="93">
        <f>IF($B263="","",IFERROR(INDEX(cal_JMonth,MATCH($B263,cal_Key,0)),""))</f>
        <v/>
      </c>
      <c r="W263" s="94">
        <f>IF($B263="","",IFERROR(INDEX(cal_YM,MATCH($B263,cal_Key,0)),""))</f>
        <v/>
      </c>
      <c r="X263" s="94">
        <f>IF($B263="","",IFERROR(INDEX(cal_Season,MATCH($B263,cal_Key,0)),""))</f>
        <v/>
      </c>
      <c r="Y263" s="94">
        <f>IF($B263="","",IFERROR(INDEX(cal_Key,MATCH(INDEX(cal_Serial,MATCH($B263,cal_Key,0))+p_Due,cal_Serial,0)),""))</f>
        <v/>
      </c>
      <c r="Z263" s="95">
        <f>IF($B263="","",IF(OR($I263="پرداخت‌شده",$I263="ابطال"),"—",IFERROR(IF(INDEX(cal_Serial,MATCH($B263,cal_Key,0))+p_Due&lt;TODAY(),"بله","خیر"),"تاریخ نامعتبر")))</f>
        <v/>
      </c>
    </row>
    <row r="264" ht="20" customHeight="1">
      <c r="B264" s="86" t="n"/>
      <c r="C264" s="87" t="n"/>
      <c r="D264" s="87" t="n"/>
      <c r="E264" s="87" t="n"/>
      <c r="F264" s="88" t="n"/>
      <c r="G264" s="89" t="n"/>
      <c r="H264" s="90" t="n"/>
      <c r="I264" s="86" t="n"/>
      <c r="J264" s="87" t="n"/>
      <c r="K264" s="91">
        <f>IF($F264="","",$F264*IF($G264="",1,$G264))</f>
        <v/>
      </c>
      <c r="L264" s="92">
        <f>IFERROR(IF($D264="","",INDEX(t_Svc_Rate,MATCH($D264,lst_Service,0))),"")</f>
        <v/>
      </c>
      <c r="M264" s="92">
        <f>IF($L264="","",$L264*IF(p_TierMode="پلکانی",LOOKUP($K264,t_Tier_From,t_Tier_Rate),1))</f>
        <v/>
      </c>
      <c r="N264" s="91">
        <f>IF($K264="","",$K264*$M264)</f>
        <v/>
      </c>
      <c r="O264" s="91">
        <f>IF($N264="","",IF($I264="ابطال",0,MAX(p_Min,MIN(p_Max,$N264))))</f>
        <v/>
      </c>
      <c r="P264" s="91">
        <f>IF($O264="","",ROUND($O264*p_Tax,0))</f>
        <v/>
      </c>
      <c r="Q264" s="91">
        <f>IF($O264="","",$O264+$P264)</f>
        <v/>
      </c>
      <c r="R264" s="92">
        <f>IF($A264="","",IF($H264&lt;&gt;"",$H264,IFERROR(INDEX(t_Member_Share,MATCH($C264,t_Members,0)),p_DefaultShare)))</f>
        <v/>
      </c>
      <c r="S264" s="91">
        <f>IF(OR($Q264="",$R264=""),"",ROUND($Q264*$R264,0))</f>
        <v/>
      </c>
      <c r="T264" s="91">
        <f>IF(OR($Q264="",$S264=""),"",$Q264-$S264)</f>
        <v/>
      </c>
      <c r="U264" s="93">
        <f>IF($B264="","",IFERROR(INDEX(cal_JYear,MATCH($B264,cal_Key,0)),""))</f>
        <v/>
      </c>
      <c r="V264" s="93">
        <f>IF($B264="","",IFERROR(INDEX(cal_JMonth,MATCH($B264,cal_Key,0)),""))</f>
        <v/>
      </c>
      <c r="W264" s="94">
        <f>IF($B264="","",IFERROR(INDEX(cal_YM,MATCH($B264,cal_Key,0)),""))</f>
        <v/>
      </c>
      <c r="X264" s="94">
        <f>IF($B264="","",IFERROR(INDEX(cal_Season,MATCH($B264,cal_Key,0)),""))</f>
        <v/>
      </c>
      <c r="Y264" s="94">
        <f>IF($B264="","",IFERROR(INDEX(cal_Key,MATCH(INDEX(cal_Serial,MATCH($B264,cal_Key,0))+p_Due,cal_Serial,0)),""))</f>
        <v/>
      </c>
      <c r="Z264" s="95">
        <f>IF($B264="","",IF(OR($I264="پرداخت‌شده",$I264="ابطال"),"—",IFERROR(IF(INDEX(cal_Serial,MATCH($B264,cal_Key,0))+p_Due&lt;TODAY(),"بله","خیر"),"تاریخ نامعتبر")))</f>
        <v/>
      </c>
    </row>
    <row r="265" ht="20" customHeight="1">
      <c r="B265" s="86" t="n"/>
      <c r="C265" s="87" t="n"/>
      <c r="D265" s="87" t="n"/>
      <c r="E265" s="87" t="n"/>
      <c r="F265" s="88" t="n"/>
      <c r="G265" s="89" t="n"/>
      <c r="H265" s="90" t="n"/>
      <c r="I265" s="86" t="n"/>
      <c r="J265" s="87" t="n"/>
      <c r="K265" s="91">
        <f>IF($F265="","",$F265*IF($G265="",1,$G265))</f>
        <v/>
      </c>
      <c r="L265" s="92">
        <f>IFERROR(IF($D265="","",INDEX(t_Svc_Rate,MATCH($D265,lst_Service,0))),"")</f>
        <v/>
      </c>
      <c r="M265" s="92">
        <f>IF($L265="","",$L265*IF(p_TierMode="پلکانی",LOOKUP($K265,t_Tier_From,t_Tier_Rate),1))</f>
        <v/>
      </c>
      <c r="N265" s="91">
        <f>IF($K265="","",$K265*$M265)</f>
        <v/>
      </c>
      <c r="O265" s="91">
        <f>IF($N265="","",IF($I265="ابطال",0,MAX(p_Min,MIN(p_Max,$N265))))</f>
        <v/>
      </c>
      <c r="P265" s="91">
        <f>IF($O265="","",ROUND($O265*p_Tax,0))</f>
        <v/>
      </c>
      <c r="Q265" s="91">
        <f>IF($O265="","",$O265+$P265)</f>
        <v/>
      </c>
      <c r="R265" s="92">
        <f>IF($A265="","",IF($H265&lt;&gt;"",$H265,IFERROR(INDEX(t_Member_Share,MATCH($C265,t_Members,0)),p_DefaultShare)))</f>
        <v/>
      </c>
      <c r="S265" s="91">
        <f>IF(OR($Q265="",$R265=""),"",ROUND($Q265*$R265,0))</f>
        <v/>
      </c>
      <c r="T265" s="91">
        <f>IF(OR($Q265="",$S265=""),"",$Q265-$S265)</f>
        <v/>
      </c>
      <c r="U265" s="93">
        <f>IF($B265="","",IFERROR(INDEX(cal_JYear,MATCH($B265,cal_Key,0)),""))</f>
        <v/>
      </c>
      <c r="V265" s="93">
        <f>IF($B265="","",IFERROR(INDEX(cal_JMonth,MATCH($B265,cal_Key,0)),""))</f>
        <v/>
      </c>
      <c r="W265" s="94">
        <f>IF($B265="","",IFERROR(INDEX(cal_YM,MATCH($B265,cal_Key,0)),""))</f>
        <v/>
      </c>
      <c r="X265" s="94">
        <f>IF($B265="","",IFERROR(INDEX(cal_Season,MATCH($B265,cal_Key,0)),""))</f>
        <v/>
      </c>
      <c r="Y265" s="94">
        <f>IF($B265="","",IFERROR(INDEX(cal_Key,MATCH(INDEX(cal_Serial,MATCH($B265,cal_Key,0))+p_Due,cal_Serial,0)),""))</f>
        <v/>
      </c>
      <c r="Z265" s="95">
        <f>IF($B265="","",IF(OR($I265="پرداخت‌شده",$I265="ابطال"),"—",IFERROR(IF(INDEX(cal_Serial,MATCH($B265,cal_Key,0))+p_Due&lt;TODAY(),"بله","خیر"),"تاریخ نامعتبر")))</f>
        <v/>
      </c>
    </row>
    <row r="266" ht="20" customHeight="1">
      <c r="B266" s="86" t="n"/>
      <c r="C266" s="87" t="n"/>
      <c r="D266" s="87" t="n"/>
      <c r="E266" s="87" t="n"/>
      <c r="F266" s="88" t="n"/>
      <c r="G266" s="89" t="n"/>
      <c r="H266" s="90" t="n"/>
      <c r="I266" s="86" t="n"/>
      <c r="J266" s="87" t="n"/>
      <c r="K266" s="91">
        <f>IF($F266="","",$F266*IF($G266="",1,$G266))</f>
        <v/>
      </c>
      <c r="L266" s="92">
        <f>IFERROR(IF($D266="","",INDEX(t_Svc_Rate,MATCH($D266,lst_Service,0))),"")</f>
        <v/>
      </c>
      <c r="M266" s="92">
        <f>IF($L266="","",$L266*IF(p_TierMode="پلکانی",LOOKUP($K266,t_Tier_From,t_Tier_Rate),1))</f>
        <v/>
      </c>
      <c r="N266" s="91">
        <f>IF($K266="","",$K266*$M266)</f>
        <v/>
      </c>
      <c r="O266" s="91">
        <f>IF($N266="","",IF($I266="ابطال",0,MAX(p_Min,MIN(p_Max,$N266))))</f>
        <v/>
      </c>
      <c r="P266" s="91">
        <f>IF($O266="","",ROUND($O266*p_Tax,0))</f>
        <v/>
      </c>
      <c r="Q266" s="91">
        <f>IF($O266="","",$O266+$P266)</f>
        <v/>
      </c>
      <c r="R266" s="92">
        <f>IF($A266="","",IF($H266&lt;&gt;"",$H266,IFERROR(INDEX(t_Member_Share,MATCH($C266,t_Members,0)),p_DefaultShare)))</f>
        <v/>
      </c>
      <c r="S266" s="91">
        <f>IF(OR($Q266="",$R266=""),"",ROUND($Q266*$R266,0))</f>
        <v/>
      </c>
      <c r="T266" s="91">
        <f>IF(OR($Q266="",$S266=""),"",$Q266-$S266)</f>
        <v/>
      </c>
      <c r="U266" s="93">
        <f>IF($B266="","",IFERROR(INDEX(cal_JYear,MATCH($B266,cal_Key,0)),""))</f>
        <v/>
      </c>
      <c r="V266" s="93">
        <f>IF($B266="","",IFERROR(INDEX(cal_JMonth,MATCH($B266,cal_Key,0)),""))</f>
        <v/>
      </c>
      <c r="W266" s="94">
        <f>IF($B266="","",IFERROR(INDEX(cal_YM,MATCH($B266,cal_Key,0)),""))</f>
        <v/>
      </c>
      <c r="X266" s="94">
        <f>IF($B266="","",IFERROR(INDEX(cal_Season,MATCH($B266,cal_Key,0)),""))</f>
        <v/>
      </c>
      <c r="Y266" s="94">
        <f>IF($B266="","",IFERROR(INDEX(cal_Key,MATCH(INDEX(cal_Serial,MATCH($B266,cal_Key,0))+p_Due,cal_Serial,0)),""))</f>
        <v/>
      </c>
      <c r="Z266" s="95">
        <f>IF($B266="","",IF(OR($I266="پرداخت‌شده",$I266="ابطال"),"—",IFERROR(IF(INDEX(cal_Serial,MATCH($B266,cal_Key,0))+p_Due&lt;TODAY(),"بله","خیر"),"تاریخ نامعتبر")))</f>
        <v/>
      </c>
    </row>
    <row r="267" ht="20" customHeight="1">
      <c r="B267" s="86" t="n"/>
      <c r="C267" s="87" t="n"/>
      <c r="D267" s="87" t="n"/>
      <c r="E267" s="87" t="n"/>
      <c r="F267" s="88" t="n"/>
      <c r="G267" s="89" t="n"/>
      <c r="H267" s="90" t="n"/>
      <c r="I267" s="86" t="n"/>
      <c r="J267" s="87" t="n"/>
      <c r="K267" s="91">
        <f>IF($F267="","",$F267*IF($G267="",1,$G267))</f>
        <v/>
      </c>
      <c r="L267" s="92">
        <f>IFERROR(IF($D267="","",INDEX(t_Svc_Rate,MATCH($D267,lst_Service,0))),"")</f>
        <v/>
      </c>
      <c r="M267" s="92">
        <f>IF($L267="","",$L267*IF(p_TierMode="پلکانی",LOOKUP($K267,t_Tier_From,t_Tier_Rate),1))</f>
        <v/>
      </c>
      <c r="N267" s="91">
        <f>IF($K267="","",$K267*$M267)</f>
        <v/>
      </c>
      <c r="O267" s="91">
        <f>IF($N267="","",IF($I267="ابطال",0,MAX(p_Min,MIN(p_Max,$N267))))</f>
        <v/>
      </c>
      <c r="P267" s="91">
        <f>IF($O267="","",ROUND($O267*p_Tax,0))</f>
        <v/>
      </c>
      <c r="Q267" s="91">
        <f>IF($O267="","",$O267+$P267)</f>
        <v/>
      </c>
      <c r="R267" s="92">
        <f>IF($A267="","",IF($H267&lt;&gt;"",$H267,IFERROR(INDEX(t_Member_Share,MATCH($C267,t_Members,0)),p_DefaultShare)))</f>
        <v/>
      </c>
      <c r="S267" s="91">
        <f>IF(OR($Q267="",$R267=""),"",ROUND($Q267*$R267,0))</f>
        <v/>
      </c>
      <c r="T267" s="91">
        <f>IF(OR($Q267="",$S267=""),"",$Q267-$S267)</f>
        <v/>
      </c>
      <c r="U267" s="93">
        <f>IF($B267="","",IFERROR(INDEX(cal_JYear,MATCH($B267,cal_Key,0)),""))</f>
        <v/>
      </c>
      <c r="V267" s="93">
        <f>IF($B267="","",IFERROR(INDEX(cal_JMonth,MATCH($B267,cal_Key,0)),""))</f>
        <v/>
      </c>
      <c r="W267" s="94">
        <f>IF($B267="","",IFERROR(INDEX(cal_YM,MATCH($B267,cal_Key,0)),""))</f>
        <v/>
      </c>
      <c r="X267" s="94">
        <f>IF($B267="","",IFERROR(INDEX(cal_Season,MATCH($B267,cal_Key,0)),""))</f>
        <v/>
      </c>
      <c r="Y267" s="94">
        <f>IF($B267="","",IFERROR(INDEX(cal_Key,MATCH(INDEX(cal_Serial,MATCH($B267,cal_Key,0))+p_Due,cal_Serial,0)),""))</f>
        <v/>
      </c>
      <c r="Z267" s="95">
        <f>IF($B267="","",IF(OR($I267="پرداخت‌شده",$I267="ابطال"),"—",IFERROR(IF(INDEX(cal_Serial,MATCH($B267,cal_Key,0))+p_Due&lt;TODAY(),"بله","خیر"),"تاریخ نامعتبر")))</f>
        <v/>
      </c>
    </row>
    <row r="268" ht="20" customHeight="1">
      <c r="B268" s="86" t="n"/>
      <c r="C268" s="87" t="n"/>
      <c r="D268" s="87" t="n"/>
      <c r="E268" s="87" t="n"/>
      <c r="F268" s="88" t="n"/>
      <c r="G268" s="89" t="n"/>
      <c r="H268" s="90" t="n"/>
      <c r="I268" s="86" t="n"/>
      <c r="J268" s="87" t="n"/>
      <c r="K268" s="91">
        <f>IF($F268="","",$F268*IF($G268="",1,$G268))</f>
        <v/>
      </c>
      <c r="L268" s="92">
        <f>IFERROR(IF($D268="","",INDEX(t_Svc_Rate,MATCH($D268,lst_Service,0))),"")</f>
        <v/>
      </c>
      <c r="M268" s="92">
        <f>IF($L268="","",$L268*IF(p_TierMode="پلکانی",LOOKUP($K268,t_Tier_From,t_Tier_Rate),1))</f>
        <v/>
      </c>
      <c r="N268" s="91">
        <f>IF($K268="","",$K268*$M268)</f>
        <v/>
      </c>
      <c r="O268" s="91">
        <f>IF($N268="","",IF($I268="ابطال",0,MAX(p_Min,MIN(p_Max,$N268))))</f>
        <v/>
      </c>
      <c r="P268" s="91">
        <f>IF($O268="","",ROUND($O268*p_Tax,0))</f>
        <v/>
      </c>
      <c r="Q268" s="91">
        <f>IF($O268="","",$O268+$P268)</f>
        <v/>
      </c>
      <c r="R268" s="92">
        <f>IF($A268="","",IF($H268&lt;&gt;"",$H268,IFERROR(INDEX(t_Member_Share,MATCH($C268,t_Members,0)),p_DefaultShare)))</f>
        <v/>
      </c>
      <c r="S268" s="91">
        <f>IF(OR($Q268="",$R268=""),"",ROUND($Q268*$R268,0))</f>
        <v/>
      </c>
      <c r="T268" s="91">
        <f>IF(OR($Q268="",$S268=""),"",$Q268-$S268)</f>
        <v/>
      </c>
      <c r="U268" s="93">
        <f>IF($B268="","",IFERROR(INDEX(cal_JYear,MATCH($B268,cal_Key,0)),""))</f>
        <v/>
      </c>
      <c r="V268" s="93">
        <f>IF($B268="","",IFERROR(INDEX(cal_JMonth,MATCH($B268,cal_Key,0)),""))</f>
        <v/>
      </c>
      <c r="W268" s="94">
        <f>IF($B268="","",IFERROR(INDEX(cal_YM,MATCH($B268,cal_Key,0)),""))</f>
        <v/>
      </c>
      <c r="X268" s="94">
        <f>IF($B268="","",IFERROR(INDEX(cal_Season,MATCH($B268,cal_Key,0)),""))</f>
        <v/>
      </c>
      <c r="Y268" s="94">
        <f>IF($B268="","",IFERROR(INDEX(cal_Key,MATCH(INDEX(cal_Serial,MATCH($B268,cal_Key,0))+p_Due,cal_Serial,0)),""))</f>
        <v/>
      </c>
      <c r="Z268" s="95">
        <f>IF($B268="","",IF(OR($I268="پرداخت‌شده",$I268="ابطال"),"—",IFERROR(IF(INDEX(cal_Serial,MATCH($B268,cal_Key,0))+p_Due&lt;TODAY(),"بله","خیر"),"تاریخ نامعتبر")))</f>
        <v/>
      </c>
    </row>
    <row r="269" ht="20" customHeight="1">
      <c r="B269" s="86" t="n"/>
      <c r="C269" s="87" t="n"/>
      <c r="D269" s="87" t="n"/>
      <c r="E269" s="87" t="n"/>
      <c r="F269" s="88" t="n"/>
      <c r="G269" s="89" t="n"/>
      <c r="H269" s="90" t="n"/>
      <c r="I269" s="86" t="n"/>
      <c r="J269" s="87" t="n"/>
      <c r="K269" s="91">
        <f>IF($F269="","",$F269*IF($G269="",1,$G269))</f>
        <v/>
      </c>
      <c r="L269" s="92">
        <f>IFERROR(IF($D269="","",INDEX(t_Svc_Rate,MATCH($D269,lst_Service,0))),"")</f>
        <v/>
      </c>
      <c r="M269" s="92">
        <f>IF($L269="","",$L269*IF(p_TierMode="پلکانی",LOOKUP($K269,t_Tier_From,t_Tier_Rate),1))</f>
        <v/>
      </c>
      <c r="N269" s="91">
        <f>IF($K269="","",$K269*$M269)</f>
        <v/>
      </c>
      <c r="O269" s="91">
        <f>IF($N269="","",IF($I269="ابطال",0,MAX(p_Min,MIN(p_Max,$N269))))</f>
        <v/>
      </c>
      <c r="P269" s="91">
        <f>IF($O269="","",ROUND($O269*p_Tax,0))</f>
        <v/>
      </c>
      <c r="Q269" s="91">
        <f>IF($O269="","",$O269+$P269)</f>
        <v/>
      </c>
      <c r="R269" s="92">
        <f>IF($A269="","",IF($H269&lt;&gt;"",$H269,IFERROR(INDEX(t_Member_Share,MATCH($C269,t_Members,0)),p_DefaultShare)))</f>
        <v/>
      </c>
      <c r="S269" s="91">
        <f>IF(OR($Q269="",$R269=""),"",ROUND($Q269*$R269,0))</f>
        <v/>
      </c>
      <c r="T269" s="91">
        <f>IF(OR($Q269="",$S269=""),"",$Q269-$S269)</f>
        <v/>
      </c>
      <c r="U269" s="93">
        <f>IF($B269="","",IFERROR(INDEX(cal_JYear,MATCH($B269,cal_Key,0)),""))</f>
        <v/>
      </c>
      <c r="V269" s="93">
        <f>IF($B269="","",IFERROR(INDEX(cal_JMonth,MATCH($B269,cal_Key,0)),""))</f>
        <v/>
      </c>
      <c r="W269" s="94">
        <f>IF($B269="","",IFERROR(INDEX(cal_YM,MATCH($B269,cal_Key,0)),""))</f>
        <v/>
      </c>
      <c r="X269" s="94">
        <f>IF($B269="","",IFERROR(INDEX(cal_Season,MATCH($B269,cal_Key,0)),""))</f>
        <v/>
      </c>
      <c r="Y269" s="94">
        <f>IF($B269="","",IFERROR(INDEX(cal_Key,MATCH(INDEX(cal_Serial,MATCH($B269,cal_Key,0))+p_Due,cal_Serial,0)),""))</f>
        <v/>
      </c>
      <c r="Z269" s="95">
        <f>IF($B269="","",IF(OR($I269="پرداخت‌شده",$I269="ابطال"),"—",IFERROR(IF(INDEX(cal_Serial,MATCH($B269,cal_Key,0))+p_Due&lt;TODAY(),"بله","خیر"),"تاریخ نامعتبر")))</f>
        <v/>
      </c>
    </row>
    <row r="270" ht="20" customHeight="1">
      <c r="B270" s="86" t="n"/>
      <c r="C270" s="87" t="n"/>
      <c r="D270" s="87" t="n"/>
      <c r="E270" s="87" t="n"/>
      <c r="F270" s="88" t="n"/>
      <c r="G270" s="89" t="n"/>
      <c r="H270" s="90" t="n"/>
      <c r="I270" s="86" t="n"/>
      <c r="J270" s="87" t="n"/>
      <c r="K270" s="91">
        <f>IF($F270="","",$F270*IF($G270="",1,$G270))</f>
        <v/>
      </c>
      <c r="L270" s="92">
        <f>IFERROR(IF($D270="","",INDEX(t_Svc_Rate,MATCH($D270,lst_Service,0))),"")</f>
        <v/>
      </c>
      <c r="M270" s="92">
        <f>IF($L270="","",$L270*IF(p_TierMode="پلکانی",LOOKUP($K270,t_Tier_From,t_Tier_Rate),1))</f>
        <v/>
      </c>
      <c r="N270" s="91">
        <f>IF($K270="","",$K270*$M270)</f>
        <v/>
      </c>
      <c r="O270" s="91">
        <f>IF($N270="","",IF($I270="ابطال",0,MAX(p_Min,MIN(p_Max,$N270))))</f>
        <v/>
      </c>
      <c r="P270" s="91">
        <f>IF($O270="","",ROUND($O270*p_Tax,0))</f>
        <v/>
      </c>
      <c r="Q270" s="91">
        <f>IF($O270="","",$O270+$P270)</f>
        <v/>
      </c>
      <c r="R270" s="92">
        <f>IF($A270="","",IF($H270&lt;&gt;"",$H270,IFERROR(INDEX(t_Member_Share,MATCH($C270,t_Members,0)),p_DefaultShare)))</f>
        <v/>
      </c>
      <c r="S270" s="91">
        <f>IF(OR($Q270="",$R270=""),"",ROUND($Q270*$R270,0))</f>
        <v/>
      </c>
      <c r="T270" s="91">
        <f>IF(OR($Q270="",$S270=""),"",$Q270-$S270)</f>
        <v/>
      </c>
      <c r="U270" s="93">
        <f>IF($B270="","",IFERROR(INDEX(cal_JYear,MATCH($B270,cal_Key,0)),""))</f>
        <v/>
      </c>
      <c r="V270" s="93">
        <f>IF($B270="","",IFERROR(INDEX(cal_JMonth,MATCH($B270,cal_Key,0)),""))</f>
        <v/>
      </c>
      <c r="W270" s="94">
        <f>IF($B270="","",IFERROR(INDEX(cal_YM,MATCH($B270,cal_Key,0)),""))</f>
        <v/>
      </c>
      <c r="X270" s="94">
        <f>IF($B270="","",IFERROR(INDEX(cal_Season,MATCH($B270,cal_Key,0)),""))</f>
        <v/>
      </c>
      <c r="Y270" s="94">
        <f>IF($B270="","",IFERROR(INDEX(cal_Key,MATCH(INDEX(cal_Serial,MATCH($B270,cal_Key,0))+p_Due,cal_Serial,0)),""))</f>
        <v/>
      </c>
      <c r="Z270" s="95">
        <f>IF($B270="","",IF(OR($I270="پرداخت‌شده",$I270="ابطال"),"—",IFERROR(IF(INDEX(cal_Serial,MATCH($B270,cal_Key,0))+p_Due&lt;TODAY(),"بله","خیر"),"تاریخ نامعتبر")))</f>
        <v/>
      </c>
    </row>
    <row r="271" ht="20" customHeight="1">
      <c r="B271" s="86" t="n"/>
      <c r="C271" s="87" t="n"/>
      <c r="D271" s="87" t="n"/>
      <c r="E271" s="87" t="n"/>
      <c r="F271" s="88" t="n"/>
      <c r="G271" s="89" t="n"/>
      <c r="H271" s="90" t="n"/>
      <c r="I271" s="86" t="n"/>
      <c r="J271" s="87" t="n"/>
      <c r="K271" s="91">
        <f>IF($F271="","",$F271*IF($G271="",1,$G271))</f>
        <v/>
      </c>
      <c r="L271" s="92">
        <f>IFERROR(IF($D271="","",INDEX(t_Svc_Rate,MATCH($D271,lst_Service,0))),"")</f>
        <v/>
      </c>
      <c r="M271" s="92">
        <f>IF($L271="","",$L271*IF(p_TierMode="پلکانی",LOOKUP($K271,t_Tier_From,t_Tier_Rate),1))</f>
        <v/>
      </c>
      <c r="N271" s="91">
        <f>IF($K271="","",$K271*$M271)</f>
        <v/>
      </c>
      <c r="O271" s="91">
        <f>IF($N271="","",IF($I271="ابطال",0,MAX(p_Min,MIN(p_Max,$N271))))</f>
        <v/>
      </c>
      <c r="P271" s="91">
        <f>IF($O271="","",ROUND($O271*p_Tax,0))</f>
        <v/>
      </c>
      <c r="Q271" s="91">
        <f>IF($O271="","",$O271+$P271)</f>
        <v/>
      </c>
      <c r="R271" s="92">
        <f>IF($A271="","",IF($H271&lt;&gt;"",$H271,IFERROR(INDEX(t_Member_Share,MATCH($C271,t_Members,0)),p_DefaultShare)))</f>
        <v/>
      </c>
      <c r="S271" s="91">
        <f>IF(OR($Q271="",$R271=""),"",ROUND($Q271*$R271,0))</f>
        <v/>
      </c>
      <c r="T271" s="91">
        <f>IF(OR($Q271="",$S271=""),"",$Q271-$S271)</f>
        <v/>
      </c>
      <c r="U271" s="93">
        <f>IF($B271="","",IFERROR(INDEX(cal_JYear,MATCH($B271,cal_Key,0)),""))</f>
        <v/>
      </c>
      <c r="V271" s="93">
        <f>IF($B271="","",IFERROR(INDEX(cal_JMonth,MATCH($B271,cal_Key,0)),""))</f>
        <v/>
      </c>
      <c r="W271" s="94">
        <f>IF($B271="","",IFERROR(INDEX(cal_YM,MATCH($B271,cal_Key,0)),""))</f>
        <v/>
      </c>
      <c r="X271" s="94">
        <f>IF($B271="","",IFERROR(INDEX(cal_Season,MATCH($B271,cal_Key,0)),""))</f>
        <v/>
      </c>
      <c r="Y271" s="94">
        <f>IF($B271="","",IFERROR(INDEX(cal_Key,MATCH(INDEX(cal_Serial,MATCH($B271,cal_Key,0))+p_Due,cal_Serial,0)),""))</f>
        <v/>
      </c>
      <c r="Z271" s="95">
        <f>IF($B271="","",IF(OR($I271="پرداخت‌شده",$I271="ابطال"),"—",IFERROR(IF(INDEX(cal_Serial,MATCH($B271,cal_Key,0))+p_Due&lt;TODAY(),"بله","خیر"),"تاریخ نامعتبر")))</f>
        <v/>
      </c>
    </row>
    <row r="272" ht="20" customHeight="1">
      <c r="B272" s="86" t="n"/>
      <c r="C272" s="87" t="n"/>
      <c r="D272" s="87" t="n"/>
      <c r="E272" s="87" t="n"/>
      <c r="F272" s="88" t="n"/>
      <c r="G272" s="89" t="n"/>
      <c r="H272" s="90" t="n"/>
      <c r="I272" s="86" t="n"/>
      <c r="J272" s="87" t="n"/>
      <c r="K272" s="91">
        <f>IF($F272="","",$F272*IF($G272="",1,$G272))</f>
        <v/>
      </c>
      <c r="L272" s="92">
        <f>IFERROR(IF($D272="","",INDEX(t_Svc_Rate,MATCH($D272,lst_Service,0))),"")</f>
        <v/>
      </c>
      <c r="M272" s="92">
        <f>IF($L272="","",$L272*IF(p_TierMode="پلکانی",LOOKUP($K272,t_Tier_From,t_Tier_Rate),1))</f>
        <v/>
      </c>
      <c r="N272" s="91">
        <f>IF($K272="","",$K272*$M272)</f>
        <v/>
      </c>
      <c r="O272" s="91">
        <f>IF($N272="","",IF($I272="ابطال",0,MAX(p_Min,MIN(p_Max,$N272))))</f>
        <v/>
      </c>
      <c r="P272" s="91">
        <f>IF($O272="","",ROUND($O272*p_Tax,0))</f>
        <v/>
      </c>
      <c r="Q272" s="91">
        <f>IF($O272="","",$O272+$P272)</f>
        <v/>
      </c>
      <c r="R272" s="92">
        <f>IF($A272="","",IF($H272&lt;&gt;"",$H272,IFERROR(INDEX(t_Member_Share,MATCH($C272,t_Members,0)),p_DefaultShare)))</f>
        <v/>
      </c>
      <c r="S272" s="91">
        <f>IF(OR($Q272="",$R272=""),"",ROUND($Q272*$R272,0))</f>
        <v/>
      </c>
      <c r="T272" s="91">
        <f>IF(OR($Q272="",$S272=""),"",$Q272-$S272)</f>
        <v/>
      </c>
      <c r="U272" s="93">
        <f>IF($B272="","",IFERROR(INDEX(cal_JYear,MATCH($B272,cal_Key,0)),""))</f>
        <v/>
      </c>
      <c r="V272" s="93">
        <f>IF($B272="","",IFERROR(INDEX(cal_JMonth,MATCH($B272,cal_Key,0)),""))</f>
        <v/>
      </c>
      <c r="W272" s="94">
        <f>IF($B272="","",IFERROR(INDEX(cal_YM,MATCH($B272,cal_Key,0)),""))</f>
        <v/>
      </c>
      <c r="X272" s="94">
        <f>IF($B272="","",IFERROR(INDEX(cal_Season,MATCH($B272,cal_Key,0)),""))</f>
        <v/>
      </c>
      <c r="Y272" s="94">
        <f>IF($B272="","",IFERROR(INDEX(cal_Key,MATCH(INDEX(cal_Serial,MATCH($B272,cal_Key,0))+p_Due,cal_Serial,0)),""))</f>
        <v/>
      </c>
      <c r="Z272" s="95">
        <f>IF($B272="","",IF(OR($I272="پرداخت‌شده",$I272="ابطال"),"—",IFERROR(IF(INDEX(cal_Serial,MATCH($B272,cal_Key,0))+p_Due&lt;TODAY(),"بله","خیر"),"تاریخ نامعتبر")))</f>
        <v/>
      </c>
    </row>
    <row r="273" ht="20" customHeight="1">
      <c r="B273" s="86" t="n"/>
      <c r="C273" s="87" t="n"/>
      <c r="D273" s="87" t="n"/>
      <c r="E273" s="87" t="n"/>
      <c r="F273" s="88" t="n"/>
      <c r="G273" s="89" t="n"/>
      <c r="H273" s="90" t="n"/>
      <c r="I273" s="86" t="n"/>
      <c r="J273" s="87" t="n"/>
      <c r="K273" s="91">
        <f>IF($F273="","",$F273*IF($G273="",1,$G273))</f>
        <v/>
      </c>
      <c r="L273" s="92">
        <f>IFERROR(IF($D273="","",INDEX(t_Svc_Rate,MATCH($D273,lst_Service,0))),"")</f>
        <v/>
      </c>
      <c r="M273" s="92">
        <f>IF($L273="","",$L273*IF(p_TierMode="پلکانی",LOOKUP($K273,t_Tier_From,t_Tier_Rate),1))</f>
        <v/>
      </c>
      <c r="N273" s="91">
        <f>IF($K273="","",$K273*$M273)</f>
        <v/>
      </c>
      <c r="O273" s="91">
        <f>IF($N273="","",IF($I273="ابطال",0,MAX(p_Min,MIN(p_Max,$N273))))</f>
        <v/>
      </c>
      <c r="P273" s="91">
        <f>IF($O273="","",ROUND($O273*p_Tax,0))</f>
        <v/>
      </c>
      <c r="Q273" s="91">
        <f>IF($O273="","",$O273+$P273)</f>
        <v/>
      </c>
      <c r="R273" s="92">
        <f>IF($A273="","",IF($H273&lt;&gt;"",$H273,IFERROR(INDEX(t_Member_Share,MATCH($C273,t_Members,0)),p_DefaultShare)))</f>
        <v/>
      </c>
      <c r="S273" s="91">
        <f>IF(OR($Q273="",$R273=""),"",ROUND($Q273*$R273,0))</f>
        <v/>
      </c>
      <c r="T273" s="91">
        <f>IF(OR($Q273="",$S273=""),"",$Q273-$S273)</f>
        <v/>
      </c>
      <c r="U273" s="93">
        <f>IF($B273="","",IFERROR(INDEX(cal_JYear,MATCH($B273,cal_Key,0)),""))</f>
        <v/>
      </c>
      <c r="V273" s="93">
        <f>IF($B273="","",IFERROR(INDEX(cal_JMonth,MATCH($B273,cal_Key,0)),""))</f>
        <v/>
      </c>
      <c r="W273" s="94">
        <f>IF($B273="","",IFERROR(INDEX(cal_YM,MATCH($B273,cal_Key,0)),""))</f>
        <v/>
      </c>
      <c r="X273" s="94">
        <f>IF($B273="","",IFERROR(INDEX(cal_Season,MATCH($B273,cal_Key,0)),""))</f>
        <v/>
      </c>
      <c r="Y273" s="94">
        <f>IF($B273="","",IFERROR(INDEX(cal_Key,MATCH(INDEX(cal_Serial,MATCH($B273,cal_Key,0))+p_Due,cal_Serial,0)),""))</f>
        <v/>
      </c>
      <c r="Z273" s="95">
        <f>IF($B273="","",IF(OR($I273="پرداخت‌شده",$I273="ابطال"),"—",IFERROR(IF(INDEX(cal_Serial,MATCH($B273,cal_Key,0))+p_Due&lt;TODAY(),"بله","خیر"),"تاریخ نامعتبر")))</f>
        <v/>
      </c>
    </row>
    <row r="274" ht="20" customHeight="1">
      <c r="B274" s="86" t="n"/>
      <c r="C274" s="87" t="n"/>
      <c r="D274" s="87" t="n"/>
      <c r="E274" s="87" t="n"/>
      <c r="F274" s="88" t="n"/>
      <c r="G274" s="89" t="n"/>
      <c r="H274" s="90" t="n"/>
      <c r="I274" s="86" t="n"/>
      <c r="J274" s="87" t="n"/>
      <c r="K274" s="91">
        <f>IF($F274="","",$F274*IF($G274="",1,$G274))</f>
        <v/>
      </c>
      <c r="L274" s="92">
        <f>IFERROR(IF($D274="","",INDEX(t_Svc_Rate,MATCH($D274,lst_Service,0))),"")</f>
        <v/>
      </c>
      <c r="M274" s="92">
        <f>IF($L274="","",$L274*IF(p_TierMode="پلکانی",LOOKUP($K274,t_Tier_From,t_Tier_Rate),1))</f>
        <v/>
      </c>
      <c r="N274" s="91">
        <f>IF($K274="","",$K274*$M274)</f>
        <v/>
      </c>
      <c r="O274" s="91">
        <f>IF($N274="","",IF($I274="ابطال",0,MAX(p_Min,MIN(p_Max,$N274))))</f>
        <v/>
      </c>
      <c r="P274" s="91">
        <f>IF($O274="","",ROUND($O274*p_Tax,0))</f>
        <v/>
      </c>
      <c r="Q274" s="91">
        <f>IF($O274="","",$O274+$P274)</f>
        <v/>
      </c>
      <c r="R274" s="92">
        <f>IF($A274="","",IF($H274&lt;&gt;"",$H274,IFERROR(INDEX(t_Member_Share,MATCH($C274,t_Members,0)),p_DefaultShare)))</f>
        <v/>
      </c>
      <c r="S274" s="91">
        <f>IF(OR($Q274="",$R274=""),"",ROUND($Q274*$R274,0))</f>
        <v/>
      </c>
      <c r="T274" s="91">
        <f>IF(OR($Q274="",$S274=""),"",$Q274-$S274)</f>
        <v/>
      </c>
      <c r="U274" s="93">
        <f>IF($B274="","",IFERROR(INDEX(cal_JYear,MATCH($B274,cal_Key,0)),""))</f>
        <v/>
      </c>
      <c r="V274" s="93">
        <f>IF($B274="","",IFERROR(INDEX(cal_JMonth,MATCH($B274,cal_Key,0)),""))</f>
        <v/>
      </c>
      <c r="W274" s="94">
        <f>IF($B274="","",IFERROR(INDEX(cal_YM,MATCH($B274,cal_Key,0)),""))</f>
        <v/>
      </c>
      <c r="X274" s="94">
        <f>IF($B274="","",IFERROR(INDEX(cal_Season,MATCH($B274,cal_Key,0)),""))</f>
        <v/>
      </c>
      <c r="Y274" s="94">
        <f>IF($B274="","",IFERROR(INDEX(cal_Key,MATCH(INDEX(cal_Serial,MATCH($B274,cal_Key,0))+p_Due,cal_Serial,0)),""))</f>
        <v/>
      </c>
      <c r="Z274" s="95">
        <f>IF($B274="","",IF(OR($I274="پرداخت‌شده",$I274="ابطال"),"—",IFERROR(IF(INDEX(cal_Serial,MATCH($B274,cal_Key,0))+p_Due&lt;TODAY(),"بله","خیر"),"تاریخ نامعتبر")))</f>
        <v/>
      </c>
    </row>
    <row r="275" ht="20" customHeight="1">
      <c r="B275" s="86" t="n"/>
      <c r="C275" s="87" t="n"/>
      <c r="D275" s="87" t="n"/>
      <c r="E275" s="87" t="n"/>
      <c r="F275" s="88" t="n"/>
      <c r="G275" s="89" t="n"/>
      <c r="H275" s="90" t="n"/>
      <c r="I275" s="86" t="n"/>
      <c r="J275" s="87" t="n"/>
      <c r="K275" s="91">
        <f>IF($F275="","",$F275*IF($G275="",1,$G275))</f>
        <v/>
      </c>
      <c r="L275" s="92">
        <f>IFERROR(IF($D275="","",INDEX(t_Svc_Rate,MATCH($D275,lst_Service,0))),"")</f>
        <v/>
      </c>
      <c r="M275" s="92">
        <f>IF($L275="","",$L275*IF(p_TierMode="پلکانی",LOOKUP($K275,t_Tier_From,t_Tier_Rate),1))</f>
        <v/>
      </c>
      <c r="N275" s="91">
        <f>IF($K275="","",$K275*$M275)</f>
        <v/>
      </c>
      <c r="O275" s="91">
        <f>IF($N275="","",IF($I275="ابطال",0,MAX(p_Min,MIN(p_Max,$N275))))</f>
        <v/>
      </c>
      <c r="P275" s="91">
        <f>IF($O275="","",ROUND($O275*p_Tax,0))</f>
        <v/>
      </c>
      <c r="Q275" s="91">
        <f>IF($O275="","",$O275+$P275)</f>
        <v/>
      </c>
      <c r="R275" s="92">
        <f>IF($A275="","",IF($H275&lt;&gt;"",$H275,IFERROR(INDEX(t_Member_Share,MATCH($C275,t_Members,0)),p_DefaultShare)))</f>
        <v/>
      </c>
      <c r="S275" s="91">
        <f>IF(OR($Q275="",$R275=""),"",ROUND($Q275*$R275,0))</f>
        <v/>
      </c>
      <c r="T275" s="91">
        <f>IF(OR($Q275="",$S275=""),"",$Q275-$S275)</f>
        <v/>
      </c>
      <c r="U275" s="93">
        <f>IF($B275="","",IFERROR(INDEX(cal_JYear,MATCH($B275,cal_Key,0)),""))</f>
        <v/>
      </c>
      <c r="V275" s="93">
        <f>IF($B275="","",IFERROR(INDEX(cal_JMonth,MATCH($B275,cal_Key,0)),""))</f>
        <v/>
      </c>
      <c r="W275" s="94">
        <f>IF($B275="","",IFERROR(INDEX(cal_YM,MATCH($B275,cal_Key,0)),""))</f>
        <v/>
      </c>
      <c r="X275" s="94">
        <f>IF($B275="","",IFERROR(INDEX(cal_Season,MATCH($B275,cal_Key,0)),""))</f>
        <v/>
      </c>
      <c r="Y275" s="94">
        <f>IF($B275="","",IFERROR(INDEX(cal_Key,MATCH(INDEX(cal_Serial,MATCH($B275,cal_Key,0))+p_Due,cal_Serial,0)),""))</f>
        <v/>
      </c>
      <c r="Z275" s="95">
        <f>IF($B275="","",IF(OR($I275="پرداخت‌شده",$I275="ابطال"),"—",IFERROR(IF(INDEX(cal_Serial,MATCH($B275,cal_Key,0))+p_Due&lt;TODAY(),"بله","خیر"),"تاریخ نامعتبر")))</f>
        <v/>
      </c>
    </row>
    <row r="276" ht="20" customHeight="1">
      <c r="B276" s="86" t="n"/>
      <c r="C276" s="87" t="n"/>
      <c r="D276" s="87" t="n"/>
      <c r="E276" s="87" t="n"/>
      <c r="F276" s="88" t="n"/>
      <c r="G276" s="89" t="n"/>
      <c r="H276" s="90" t="n"/>
      <c r="I276" s="86" t="n"/>
      <c r="J276" s="87" t="n"/>
      <c r="K276" s="91">
        <f>IF($F276="","",$F276*IF($G276="",1,$G276))</f>
        <v/>
      </c>
      <c r="L276" s="92">
        <f>IFERROR(IF($D276="","",INDEX(t_Svc_Rate,MATCH($D276,lst_Service,0))),"")</f>
        <v/>
      </c>
      <c r="M276" s="92">
        <f>IF($L276="","",$L276*IF(p_TierMode="پلکانی",LOOKUP($K276,t_Tier_From,t_Tier_Rate),1))</f>
        <v/>
      </c>
      <c r="N276" s="91">
        <f>IF($K276="","",$K276*$M276)</f>
        <v/>
      </c>
      <c r="O276" s="91">
        <f>IF($N276="","",IF($I276="ابطال",0,MAX(p_Min,MIN(p_Max,$N276))))</f>
        <v/>
      </c>
      <c r="P276" s="91">
        <f>IF($O276="","",ROUND($O276*p_Tax,0))</f>
        <v/>
      </c>
      <c r="Q276" s="91">
        <f>IF($O276="","",$O276+$P276)</f>
        <v/>
      </c>
      <c r="R276" s="92">
        <f>IF($A276="","",IF($H276&lt;&gt;"",$H276,IFERROR(INDEX(t_Member_Share,MATCH($C276,t_Members,0)),p_DefaultShare)))</f>
        <v/>
      </c>
      <c r="S276" s="91">
        <f>IF(OR($Q276="",$R276=""),"",ROUND($Q276*$R276,0))</f>
        <v/>
      </c>
      <c r="T276" s="91">
        <f>IF(OR($Q276="",$S276=""),"",$Q276-$S276)</f>
        <v/>
      </c>
      <c r="U276" s="93">
        <f>IF($B276="","",IFERROR(INDEX(cal_JYear,MATCH($B276,cal_Key,0)),""))</f>
        <v/>
      </c>
      <c r="V276" s="93">
        <f>IF($B276="","",IFERROR(INDEX(cal_JMonth,MATCH($B276,cal_Key,0)),""))</f>
        <v/>
      </c>
      <c r="W276" s="94">
        <f>IF($B276="","",IFERROR(INDEX(cal_YM,MATCH($B276,cal_Key,0)),""))</f>
        <v/>
      </c>
      <c r="X276" s="94">
        <f>IF($B276="","",IFERROR(INDEX(cal_Season,MATCH($B276,cal_Key,0)),""))</f>
        <v/>
      </c>
      <c r="Y276" s="94">
        <f>IF($B276="","",IFERROR(INDEX(cal_Key,MATCH(INDEX(cal_Serial,MATCH($B276,cal_Key,0))+p_Due,cal_Serial,0)),""))</f>
        <v/>
      </c>
      <c r="Z276" s="95">
        <f>IF($B276="","",IF(OR($I276="پرداخت‌شده",$I276="ابطال"),"—",IFERROR(IF(INDEX(cal_Serial,MATCH($B276,cal_Key,0))+p_Due&lt;TODAY(),"بله","خیر"),"تاریخ نامعتبر")))</f>
        <v/>
      </c>
    </row>
    <row r="277" ht="20" customHeight="1">
      <c r="B277" s="86" t="n"/>
      <c r="C277" s="87" t="n"/>
      <c r="D277" s="87" t="n"/>
      <c r="E277" s="87" t="n"/>
      <c r="F277" s="88" t="n"/>
      <c r="G277" s="89" t="n"/>
      <c r="H277" s="90" t="n"/>
      <c r="I277" s="86" t="n"/>
      <c r="J277" s="87" t="n"/>
      <c r="K277" s="91">
        <f>IF($F277="","",$F277*IF($G277="",1,$G277))</f>
        <v/>
      </c>
      <c r="L277" s="92">
        <f>IFERROR(IF($D277="","",INDEX(t_Svc_Rate,MATCH($D277,lst_Service,0))),"")</f>
        <v/>
      </c>
      <c r="M277" s="92">
        <f>IF($L277="","",$L277*IF(p_TierMode="پلکانی",LOOKUP($K277,t_Tier_From,t_Tier_Rate),1))</f>
        <v/>
      </c>
      <c r="N277" s="91">
        <f>IF($K277="","",$K277*$M277)</f>
        <v/>
      </c>
      <c r="O277" s="91">
        <f>IF($N277="","",IF($I277="ابطال",0,MAX(p_Min,MIN(p_Max,$N277))))</f>
        <v/>
      </c>
      <c r="P277" s="91">
        <f>IF($O277="","",ROUND($O277*p_Tax,0))</f>
        <v/>
      </c>
      <c r="Q277" s="91">
        <f>IF($O277="","",$O277+$P277)</f>
        <v/>
      </c>
      <c r="R277" s="92">
        <f>IF($A277="","",IF($H277&lt;&gt;"",$H277,IFERROR(INDEX(t_Member_Share,MATCH($C277,t_Members,0)),p_DefaultShare)))</f>
        <v/>
      </c>
      <c r="S277" s="91">
        <f>IF(OR($Q277="",$R277=""),"",ROUND($Q277*$R277,0))</f>
        <v/>
      </c>
      <c r="T277" s="91">
        <f>IF(OR($Q277="",$S277=""),"",$Q277-$S277)</f>
        <v/>
      </c>
      <c r="U277" s="93">
        <f>IF($B277="","",IFERROR(INDEX(cal_JYear,MATCH($B277,cal_Key,0)),""))</f>
        <v/>
      </c>
      <c r="V277" s="93">
        <f>IF($B277="","",IFERROR(INDEX(cal_JMonth,MATCH($B277,cal_Key,0)),""))</f>
        <v/>
      </c>
      <c r="W277" s="94">
        <f>IF($B277="","",IFERROR(INDEX(cal_YM,MATCH($B277,cal_Key,0)),""))</f>
        <v/>
      </c>
      <c r="X277" s="94">
        <f>IF($B277="","",IFERROR(INDEX(cal_Season,MATCH($B277,cal_Key,0)),""))</f>
        <v/>
      </c>
      <c r="Y277" s="94">
        <f>IF($B277="","",IFERROR(INDEX(cal_Key,MATCH(INDEX(cal_Serial,MATCH($B277,cal_Key,0))+p_Due,cal_Serial,0)),""))</f>
        <v/>
      </c>
      <c r="Z277" s="95">
        <f>IF($B277="","",IF(OR($I277="پرداخت‌شده",$I277="ابطال"),"—",IFERROR(IF(INDEX(cal_Serial,MATCH($B277,cal_Key,0))+p_Due&lt;TODAY(),"بله","خیر"),"تاریخ نامعتبر")))</f>
        <v/>
      </c>
    </row>
    <row r="278" ht="20" customHeight="1">
      <c r="B278" s="86" t="n"/>
      <c r="C278" s="87" t="n"/>
      <c r="D278" s="87" t="n"/>
      <c r="E278" s="87" t="n"/>
      <c r="F278" s="88" t="n"/>
      <c r="G278" s="89" t="n"/>
      <c r="H278" s="90" t="n"/>
      <c r="I278" s="86" t="n"/>
      <c r="J278" s="87" t="n"/>
      <c r="K278" s="91">
        <f>IF($F278="","",$F278*IF($G278="",1,$G278))</f>
        <v/>
      </c>
      <c r="L278" s="92">
        <f>IFERROR(IF($D278="","",INDEX(t_Svc_Rate,MATCH($D278,lst_Service,0))),"")</f>
        <v/>
      </c>
      <c r="M278" s="92">
        <f>IF($L278="","",$L278*IF(p_TierMode="پلکانی",LOOKUP($K278,t_Tier_From,t_Tier_Rate),1))</f>
        <v/>
      </c>
      <c r="N278" s="91">
        <f>IF($K278="","",$K278*$M278)</f>
        <v/>
      </c>
      <c r="O278" s="91">
        <f>IF($N278="","",IF($I278="ابطال",0,MAX(p_Min,MIN(p_Max,$N278))))</f>
        <v/>
      </c>
      <c r="P278" s="91">
        <f>IF($O278="","",ROUND($O278*p_Tax,0))</f>
        <v/>
      </c>
      <c r="Q278" s="91">
        <f>IF($O278="","",$O278+$P278)</f>
        <v/>
      </c>
      <c r="R278" s="92">
        <f>IF($A278="","",IF($H278&lt;&gt;"",$H278,IFERROR(INDEX(t_Member_Share,MATCH($C278,t_Members,0)),p_DefaultShare)))</f>
        <v/>
      </c>
      <c r="S278" s="91">
        <f>IF(OR($Q278="",$R278=""),"",ROUND($Q278*$R278,0))</f>
        <v/>
      </c>
      <c r="T278" s="91">
        <f>IF(OR($Q278="",$S278=""),"",$Q278-$S278)</f>
        <v/>
      </c>
      <c r="U278" s="93">
        <f>IF($B278="","",IFERROR(INDEX(cal_JYear,MATCH($B278,cal_Key,0)),""))</f>
        <v/>
      </c>
      <c r="V278" s="93">
        <f>IF($B278="","",IFERROR(INDEX(cal_JMonth,MATCH($B278,cal_Key,0)),""))</f>
        <v/>
      </c>
      <c r="W278" s="94">
        <f>IF($B278="","",IFERROR(INDEX(cal_YM,MATCH($B278,cal_Key,0)),""))</f>
        <v/>
      </c>
      <c r="X278" s="94">
        <f>IF($B278="","",IFERROR(INDEX(cal_Season,MATCH($B278,cal_Key,0)),""))</f>
        <v/>
      </c>
      <c r="Y278" s="94">
        <f>IF($B278="","",IFERROR(INDEX(cal_Key,MATCH(INDEX(cal_Serial,MATCH($B278,cal_Key,0))+p_Due,cal_Serial,0)),""))</f>
        <v/>
      </c>
      <c r="Z278" s="95">
        <f>IF($B278="","",IF(OR($I278="پرداخت‌شده",$I278="ابطال"),"—",IFERROR(IF(INDEX(cal_Serial,MATCH($B278,cal_Key,0))+p_Due&lt;TODAY(),"بله","خیر"),"تاریخ نامعتبر")))</f>
        <v/>
      </c>
    </row>
    <row r="279" ht="20" customHeight="1">
      <c r="B279" s="86" t="n"/>
      <c r="C279" s="87" t="n"/>
      <c r="D279" s="87" t="n"/>
      <c r="E279" s="87" t="n"/>
      <c r="F279" s="88" t="n"/>
      <c r="G279" s="89" t="n"/>
      <c r="H279" s="90" t="n"/>
      <c r="I279" s="86" t="n"/>
      <c r="J279" s="87" t="n"/>
      <c r="K279" s="91">
        <f>IF($F279="","",$F279*IF($G279="",1,$G279))</f>
        <v/>
      </c>
      <c r="L279" s="92">
        <f>IFERROR(IF($D279="","",INDEX(t_Svc_Rate,MATCH($D279,lst_Service,0))),"")</f>
        <v/>
      </c>
      <c r="M279" s="92">
        <f>IF($L279="","",$L279*IF(p_TierMode="پلکانی",LOOKUP($K279,t_Tier_From,t_Tier_Rate),1))</f>
        <v/>
      </c>
      <c r="N279" s="91">
        <f>IF($K279="","",$K279*$M279)</f>
        <v/>
      </c>
      <c r="O279" s="91">
        <f>IF($N279="","",IF($I279="ابطال",0,MAX(p_Min,MIN(p_Max,$N279))))</f>
        <v/>
      </c>
      <c r="P279" s="91">
        <f>IF($O279="","",ROUND($O279*p_Tax,0))</f>
        <v/>
      </c>
      <c r="Q279" s="91">
        <f>IF($O279="","",$O279+$P279)</f>
        <v/>
      </c>
      <c r="R279" s="92">
        <f>IF($A279="","",IF($H279&lt;&gt;"",$H279,IFERROR(INDEX(t_Member_Share,MATCH($C279,t_Members,0)),p_DefaultShare)))</f>
        <v/>
      </c>
      <c r="S279" s="91">
        <f>IF(OR($Q279="",$R279=""),"",ROUND($Q279*$R279,0))</f>
        <v/>
      </c>
      <c r="T279" s="91">
        <f>IF(OR($Q279="",$S279=""),"",$Q279-$S279)</f>
        <v/>
      </c>
      <c r="U279" s="93">
        <f>IF($B279="","",IFERROR(INDEX(cal_JYear,MATCH($B279,cal_Key,0)),""))</f>
        <v/>
      </c>
      <c r="V279" s="93">
        <f>IF($B279="","",IFERROR(INDEX(cal_JMonth,MATCH($B279,cal_Key,0)),""))</f>
        <v/>
      </c>
      <c r="W279" s="94">
        <f>IF($B279="","",IFERROR(INDEX(cal_YM,MATCH($B279,cal_Key,0)),""))</f>
        <v/>
      </c>
      <c r="X279" s="94">
        <f>IF($B279="","",IFERROR(INDEX(cal_Season,MATCH($B279,cal_Key,0)),""))</f>
        <v/>
      </c>
      <c r="Y279" s="94">
        <f>IF($B279="","",IFERROR(INDEX(cal_Key,MATCH(INDEX(cal_Serial,MATCH($B279,cal_Key,0))+p_Due,cal_Serial,0)),""))</f>
        <v/>
      </c>
      <c r="Z279" s="95">
        <f>IF($B279="","",IF(OR($I279="پرداخت‌شده",$I279="ابطال"),"—",IFERROR(IF(INDEX(cal_Serial,MATCH($B279,cal_Key,0))+p_Due&lt;TODAY(),"بله","خیر"),"تاریخ نامعتبر")))</f>
        <v/>
      </c>
    </row>
    <row r="280" ht="20" customHeight="1">
      <c r="B280" s="86" t="n"/>
      <c r="C280" s="87" t="n"/>
      <c r="D280" s="87" t="n"/>
      <c r="E280" s="87" t="n"/>
      <c r="F280" s="88" t="n"/>
      <c r="G280" s="89" t="n"/>
      <c r="H280" s="90" t="n"/>
      <c r="I280" s="86" t="n"/>
      <c r="J280" s="87" t="n"/>
      <c r="K280" s="91">
        <f>IF($F280="","",$F280*IF($G280="",1,$G280))</f>
        <v/>
      </c>
      <c r="L280" s="92">
        <f>IFERROR(IF($D280="","",INDEX(t_Svc_Rate,MATCH($D280,lst_Service,0))),"")</f>
        <v/>
      </c>
      <c r="M280" s="92">
        <f>IF($L280="","",$L280*IF(p_TierMode="پلکانی",LOOKUP($K280,t_Tier_From,t_Tier_Rate),1))</f>
        <v/>
      </c>
      <c r="N280" s="91">
        <f>IF($K280="","",$K280*$M280)</f>
        <v/>
      </c>
      <c r="O280" s="91">
        <f>IF($N280="","",IF($I280="ابطال",0,MAX(p_Min,MIN(p_Max,$N280))))</f>
        <v/>
      </c>
      <c r="P280" s="91">
        <f>IF($O280="","",ROUND($O280*p_Tax,0))</f>
        <v/>
      </c>
      <c r="Q280" s="91">
        <f>IF($O280="","",$O280+$P280)</f>
        <v/>
      </c>
      <c r="R280" s="92">
        <f>IF($A280="","",IF($H280&lt;&gt;"",$H280,IFERROR(INDEX(t_Member_Share,MATCH($C280,t_Members,0)),p_DefaultShare)))</f>
        <v/>
      </c>
      <c r="S280" s="91">
        <f>IF(OR($Q280="",$R280=""),"",ROUND($Q280*$R280,0))</f>
        <v/>
      </c>
      <c r="T280" s="91">
        <f>IF(OR($Q280="",$S280=""),"",$Q280-$S280)</f>
        <v/>
      </c>
      <c r="U280" s="93">
        <f>IF($B280="","",IFERROR(INDEX(cal_JYear,MATCH($B280,cal_Key,0)),""))</f>
        <v/>
      </c>
      <c r="V280" s="93">
        <f>IF($B280="","",IFERROR(INDEX(cal_JMonth,MATCH($B280,cal_Key,0)),""))</f>
        <v/>
      </c>
      <c r="W280" s="94">
        <f>IF($B280="","",IFERROR(INDEX(cal_YM,MATCH($B280,cal_Key,0)),""))</f>
        <v/>
      </c>
      <c r="X280" s="94">
        <f>IF($B280="","",IFERROR(INDEX(cal_Season,MATCH($B280,cal_Key,0)),""))</f>
        <v/>
      </c>
      <c r="Y280" s="94">
        <f>IF($B280="","",IFERROR(INDEX(cal_Key,MATCH(INDEX(cal_Serial,MATCH($B280,cal_Key,0))+p_Due,cal_Serial,0)),""))</f>
        <v/>
      </c>
      <c r="Z280" s="95">
        <f>IF($B280="","",IF(OR($I280="پرداخت‌شده",$I280="ابطال"),"—",IFERROR(IF(INDEX(cal_Serial,MATCH($B280,cal_Key,0))+p_Due&lt;TODAY(),"بله","خیر"),"تاریخ نامعتبر")))</f>
        <v/>
      </c>
    </row>
    <row r="281" ht="20" customHeight="1">
      <c r="B281" s="86" t="n"/>
      <c r="C281" s="87" t="n"/>
      <c r="D281" s="87" t="n"/>
      <c r="E281" s="87" t="n"/>
      <c r="F281" s="88" t="n"/>
      <c r="G281" s="89" t="n"/>
      <c r="H281" s="90" t="n"/>
      <c r="I281" s="86" t="n"/>
      <c r="J281" s="87" t="n"/>
      <c r="K281" s="91">
        <f>IF($F281="","",$F281*IF($G281="",1,$G281))</f>
        <v/>
      </c>
      <c r="L281" s="92">
        <f>IFERROR(IF($D281="","",INDEX(t_Svc_Rate,MATCH($D281,lst_Service,0))),"")</f>
        <v/>
      </c>
      <c r="M281" s="92">
        <f>IF($L281="","",$L281*IF(p_TierMode="پلکانی",LOOKUP($K281,t_Tier_From,t_Tier_Rate),1))</f>
        <v/>
      </c>
      <c r="N281" s="91">
        <f>IF($K281="","",$K281*$M281)</f>
        <v/>
      </c>
      <c r="O281" s="91">
        <f>IF($N281="","",IF($I281="ابطال",0,MAX(p_Min,MIN(p_Max,$N281))))</f>
        <v/>
      </c>
      <c r="P281" s="91">
        <f>IF($O281="","",ROUND($O281*p_Tax,0))</f>
        <v/>
      </c>
      <c r="Q281" s="91">
        <f>IF($O281="","",$O281+$P281)</f>
        <v/>
      </c>
      <c r="R281" s="92">
        <f>IF($A281="","",IF($H281&lt;&gt;"",$H281,IFERROR(INDEX(t_Member_Share,MATCH($C281,t_Members,0)),p_DefaultShare)))</f>
        <v/>
      </c>
      <c r="S281" s="91">
        <f>IF(OR($Q281="",$R281=""),"",ROUND($Q281*$R281,0))</f>
        <v/>
      </c>
      <c r="T281" s="91">
        <f>IF(OR($Q281="",$S281=""),"",$Q281-$S281)</f>
        <v/>
      </c>
      <c r="U281" s="93">
        <f>IF($B281="","",IFERROR(INDEX(cal_JYear,MATCH($B281,cal_Key,0)),""))</f>
        <v/>
      </c>
      <c r="V281" s="93">
        <f>IF($B281="","",IFERROR(INDEX(cal_JMonth,MATCH($B281,cal_Key,0)),""))</f>
        <v/>
      </c>
      <c r="W281" s="94">
        <f>IF($B281="","",IFERROR(INDEX(cal_YM,MATCH($B281,cal_Key,0)),""))</f>
        <v/>
      </c>
      <c r="X281" s="94">
        <f>IF($B281="","",IFERROR(INDEX(cal_Season,MATCH($B281,cal_Key,0)),""))</f>
        <v/>
      </c>
      <c r="Y281" s="94">
        <f>IF($B281="","",IFERROR(INDEX(cal_Key,MATCH(INDEX(cal_Serial,MATCH($B281,cal_Key,0))+p_Due,cal_Serial,0)),""))</f>
        <v/>
      </c>
      <c r="Z281" s="95">
        <f>IF($B281="","",IF(OR($I281="پرداخت‌شده",$I281="ابطال"),"—",IFERROR(IF(INDEX(cal_Serial,MATCH($B281,cal_Key,0))+p_Due&lt;TODAY(),"بله","خیر"),"تاریخ نامعتبر")))</f>
        <v/>
      </c>
    </row>
    <row r="282" ht="20" customHeight="1">
      <c r="B282" s="86" t="n"/>
      <c r="C282" s="87" t="n"/>
      <c r="D282" s="87" t="n"/>
      <c r="E282" s="87" t="n"/>
      <c r="F282" s="88" t="n"/>
      <c r="G282" s="89" t="n"/>
      <c r="H282" s="90" t="n"/>
      <c r="I282" s="86" t="n"/>
      <c r="J282" s="87" t="n"/>
      <c r="K282" s="91">
        <f>IF($F282="","",$F282*IF($G282="",1,$G282))</f>
        <v/>
      </c>
      <c r="L282" s="92">
        <f>IFERROR(IF($D282="","",INDEX(t_Svc_Rate,MATCH($D282,lst_Service,0))),"")</f>
        <v/>
      </c>
      <c r="M282" s="92">
        <f>IF($L282="","",$L282*IF(p_TierMode="پلکانی",LOOKUP($K282,t_Tier_From,t_Tier_Rate),1))</f>
        <v/>
      </c>
      <c r="N282" s="91">
        <f>IF($K282="","",$K282*$M282)</f>
        <v/>
      </c>
      <c r="O282" s="91">
        <f>IF($N282="","",IF($I282="ابطال",0,MAX(p_Min,MIN(p_Max,$N282))))</f>
        <v/>
      </c>
      <c r="P282" s="91">
        <f>IF($O282="","",ROUND($O282*p_Tax,0))</f>
        <v/>
      </c>
      <c r="Q282" s="91">
        <f>IF($O282="","",$O282+$P282)</f>
        <v/>
      </c>
      <c r="R282" s="92">
        <f>IF($A282="","",IF($H282&lt;&gt;"",$H282,IFERROR(INDEX(t_Member_Share,MATCH($C282,t_Members,0)),p_DefaultShare)))</f>
        <v/>
      </c>
      <c r="S282" s="91">
        <f>IF(OR($Q282="",$R282=""),"",ROUND($Q282*$R282,0))</f>
        <v/>
      </c>
      <c r="T282" s="91">
        <f>IF(OR($Q282="",$S282=""),"",$Q282-$S282)</f>
        <v/>
      </c>
      <c r="U282" s="93">
        <f>IF($B282="","",IFERROR(INDEX(cal_JYear,MATCH($B282,cal_Key,0)),""))</f>
        <v/>
      </c>
      <c r="V282" s="93">
        <f>IF($B282="","",IFERROR(INDEX(cal_JMonth,MATCH($B282,cal_Key,0)),""))</f>
        <v/>
      </c>
      <c r="W282" s="94">
        <f>IF($B282="","",IFERROR(INDEX(cal_YM,MATCH($B282,cal_Key,0)),""))</f>
        <v/>
      </c>
      <c r="X282" s="94">
        <f>IF($B282="","",IFERROR(INDEX(cal_Season,MATCH($B282,cal_Key,0)),""))</f>
        <v/>
      </c>
      <c r="Y282" s="94">
        <f>IF($B282="","",IFERROR(INDEX(cal_Key,MATCH(INDEX(cal_Serial,MATCH($B282,cal_Key,0))+p_Due,cal_Serial,0)),""))</f>
        <v/>
      </c>
      <c r="Z282" s="95">
        <f>IF($B282="","",IF(OR($I282="پرداخت‌شده",$I282="ابطال"),"—",IFERROR(IF(INDEX(cal_Serial,MATCH($B282,cal_Key,0))+p_Due&lt;TODAY(),"بله","خیر"),"تاریخ نامعتبر")))</f>
        <v/>
      </c>
    </row>
    <row r="283" ht="20" customHeight="1">
      <c r="B283" s="86" t="n"/>
      <c r="C283" s="87" t="n"/>
      <c r="D283" s="87" t="n"/>
      <c r="E283" s="87" t="n"/>
      <c r="F283" s="88" t="n"/>
      <c r="G283" s="89" t="n"/>
      <c r="H283" s="90" t="n"/>
      <c r="I283" s="86" t="n"/>
      <c r="J283" s="87" t="n"/>
      <c r="K283" s="91">
        <f>IF($F283="","",$F283*IF($G283="",1,$G283))</f>
        <v/>
      </c>
      <c r="L283" s="92">
        <f>IFERROR(IF($D283="","",INDEX(t_Svc_Rate,MATCH($D283,lst_Service,0))),"")</f>
        <v/>
      </c>
      <c r="M283" s="92">
        <f>IF($L283="","",$L283*IF(p_TierMode="پلکانی",LOOKUP($K283,t_Tier_From,t_Tier_Rate),1))</f>
        <v/>
      </c>
      <c r="N283" s="91">
        <f>IF($K283="","",$K283*$M283)</f>
        <v/>
      </c>
      <c r="O283" s="91">
        <f>IF($N283="","",IF($I283="ابطال",0,MAX(p_Min,MIN(p_Max,$N283))))</f>
        <v/>
      </c>
      <c r="P283" s="91">
        <f>IF($O283="","",ROUND($O283*p_Tax,0))</f>
        <v/>
      </c>
      <c r="Q283" s="91">
        <f>IF($O283="","",$O283+$P283)</f>
        <v/>
      </c>
      <c r="R283" s="92">
        <f>IF($A283="","",IF($H283&lt;&gt;"",$H283,IFERROR(INDEX(t_Member_Share,MATCH($C283,t_Members,0)),p_DefaultShare)))</f>
        <v/>
      </c>
      <c r="S283" s="91">
        <f>IF(OR($Q283="",$R283=""),"",ROUND($Q283*$R283,0))</f>
        <v/>
      </c>
      <c r="T283" s="91">
        <f>IF(OR($Q283="",$S283=""),"",$Q283-$S283)</f>
        <v/>
      </c>
      <c r="U283" s="93">
        <f>IF($B283="","",IFERROR(INDEX(cal_JYear,MATCH($B283,cal_Key,0)),""))</f>
        <v/>
      </c>
      <c r="V283" s="93">
        <f>IF($B283="","",IFERROR(INDEX(cal_JMonth,MATCH($B283,cal_Key,0)),""))</f>
        <v/>
      </c>
      <c r="W283" s="94">
        <f>IF($B283="","",IFERROR(INDEX(cal_YM,MATCH($B283,cal_Key,0)),""))</f>
        <v/>
      </c>
      <c r="X283" s="94">
        <f>IF($B283="","",IFERROR(INDEX(cal_Season,MATCH($B283,cal_Key,0)),""))</f>
        <v/>
      </c>
      <c r="Y283" s="94">
        <f>IF($B283="","",IFERROR(INDEX(cal_Key,MATCH(INDEX(cal_Serial,MATCH($B283,cal_Key,0))+p_Due,cal_Serial,0)),""))</f>
        <v/>
      </c>
      <c r="Z283" s="95">
        <f>IF($B283="","",IF(OR($I283="پرداخت‌شده",$I283="ابطال"),"—",IFERROR(IF(INDEX(cal_Serial,MATCH($B283,cal_Key,0))+p_Due&lt;TODAY(),"بله","خیر"),"تاریخ نامعتبر")))</f>
        <v/>
      </c>
    </row>
    <row r="284" ht="20" customHeight="1">
      <c r="B284" s="86" t="n"/>
      <c r="C284" s="87" t="n"/>
      <c r="D284" s="87" t="n"/>
      <c r="E284" s="87" t="n"/>
      <c r="F284" s="88" t="n"/>
      <c r="G284" s="89" t="n"/>
      <c r="H284" s="90" t="n"/>
      <c r="I284" s="86" t="n"/>
      <c r="J284" s="87" t="n"/>
      <c r="K284" s="91">
        <f>IF($F284="","",$F284*IF($G284="",1,$G284))</f>
        <v/>
      </c>
      <c r="L284" s="92">
        <f>IFERROR(IF($D284="","",INDEX(t_Svc_Rate,MATCH($D284,lst_Service,0))),"")</f>
        <v/>
      </c>
      <c r="M284" s="92">
        <f>IF($L284="","",$L284*IF(p_TierMode="پلکانی",LOOKUP($K284,t_Tier_From,t_Tier_Rate),1))</f>
        <v/>
      </c>
      <c r="N284" s="91">
        <f>IF($K284="","",$K284*$M284)</f>
        <v/>
      </c>
      <c r="O284" s="91">
        <f>IF($N284="","",IF($I284="ابطال",0,MAX(p_Min,MIN(p_Max,$N284))))</f>
        <v/>
      </c>
      <c r="P284" s="91">
        <f>IF($O284="","",ROUND($O284*p_Tax,0))</f>
        <v/>
      </c>
      <c r="Q284" s="91">
        <f>IF($O284="","",$O284+$P284)</f>
        <v/>
      </c>
      <c r="R284" s="92">
        <f>IF($A284="","",IF($H284&lt;&gt;"",$H284,IFERROR(INDEX(t_Member_Share,MATCH($C284,t_Members,0)),p_DefaultShare)))</f>
        <v/>
      </c>
      <c r="S284" s="91">
        <f>IF(OR($Q284="",$R284=""),"",ROUND($Q284*$R284,0))</f>
        <v/>
      </c>
      <c r="T284" s="91">
        <f>IF(OR($Q284="",$S284=""),"",$Q284-$S284)</f>
        <v/>
      </c>
      <c r="U284" s="93">
        <f>IF($B284="","",IFERROR(INDEX(cal_JYear,MATCH($B284,cal_Key,0)),""))</f>
        <v/>
      </c>
      <c r="V284" s="93">
        <f>IF($B284="","",IFERROR(INDEX(cal_JMonth,MATCH($B284,cal_Key,0)),""))</f>
        <v/>
      </c>
      <c r="W284" s="94">
        <f>IF($B284="","",IFERROR(INDEX(cal_YM,MATCH($B284,cal_Key,0)),""))</f>
        <v/>
      </c>
      <c r="X284" s="94">
        <f>IF($B284="","",IFERROR(INDEX(cal_Season,MATCH($B284,cal_Key,0)),""))</f>
        <v/>
      </c>
      <c r="Y284" s="94">
        <f>IF($B284="","",IFERROR(INDEX(cal_Key,MATCH(INDEX(cal_Serial,MATCH($B284,cal_Key,0))+p_Due,cal_Serial,0)),""))</f>
        <v/>
      </c>
      <c r="Z284" s="95">
        <f>IF($B284="","",IF(OR($I284="پرداخت‌شده",$I284="ابطال"),"—",IFERROR(IF(INDEX(cal_Serial,MATCH($B284,cal_Key,0))+p_Due&lt;TODAY(),"بله","خیر"),"تاریخ نامعتبر")))</f>
        <v/>
      </c>
    </row>
    <row r="285" ht="20" customHeight="1">
      <c r="B285" s="86" t="n"/>
      <c r="C285" s="87" t="n"/>
      <c r="D285" s="87" t="n"/>
      <c r="E285" s="87" t="n"/>
      <c r="F285" s="88" t="n"/>
      <c r="G285" s="89" t="n"/>
      <c r="H285" s="90" t="n"/>
      <c r="I285" s="86" t="n"/>
      <c r="J285" s="87" t="n"/>
      <c r="K285" s="91">
        <f>IF($F285="","",$F285*IF($G285="",1,$G285))</f>
        <v/>
      </c>
      <c r="L285" s="92">
        <f>IFERROR(IF($D285="","",INDEX(t_Svc_Rate,MATCH($D285,lst_Service,0))),"")</f>
        <v/>
      </c>
      <c r="M285" s="92">
        <f>IF($L285="","",$L285*IF(p_TierMode="پلکانی",LOOKUP($K285,t_Tier_From,t_Tier_Rate),1))</f>
        <v/>
      </c>
      <c r="N285" s="91">
        <f>IF($K285="","",$K285*$M285)</f>
        <v/>
      </c>
      <c r="O285" s="91">
        <f>IF($N285="","",IF($I285="ابطال",0,MAX(p_Min,MIN(p_Max,$N285))))</f>
        <v/>
      </c>
      <c r="P285" s="91">
        <f>IF($O285="","",ROUND($O285*p_Tax,0))</f>
        <v/>
      </c>
      <c r="Q285" s="91">
        <f>IF($O285="","",$O285+$P285)</f>
        <v/>
      </c>
      <c r="R285" s="92">
        <f>IF($A285="","",IF($H285&lt;&gt;"",$H285,IFERROR(INDEX(t_Member_Share,MATCH($C285,t_Members,0)),p_DefaultShare)))</f>
        <v/>
      </c>
      <c r="S285" s="91">
        <f>IF(OR($Q285="",$R285=""),"",ROUND($Q285*$R285,0))</f>
        <v/>
      </c>
      <c r="T285" s="91">
        <f>IF(OR($Q285="",$S285=""),"",$Q285-$S285)</f>
        <v/>
      </c>
      <c r="U285" s="93">
        <f>IF($B285="","",IFERROR(INDEX(cal_JYear,MATCH($B285,cal_Key,0)),""))</f>
        <v/>
      </c>
      <c r="V285" s="93">
        <f>IF($B285="","",IFERROR(INDEX(cal_JMonth,MATCH($B285,cal_Key,0)),""))</f>
        <v/>
      </c>
      <c r="W285" s="94">
        <f>IF($B285="","",IFERROR(INDEX(cal_YM,MATCH($B285,cal_Key,0)),""))</f>
        <v/>
      </c>
      <c r="X285" s="94">
        <f>IF($B285="","",IFERROR(INDEX(cal_Season,MATCH($B285,cal_Key,0)),""))</f>
        <v/>
      </c>
      <c r="Y285" s="94">
        <f>IF($B285="","",IFERROR(INDEX(cal_Key,MATCH(INDEX(cal_Serial,MATCH($B285,cal_Key,0))+p_Due,cal_Serial,0)),""))</f>
        <v/>
      </c>
      <c r="Z285" s="95">
        <f>IF($B285="","",IF(OR($I285="پرداخت‌شده",$I285="ابطال"),"—",IFERROR(IF(INDEX(cal_Serial,MATCH($B285,cal_Key,0))+p_Due&lt;TODAY(),"بله","خیر"),"تاریخ نامعتبر")))</f>
        <v/>
      </c>
    </row>
    <row r="286" ht="20" customHeight="1">
      <c r="B286" s="86" t="n"/>
      <c r="C286" s="87" t="n"/>
      <c r="D286" s="87" t="n"/>
      <c r="E286" s="87" t="n"/>
      <c r="F286" s="88" t="n"/>
      <c r="G286" s="89" t="n"/>
      <c r="H286" s="90" t="n"/>
      <c r="I286" s="86" t="n"/>
      <c r="J286" s="87" t="n"/>
      <c r="K286" s="91">
        <f>IF($F286="","",$F286*IF($G286="",1,$G286))</f>
        <v/>
      </c>
      <c r="L286" s="92">
        <f>IFERROR(IF($D286="","",INDEX(t_Svc_Rate,MATCH($D286,lst_Service,0))),"")</f>
        <v/>
      </c>
      <c r="M286" s="92">
        <f>IF($L286="","",$L286*IF(p_TierMode="پلکانی",LOOKUP($K286,t_Tier_From,t_Tier_Rate),1))</f>
        <v/>
      </c>
      <c r="N286" s="91">
        <f>IF($K286="","",$K286*$M286)</f>
        <v/>
      </c>
      <c r="O286" s="91">
        <f>IF($N286="","",IF($I286="ابطال",0,MAX(p_Min,MIN(p_Max,$N286))))</f>
        <v/>
      </c>
      <c r="P286" s="91">
        <f>IF($O286="","",ROUND($O286*p_Tax,0))</f>
        <v/>
      </c>
      <c r="Q286" s="91">
        <f>IF($O286="","",$O286+$P286)</f>
        <v/>
      </c>
      <c r="R286" s="92">
        <f>IF($A286="","",IF($H286&lt;&gt;"",$H286,IFERROR(INDEX(t_Member_Share,MATCH($C286,t_Members,0)),p_DefaultShare)))</f>
        <v/>
      </c>
      <c r="S286" s="91">
        <f>IF(OR($Q286="",$R286=""),"",ROUND($Q286*$R286,0))</f>
        <v/>
      </c>
      <c r="T286" s="91">
        <f>IF(OR($Q286="",$S286=""),"",$Q286-$S286)</f>
        <v/>
      </c>
      <c r="U286" s="93">
        <f>IF($B286="","",IFERROR(INDEX(cal_JYear,MATCH($B286,cal_Key,0)),""))</f>
        <v/>
      </c>
      <c r="V286" s="93">
        <f>IF($B286="","",IFERROR(INDEX(cal_JMonth,MATCH($B286,cal_Key,0)),""))</f>
        <v/>
      </c>
      <c r="W286" s="94">
        <f>IF($B286="","",IFERROR(INDEX(cal_YM,MATCH($B286,cal_Key,0)),""))</f>
        <v/>
      </c>
      <c r="X286" s="94">
        <f>IF($B286="","",IFERROR(INDEX(cal_Season,MATCH($B286,cal_Key,0)),""))</f>
        <v/>
      </c>
      <c r="Y286" s="94">
        <f>IF($B286="","",IFERROR(INDEX(cal_Key,MATCH(INDEX(cal_Serial,MATCH($B286,cal_Key,0))+p_Due,cal_Serial,0)),""))</f>
        <v/>
      </c>
      <c r="Z286" s="95">
        <f>IF($B286="","",IF(OR($I286="پرداخت‌شده",$I286="ابطال"),"—",IFERROR(IF(INDEX(cal_Serial,MATCH($B286,cal_Key,0))+p_Due&lt;TODAY(),"بله","خیر"),"تاریخ نامعتبر")))</f>
        <v/>
      </c>
    </row>
    <row r="287" ht="20" customHeight="1">
      <c r="B287" s="86" t="n"/>
      <c r="C287" s="87" t="n"/>
      <c r="D287" s="87" t="n"/>
      <c r="E287" s="87" t="n"/>
      <c r="F287" s="88" t="n"/>
      <c r="G287" s="89" t="n"/>
      <c r="H287" s="90" t="n"/>
      <c r="I287" s="86" t="n"/>
      <c r="J287" s="87" t="n"/>
      <c r="K287" s="91">
        <f>IF($F287="","",$F287*IF($G287="",1,$G287))</f>
        <v/>
      </c>
      <c r="L287" s="92">
        <f>IFERROR(IF($D287="","",INDEX(t_Svc_Rate,MATCH($D287,lst_Service,0))),"")</f>
        <v/>
      </c>
      <c r="M287" s="92">
        <f>IF($L287="","",$L287*IF(p_TierMode="پلکانی",LOOKUP($K287,t_Tier_From,t_Tier_Rate),1))</f>
        <v/>
      </c>
      <c r="N287" s="91">
        <f>IF($K287="","",$K287*$M287)</f>
        <v/>
      </c>
      <c r="O287" s="91">
        <f>IF($N287="","",IF($I287="ابطال",0,MAX(p_Min,MIN(p_Max,$N287))))</f>
        <v/>
      </c>
      <c r="P287" s="91">
        <f>IF($O287="","",ROUND($O287*p_Tax,0))</f>
        <v/>
      </c>
      <c r="Q287" s="91">
        <f>IF($O287="","",$O287+$P287)</f>
        <v/>
      </c>
      <c r="R287" s="92">
        <f>IF($A287="","",IF($H287&lt;&gt;"",$H287,IFERROR(INDEX(t_Member_Share,MATCH($C287,t_Members,0)),p_DefaultShare)))</f>
        <v/>
      </c>
      <c r="S287" s="91">
        <f>IF(OR($Q287="",$R287=""),"",ROUND($Q287*$R287,0))</f>
        <v/>
      </c>
      <c r="T287" s="91">
        <f>IF(OR($Q287="",$S287=""),"",$Q287-$S287)</f>
        <v/>
      </c>
      <c r="U287" s="93">
        <f>IF($B287="","",IFERROR(INDEX(cal_JYear,MATCH($B287,cal_Key,0)),""))</f>
        <v/>
      </c>
      <c r="V287" s="93">
        <f>IF($B287="","",IFERROR(INDEX(cal_JMonth,MATCH($B287,cal_Key,0)),""))</f>
        <v/>
      </c>
      <c r="W287" s="94">
        <f>IF($B287="","",IFERROR(INDEX(cal_YM,MATCH($B287,cal_Key,0)),""))</f>
        <v/>
      </c>
      <c r="X287" s="94">
        <f>IF($B287="","",IFERROR(INDEX(cal_Season,MATCH($B287,cal_Key,0)),""))</f>
        <v/>
      </c>
      <c r="Y287" s="94">
        <f>IF($B287="","",IFERROR(INDEX(cal_Key,MATCH(INDEX(cal_Serial,MATCH($B287,cal_Key,0))+p_Due,cal_Serial,0)),""))</f>
        <v/>
      </c>
      <c r="Z287" s="95">
        <f>IF($B287="","",IF(OR($I287="پرداخت‌شده",$I287="ابطال"),"—",IFERROR(IF(INDEX(cal_Serial,MATCH($B287,cal_Key,0))+p_Due&lt;TODAY(),"بله","خیر"),"تاریخ نامعتبر")))</f>
        <v/>
      </c>
    </row>
    <row r="288" ht="20" customHeight="1">
      <c r="B288" s="86" t="n"/>
      <c r="C288" s="87" t="n"/>
      <c r="D288" s="87" t="n"/>
      <c r="E288" s="87" t="n"/>
      <c r="F288" s="88" t="n"/>
      <c r="G288" s="89" t="n"/>
      <c r="H288" s="90" t="n"/>
      <c r="I288" s="86" t="n"/>
      <c r="J288" s="87" t="n"/>
      <c r="K288" s="91">
        <f>IF($F288="","",$F288*IF($G288="",1,$G288))</f>
        <v/>
      </c>
      <c r="L288" s="92">
        <f>IFERROR(IF($D288="","",INDEX(t_Svc_Rate,MATCH($D288,lst_Service,0))),"")</f>
        <v/>
      </c>
      <c r="M288" s="92">
        <f>IF($L288="","",$L288*IF(p_TierMode="پلکانی",LOOKUP($K288,t_Tier_From,t_Tier_Rate),1))</f>
        <v/>
      </c>
      <c r="N288" s="91">
        <f>IF($K288="","",$K288*$M288)</f>
        <v/>
      </c>
      <c r="O288" s="91">
        <f>IF($N288="","",IF($I288="ابطال",0,MAX(p_Min,MIN(p_Max,$N288))))</f>
        <v/>
      </c>
      <c r="P288" s="91">
        <f>IF($O288="","",ROUND($O288*p_Tax,0))</f>
        <v/>
      </c>
      <c r="Q288" s="91">
        <f>IF($O288="","",$O288+$P288)</f>
        <v/>
      </c>
      <c r="R288" s="92">
        <f>IF($A288="","",IF($H288&lt;&gt;"",$H288,IFERROR(INDEX(t_Member_Share,MATCH($C288,t_Members,0)),p_DefaultShare)))</f>
        <v/>
      </c>
      <c r="S288" s="91">
        <f>IF(OR($Q288="",$R288=""),"",ROUND($Q288*$R288,0))</f>
        <v/>
      </c>
      <c r="T288" s="91">
        <f>IF(OR($Q288="",$S288=""),"",$Q288-$S288)</f>
        <v/>
      </c>
      <c r="U288" s="93">
        <f>IF($B288="","",IFERROR(INDEX(cal_JYear,MATCH($B288,cal_Key,0)),""))</f>
        <v/>
      </c>
      <c r="V288" s="93">
        <f>IF($B288="","",IFERROR(INDEX(cal_JMonth,MATCH($B288,cal_Key,0)),""))</f>
        <v/>
      </c>
      <c r="W288" s="94">
        <f>IF($B288="","",IFERROR(INDEX(cal_YM,MATCH($B288,cal_Key,0)),""))</f>
        <v/>
      </c>
      <c r="X288" s="94">
        <f>IF($B288="","",IFERROR(INDEX(cal_Season,MATCH($B288,cal_Key,0)),""))</f>
        <v/>
      </c>
      <c r="Y288" s="94">
        <f>IF($B288="","",IFERROR(INDEX(cal_Key,MATCH(INDEX(cal_Serial,MATCH($B288,cal_Key,0))+p_Due,cal_Serial,0)),""))</f>
        <v/>
      </c>
      <c r="Z288" s="95">
        <f>IF($B288="","",IF(OR($I288="پرداخت‌شده",$I288="ابطال"),"—",IFERROR(IF(INDEX(cal_Serial,MATCH($B288,cal_Key,0))+p_Due&lt;TODAY(),"بله","خیر"),"تاریخ نامعتبر")))</f>
        <v/>
      </c>
    </row>
    <row r="289" ht="20" customHeight="1">
      <c r="B289" s="86" t="n"/>
      <c r="C289" s="87" t="n"/>
      <c r="D289" s="87" t="n"/>
      <c r="E289" s="87" t="n"/>
      <c r="F289" s="88" t="n"/>
      <c r="G289" s="89" t="n"/>
      <c r="H289" s="90" t="n"/>
      <c r="I289" s="86" t="n"/>
      <c r="J289" s="87" t="n"/>
      <c r="K289" s="91">
        <f>IF($F289="","",$F289*IF($G289="",1,$G289))</f>
        <v/>
      </c>
      <c r="L289" s="92">
        <f>IFERROR(IF($D289="","",INDEX(t_Svc_Rate,MATCH($D289,lst_Service,0))),"")</f>
        <v/>
      </c>
      <c r="M289" s="92">
        <f>IF($L289="","",$L289*IF(p_TierMode="پلکانی",LOOKUP($K289,t_Tier_From,t_Tier_Rate),1))</f>
        <v/>
      </c>
      <c r="N289" s="91">
        <f>IF($K289="","",$K289*$M289)</f>
        <v/>
      </c>
      <c r="O289" s="91">
        <f>IF($N289="","",IF($I289="ابطال",0,MAX(p_Min,MIN(p_Max,$N289))))</f>
        <v/>
      </c>
      <c r="P289" s="91">
        <f>IF($O289="","",ROUND($O289*p_Tax,0))</f>
        <v/>
      </c>
      <c r="Q289" s="91">
        <f>IF($O289="","",$O289+$P289)</f>
        <v/>
      </c>
      <c r="R289" s="92">
        <f>IF($A289="","",IF($H289&lt;&gt;"",$H289,IFERROR(INDEX(t_Member_Share,MATCH($C289,t_Members,0)),p_DefaultShare)))</f>
        <v/>
      </c>
      <c r="S289" s="91">
        <f>IF(OR($Q289="",$R289=""),"",ROUND($Q289*$R289,0))</f>
        <v/>
      </c>
      <c r="T289" s="91">
        <f>IF(OR($Q289="",$S289=""),"",$Q289-$S289)</f>
        <v/>
      </c>
      <c r="U289" s="93">
        <f>IF($B289="","",IFERROR(INDEX(cal_JYear,MATCH($B289,cal_Key,0)),""))</f>
        <v/>
      </c>
      <c r="V289" s="93">
        <f>IF($B289="","",IFERROR(INDEX(cal_JMonth,MATCH($B289,cal_Key,0)),""))</f>
        <v/>
      </c>
      <c r="W289" s="94">
        <f>IF($B289="","",IFERROR(INDEX(cal_YM,MATCH($B289,cal_Key,0)),""))</f>
        <v/>
      </c>
      <c r="X289" s="94">
        <f>IF($B289="","",IFERROR(INDEX(cal_Season,MATCH($B289,cal_Key,0)),""))</f>
        <v/>
      </c>
      <c r="Y289" s="94">
        <f>IF($B289="","",IFERROR(INDEX(cal_Key,MATCH(INDEX(cal_Serial,MATCH($B289,cal_Key,0))+p_Due,cal_Serial,0)),""))</f>
        <v/>
      </c>
      <c r="Z289" s="95">
        <f>IF($B289="","",IF(OR($I289="پرداخت‌شده",$I289="ابطال"),"—",IFERROR(IF(INDEX(cal_Serial,MATCH($B289,cal_Key,0))+p_Due&lt;TODAY(),"بله","خیر"),"تاریخ نامعتبر")))</f>
        <v/>
      </c>
    </row>
    <row r="290" ht="20" customHeight="1">
      <c r="B290" s="86" t="n"/>
      <c r="C290" s="87" t="n"/>
      <c r="D290" s="87" t="n"/>
      <c r="E290" s="87" t="n"/>
      <c r="F290" s="88" t="n"/>
      <c r="G290" s="89" t="n"/>
      <c r="H290" s="90" t="n"/>
      <c r="I290" s="86" t="n"/>
      <c r="J290" s="87" t="n"/>
      <c r="K290" s="91">
        <f>IF($F290="","",$F290*IF($G290="",1,$G290))</f>
        <v/>
      </c>
      <c r="L290" s="92">
        <f>IFERROR(IF($D290="","",INDEX(t_Svc_Rate,MATCH($D290,lst_Service,0))),"")</f>
        <v/>
      </c>
      <c r="M290" s="92">
        <f>IF($L290="","",$L290*IF(p_TierMode="پلکانی",LOOKUP($K290,t_Tier_From,t_Tier_Rate),1))</f>
        <v/>
      </c>
      <c r="N290" s="91">
        <f>IF($K290="","",$K290*$M290)</f>
        <v/>
      </c>
      <c r="O290" s="91">
        <f>IF($N290="","",IF($I290="ابطال",0,MAX(p_Min,MIN(p_Max,$N290))))</f>
        <v/>
      </c>
      <c r="P290" s="91">
        <f>IF($O290="","",ROUND($O290*p_Tax,0))</f>
        <v/>
      </c>
      <c r="Q290" s="91">
        <f>IF($O290="","",$O290+$P290)</f>
        <v/>
      </c>
      <c r="R290" s="92">
        <f>IF($A290="","",IF($H290&lt;&gt;"",$H290,IFERROR(INDEX(t_Member_Share,MATCH($C290,t_Members,0)),p_DefaultShare)))</f>
        <v/>
      </c>
      <c r="S290" s="91">
        <f>IF(OR($Q290="",$R290=""),"",ROUND($Q290*$R290,0))</f>
        <v/>
      </c>
      <c r="T290" s="91">
        <f>IF(OR($Q290="",$S290=""),"",$Q290-$S290)</f>
        <v/>
      </c>
      <c r="U290" s="93">
        <f>IF($B290="","",IFERROR(INDEX(cal_JYear,MATCH($B290,cal_Key,0)),""))</f>
        <v/>
      </c>
      <c r="V290" s="93">
        <f>IF($B290="","",IFERROR(INDEX(cal_JMonth,MATCH($B290,cal_Key,0)),""))</f>
        <v/>
      </c>
      <c r="W290" s="94">
        <f>IF($B290="","",IFERROR(INDEX(cal_YM,MATCH($B290,cal_Key,0)),""))</f>
        <v/>
      </c>
      <c r="X290" s="94">
        <f>IF($B290="","",IFERROR(INDEX(cal_Season,MATCH($B290,cal_Key,0)),""))</f>
        <v/>
      </c>
      <c r="Y290" s="94">
        <f>IF($B290="","",IFERROR(INDEX(cal_Key,MATCH(INDEX(cal_Serial,MATCH($B290,cal_Key,0))+p_Due,cal_Serial,0)),""))</f>
        <v/>
      </c>
      <c r="Z290" s="95">
        <f>IF($B290="","",IF(OR($I290="پرداخت‌شده",$I290="ابطال"),"—",IFERROR(IF(INDEX(cal_Serial,MATCH($B290,cal_Key,0))+p_Due&lt;TODAY(),"بله","خیر"),"تاریخ نامعتبر")))</f>
        <v/>
      </c>
    </row>
    <row r="291" ht="20" customHeight="1">
      <c r="B291" s="86" t="n"/>
      <c r="C291" s="87" t="n"/>
      <c r="D291" s="87" t="n"/>
      <c r="E291" s="87" t="n"/>
      <c r="F291" s="88" t="n"/>
      <c r="G291" s="89" t="n"/>
      <c r="H291" s="90" t="n"/>
      <c r="I291" s="86" t="n"/>
      <c r="J291" s="87" t="n"/>
      <c r="K291" s="91">
        <f>IF($F291="","",$F291*IF($G291="",1,$G291))</f>
        <v/>
      </c>
      <c r="L291" s="92">
        <f>IFERROR(IF($D291="","",INDEX(t_Svc_Rate,MATCH($D291,lst_Service,0))),"")</f>
        <v/>
      </c>
      <c r="M291" s="92">
        <f>IF($L291="","",$L291*IF(p_TierMode="پلکانی",LOOKUP($K291,t_Tier_From,t_Tier_Rate),1))</f>
        <v/>
      </c>
      <c r="N291" s="91">
        <f>IF($K291="","",$K291*$M291)</f>
        <v/>
      </c>
      <c r="O291" s="91">
        <f>IF($N291="","",IF($I291="ابطال",0,MAX(p_Min,MIN(p_Max,$N291))))</f>
        <v/>
      </c>
      <c r="P291" s="91">
        <f>IF($O291="","",ROUND($O291*p_Tax,0))</f>
        <v/>
      </c>
      <c r="Q291" s="91">
        <f>IF($O291="","",$O291+$P291)</f>
        <v/>
      </c>
      <c r="R291" s="92">
        <f>IF($A291="","",IF($H291&lt;&gt;"",$H291,IFERROR(INDEX(t_Member_Share,MATCH($C291,t_Members,0)),p_DefaultShare)))</f>
        <v/>
      </c>
      <c r="S291" s="91">
        <f>IF(OR($Q291="",$R291=""),"",ROUND($Q291*$R291,0))</f>
        <v/>
      </c>
      <c r="T291" s="91">
        <f>IF(OR($Q291="",$S291=""),"",$Q291-$S291)</f>
        <v/>
      </c>
      <c r="U291" s="93">
        <f>IF($B291="","",IFERROR(INDEX(cal_JYear,MATCH($B291,cal_Key,0)),""))</f>
        <v/>
      </c>
      <c r="V291" s="93">
        <f>IF($B291="","",IFERROR(INDEX(cal_JMonth,MATCH($B291,cal_Key,0)),""))</f>
        <v/>
      </c>
      <c r="W291" s="94">
        <f>IF($B291="","",IFERROR(INDEX(cal_YM,MATCH($B291,cal_Key,0)),""))</f>
        <v/>
      </c>
      <c r="X291" s="94">
        <f>IF($B291="","",IFERROR(INDEX(cal_Season,MATCH($B291,cal_Key,0)),""))</f>
        <v/>
      </c>
      <c r="Y291" s="94">
        <f>IF($B291="","",IFERROR(INDEX(cal_Key,MATCH(INDEX(cal_Serial,MATCH($B291,cal_Key,0))+p_Due,cal_Serial,0)),""))</f>
        <v/>
      </c>
      <c r="Z291" s="95">
        <f>IF($B291="","",IF(OR($I291="پرداخت‌شده",$I291="ابطال"),"—",IFERROR(IF(INDEX(cal_Serial,MATCH($B291,cal_Key,0))+p_Due&lt;TODAY(),"بله","خیر"),"تاریخ نامعتبر")))</f>
        <v/>
      </c>
    </row>
    <row r="292" ht="20" customHeight="1">
      <c r="B292" s="86" t="n"/>
      <c r="C292" s="87" t="n"/>
      <c r="D292" s="87" t="n"/>
      <c r="E292" s="87" t="n"/>
      <c r="F292" s="88" t="n"/>
      <c r="G292" s="89" t="n"/>
      <c r="H292" s="90" t="n"/>
      <c r="I292" s="86" t="n"/>
      <c r="J292" s="87" t="n"/>
      <c r="K292" s="91">
        <f>IF($F292="","",$F292*IF($G292="",1,$G292))</f>
        <v/>
      </c>
      <c r="L292" s="92">
        <f>IFERROR(IF($D292="","",INDEX(t_Svc_Rate,MATCH($D292,lst_Service,0))),"")</f>
        <v/>
      </c>
      <c r="M292" s="92">
        <f>IF($L292="","",$L292*IF(p_TierMode="پلکانی",LOOKUP($K292,t_Tier_From,t_Tier_Rate),1))</f>
        <v/>
      </c>
      <c r="N292" s="91">
        <f>IF($K292="","",$K292*$M292)</f>
        <v/>
      </c>
      <c r="O292" s="91">
        <f>IF($N292="","",IF($I292="ابطال",0,MAX(p_Min,MIN(p_Max,$N292))))</f>
        <v/>
      </c>
      <c r="P292" s="91">
        <f>IF($O292="","",ROUND($O292*p_Tax,0))</f>
        <v/>
      </c>
      <c r="Q292" s="91">
        <f>IF($O292="","",$O292+$P292)</f>
        <v/>
      </c>
      <c r="R292" s="92">
        <f>IF($A292="","",IF($H292&lt;&gt;"",$H292,IFERROR(INDEX(t_Member_Share,MATCH($C292,t_Members,0)),p_DefaultShare)))</f>
        <v/>
      </c>
      <c r="S292" s="91">
        <f>IF(OR($Q292="",$R292=""),"",ROUND($Q292*$R292,0))</f>
        <v/>
      </c>
      <c r="T292" s="91">
        <f>IF(OR($Q292="",$S292=""),"",$Q292-$S292)</f>
        <v/>
      </c>
      <c r="U292" s="93">
        <f>IF($B292="","",IFERROR(INDEX(cal_JYear,MATCH($B292,cal_Key,0)),""))</f>
        <v/>
      </c>
      <c r="V292" s="93">
        <f>IF($B292="","",IFERROR(INDEX(cal_JMonth,MATCH($B292,cal_Key,0)),""))</f>
        <v/>
      </c>
      <c r="W292" s="94">
        <f>IF($B292="","",IFERROR(INDEX(cal_YM,MATCH($B292,cal_Key,0)),""))</f>
        <v/>
      </c>
      <c r="X292" s="94">
        <f>IF($B292="","",IFERROR(INDEX(cal_Season,MATCH($B292,cal_Key,0)),""))</f>
        <v/>
      </c>
      <c r="Y292" s="94">
        <f>IF($B292="","",IFERROR(INDEX(cal_Key,MATCH(INDEX(cal_Serial,MATCH($B292,cal_Key,0))+p_Due,cal_Serial,0)),""))</f>
        <v/>
      </c>
      <c r="Z292" s="95">
        <f>IF($B292="","",IF(OR($I292="پرداخت‌شده",$I292="ابطال"),"—",IFERROR(IF(INDEX(cal_Serial,MATCH($B292,cal_Key,0))+p_Due&lt;TODAY(),"بله","خیر"),"تاریخ نامعتبر")))</f>
        <v/>
      </c>
    </row>
    <row r="293" ht="20" customHeight="1">
      <c r="B293" s="86" t="n"/>
      <c r="C293" s="87" t="n"/>
      <c r="D293" s="87" t="n"/>
      <c r="E293" s="87" t="n"/>
      <c r="F293" s="88" t="n"/>
      <c r="G293" s="89" t="n"/>
      <c r="H293" s="90" t="n"/>
      <c r="I293" s="86" t="n"/>
      <c r="J293" s="87" t="n"/>
      <c r="K293" s="91">
        <f>IF($F293="","",$F293*IF($G293="",1,$G293))</f>
        <v/>
      </c>
      <c r="L293" s="92">
        <f>IFERROR(IF($D293="","",INDEX(t_Svc_Rate,MATCH($D293,lst_Service,0))),"")</f>
        <v/>
      </c>
      <c r="M293" s="92">
        <f>IF($L293="","",$L293*IF(p_TierMode="پلکانی",LOOKUP($K293,t_Tier_From,t_Tier_Rate),1))</f>
        <v/>
      </c>
      <c r="N293" s="91">
        <f>IF($K293="","",$K293*$M293)</f>
        <v/>
      </c>
      <c r="O293" s="91">
        <f>IF($N293="","",IF($I293="ابطال",0,MAX(p_Min,MIN(p_Max,$N293))))</f>
        <v/>
      </c>
      <c r="P293" s="91">
        <f>IF($O293="","",ROUND($O293*p_Tax,0))</f>
        <v/>
      </c>
      <c r="Q293" s="91">
        <f>IF($O293="","",$O293+$P293)</f>
        <v/>
      </c>
      <c r="R293" s="92">
        <f>IF($A293="","",IF($H293&lt;&gt;"",$H293,IFERROR(INDEX(t_Member_Share,MATCH($C293,t_Members,0)),p_DefaultShare)))</f>
        <v/>
      </c>
      <c r="S293" s="91">
        <f>IF(OR($Q293="",$R293=""),"",ROUND($Q293*$R293,0))</f>
        <v/>
      </c>
      <c r="T293" s="91">
        <f>IF(OR($Q293="",$S293=""),"",$Q293-$S293)</f>
        <v/>
      </c>
      <c r="U293" s="93">
        <f>IF($B293="","",IFERROR(INDEX(cal_JYear,MATCH($B293,cal_Key,0)),""))</f>
        <v/>
      </c>
      <c r="V293" s="93">
        <f>IF($B293="","",IFERROR(INDEX(cal_JMonth,MATCH($B293,cal_Key,0)),""))</f>
        <v/>
      </c>
      <c r="W293" s="94">
        <f>IF($B293="","",IFERROR(INDEX(cal_YM,MATCH($B293,cal_Key,0)),""))</f>
        <v/>
      </c>
      <c r="X293" s="94">
        <f>IF($B293="","",IFERROR(INDEX(cal_Season,MATCH($B293,cal_Key,0)),""))</f>
        <v/>
      </c>
      <c r="Y293" s="94">
        <f>IF($B293="","",IFERROR(INDEX(cal_Key,MATCH(INDEX(cal_Serial,MATCH($B293,cal_Key,0))+p_Due,cal_Serial,0)),""))</f>
        <v/>
      </c>
      <c r="Z293" s="95">
        <f>IF($B293="","",IF(OR($I293="پرداخت‌شده",$I293="ابطال"),"—",IFERROR(IF(INDEX(cal_Serial,MATCH($B293,cal_Key,0))+p_Due&lt;TODAY(),"بله","خیر"),"تاریخ نامعتبر")))</f>
        <v/>
      </c>
    </row>
    <row r="294" ht="20" customHeight="1">
      <c r="B294" s="86" t="n"/>
      <c r="C294" s="87" t="n"/>
      <c r="D294" s="87" t="n"/>
      <c r="E294" s="87" t="n"/>
      <c r="F294" s="88" t="n"/>
      <c r="G294" s="89" t="n"/>
      <c r="H294" s="90" t="n"/>
      <c r="I294" s="86" t="n"/>
      <c r="J294" s="87" t="n"/>
      <c r="K294" s="91">
        <f>IF($F294="","",$F294*IF($G294="",1,$G294))</f>
        <v/>
      </c>
      <c r="L294" s="92">
        <f>IFERROR(IF($D294="","",INDEX(t_Svc_Rate,MATCH($D294,lst_Service,0))),"")</f>
        <v/>
      </c>
      <c r="M294" s="92">
        <f>IF($L294="","",$L294*IF(p_TierMode="پلکانی",LOOKUP($K294,t_Tier_From,t_Tier_Rate),1))</f>
        <v/>
      </c>
      <c r="N294" s="91">
        <f>IF($K294="","",$K294*$M294)</f>
        <v/>
      </c>
      <c r="O294" s="91">
        <f>IF($N294="","",IF($I294="ابطال",0,MAX(p_Min,MIN(p_Max,$N294))))</f>
        <v/>
      </c>
      <c r="P294" s="91">
        <f>IF($O294="","",ROUND($O294*p_Tax,0))</f>
        <v/>
      </c>
      <c r="Q294" s="91">
        <f>IF($O294="","",$O294+$P294)</f>
        <v/>
      </c>
      <c r="R294" s="92">
        <f>IF($A294="","",IF($H294&lt;&gt;"",$H294,IFERROR(INDEX(t_Member_Share,MATCH($C294,t_Members,0)),p_DefaultShare)))</f>
        <v/>
      </c>
      <c r="S294" s="91">
        <f>IF(OR($Q294="",$R294=""),"",ROUND($Q294*$R294,0))</f>
        <v/>
      </c>
      <c r="T294" s="91">
        <f>IF(OR($Q294="",$S294=""),"",$Q294-$S294)</f>
        <v/>
      </c>
      <c r="U294" s="93">
        <f>IF($B294="","",IFERROR(INDEX(cal_JYear,MATCH($B294,cal_Key,0)),""))</f>
        <v/>
      </c>
      <c r="V294" s="93">
        <f>IF($B294="","",IFERROR(INDEX(cal_JMonth,MATCH($B294,cal_Key,0)),""))</f>
        <v/>
      </c>
      <c r="W294" s="94">
        <f>IF($B294="","",IFERROR(INDEX(cal_YM,MATCH($B294,cal_Key,0)),""))</f>
        <v/>
      </c>
      <c r="X294" s="94">
        <f>IF($B294="","",IFERROR(INDEX(cal_Season,MATCH($B294,cal_Key,0)),""))</f>
        <v/>
      </c>
      <c r="Y294" s="94">
        <f>IF($B294="","",IFERROR(INDEX(cal_Key,MATCH(INDEX(cal_Serial,MATCH($B294,cal_Key,0))+p_Due,cal_Serial,0)),""))</f>
        <v/>
      </c>
      <c r="Z294" s="95">
        <f>IF($B294="","",IF(OR($I294="پرداخت‌شده",$I294="ابطال"),"—",IFERROR(IF(INDEX(cal_Serial,MATCH($B294,cal_Key,0))+p_Due&lt;TODAY(),"بله","خیر"),"تاریخ نامعتبر")))</f>
        <v/>
      </c>
    </row>
    <row r="295" ht="20" customHeight="1">
      <c r="B295" s="86" t="n"/>
      <c r="C295" s="87" t="n"/>
      <c r="D295" s="87" t="n"/>
      <c r="E295" s="87" t="n"/>
      <c r="F295" s="88" t="n"/>
      <c r="G295" s="89" t="n"/>
      <c r="H295" s="90" t="n"/>
      <c r="I295" s="86" t="n"/>
      <c r="J295" s="87" t="n"/>
      <c r="K295" s="91">
        <f>IF($F295="","",$F295*IF($G295="",1,$G295))</f>
        <v/>
      </c>
      <c r="L295" s="92">
        <f>IFERROR(IF($D295="","",INDEX(t_Svc_Rate,MATCH($D295,lst_Service,0))),"")</f>
        <v/>
      </c>
      <c r="M295" s="92">
        <f>IF($L295="","",$L295*IF(p_TierMode="پلکانی",LOOKUP($K295,t_Tier_From,t_Tier_Rate),1))</f>
        <v/>
      </c>
      <c r="N295" s="91">
        <f>IF($K295="","",$K295*$M295)</f>
        <v/>
      </c>
      <c r="O295" s="91">
        <f>IF($N295="","",IF($I295="ابطال",0,MAX(p_Min,MIN(p_Max,$N295))))</f>
        <v/>
      </c>
      <c r="P295" s="91">
        <f>IF($O295="","",ROUND($O295*p_Tax,0))</f>
        <v/>
      </c>
      <c r="Q295" s="91">
        <f>IF($O295="","",$O295+$P295)</f>
        <v/>
      </c>
      <c r="R295" s="92">
        <f>IF($A295="","",IF($H295&lt;&gt;"",$H295,IFERROR(INDEX(t_Member_Share,MATCH($C295,t_Members,0)),p_DefaultShare)))</f>
        <v/>
      </c>
      <c r="S295" s="91">
        <f>IF(OR($Q295="",$R295=""),"",ROUND($Q295*$R295,0))</f>
        <v/>
      </c>
      <c r="T295" s="91">
        <f>IF(OR($Q295="",$S295=""),"",$Q295-$S295)</f>
        <v/>
      </c>
      <c r="U295" s="93">
        <f>IF($B295="","",IFERROR(INDEX(cal_JYear,MATCH($B295,cal_Key,0)),""))</f>
        <v/>
      </c>
      <c r="V295" s="93">
        <f>IF($B295="","",IFERROR(INDEX(cal_JMonth,MATCH($B295,cal_Key,0)),""))</f>
        <v/>
      </c>
      <c r="W295" s="94">
        <f>IF($B295="","",IFERROR(INDEX(cal_YM,MATCH($B295,cal_Key,0)),""))</f>
        <v/>
      </c>
      <c r="X295" s="94">
        <f>IF($B295="","",IFERROR(INDEX(cal_Season,MATCH($B295,cal_Key,0)),""))</f>
        <v/>
      </c>
      <c r="Y295" s="94">
        <f>IF($B295="","",IFERROR(INDEX(cal_Key,MATCH(INDEX(cal_Serial,MATCH($B295,cal_Key,0))+p_Due,cal_Serial,0)),""))</f>
        <v/>
      </c>
      <c r="Z295" s="95">
        <f>IF($B295="","",IF(OR($I295="پرداخت‌شده",$I295="ابطال"),"—",IFERROR(IF(INDEX(cal_Serial,MATCH($B295,cal_Key,0))+p_Due&lt;TODAY(),"بله","خیر"),"تاریخ نامعتبر")))</f>
        <v/>
      </c>
    </row>
    <row r="296" ht="20" customHeight="1">
      <c r="B296" s="86" t="n"/>
      <c r="C296" s="87" t="n"/>
      <c r="D296" s="87" t="n"/>
      <c r="E296" s="87" t="n"/>
      <c r="F296" s="88" t="n"/>
      <c r="G296" s="89" t="n"/>
      <c r="H296" s="90" t="n"/>
      <c r="I296" s="86" t="n"/>
      <c r="J296" s="87" t="n"/>
      <c r="K296" s="91">
        <f>IF($F296="","",$F296*IF($G296="",1,$G296))</f>
        <v/>
      </c>
      <c r="L296" s="92">
        <f>IFERROR(IF($D296="","",INDEX(t_Svc_Rate,MATCH($D296,lst_Service,0))),"")</f>
        <v/>
      </c>
      <c r="M296" s="92">
        <f>IF($L296="","",$L296*IF(p_TierMode="پلکانی",LOOKUP($K296,t_Tier_From,t_Tier_Rate),1))</f>
        <v/>
      </c>
      <c r="N296" s="91">
        <f>IF($K296="","",$K296*$M296)</f>
        <v/>
      </c>
      <c r="O296" s="91">
        <f>IF($N296="","",IF($I296="ابطال",0,MAX(p_Min,MIN(p_Max,$N296))))</f>
        <v/>
      </c>
      <c r="P296" s="91">
        <f>IF($O296="","",ROUND($O296*p_Tax,0))</f>
        <v/>
      </c>
      <c r="Q296" s="91">
        <f>IF($O296="","",$O296+$P296)</f>
        <v/>
      </c>
      <c r="R296" s="92">
        <f>IF($A296="","",IF($H296&lt;&gt;"",$H296,IFERROR(INDEX(t_Member_Share,MATCH($C296,t_Members,0)),p_DefaultShare)))</f>
        <v/>
      </c>
      <c r="S296" s="91">
        <f>IF(OR($Q296="",$R296=""),"",ROUND($Q296*$R296,0))</f>
        <v/>
      </c>
      <c r="T296" s="91">
        <f>IF(OR($Q296="",$S296=""),"",$Q296-$S296)</f>
        <v/>
      </c>
      <c r="U296" s="93">
        <f>IF($B296="","",IFERROR(INDEX(cal_JYear,MATCH($B296,cal_Key,0)),""))</f>
        <v/>
      </c>
      <c r="V296" s="93">
        <f>IF($B296="","",IFERROR(INDEX(cal_JMonth,MATCH($B296,cal_Key,0)),""))</f>
        <v/>
      </c>
      <c r="W296" s="94">
        <f>IF($B296="","",IFERROR(INDEX(cal_YM,MATCH($B296,cal_Key,0)),""))</f>
        <v/>
      </c>
      <c r="X296" s="94">
        <f>IF($B296="","",IFERROR(INDEX(cal_Season,MATCH($B296,cal_Key,0)),""))</f>
        <v/>
      </c>
      <c r="Y296" s="94">
        <f>IF($B296="","",IFERROR(INDEX(cal_Key,MATCH(INDEX(cal_Serial,MATCH($B296,cal_Key,0))+p_Due,cal_Serial,0)),""))</f>
        <v/>
      </c>
      <c r="Z296" s="95">
        <f>IF($B296="","",IF(OR($I296="پرداخت‌شده",$I296="ابطال"),"—",IFERROR(IF(INDEX(cal_Serial,MATCH($B296,cal_Key,0))+p_Due&lt;TODAY(),"بله","خیر"),"تاریخ نامعتبر")))</f>
        <v/>
      </c>
    </row>
    <row r="297" ht="20" customHeight="1">
      <c r="B297" s="86" t="n"/>
      <c r="C297" s="87" t="n"/>
      <c r="D297" s="87" t="n"/>
      <c r="E297" s="87" t="n"/>
      <c r="F297" s="88" t="n"/>
      <c r="G297" s="89" t="n"/>
      <c r="H297" s="90" t="n"/>
      <c r="I297" s="86" t="n"/>
      <c r="J297" s="87" t="n"/>
      <c r="K297" s="91">
        <f>IF($F297="","",$F297*IF($G297="",1,$G297))</f>
        <v/>
      </c>
      <c r="L297" s="92">
        <f>IFERROR(IF($D297="","",INDEX(t_Svc_Rate,MATCH($D297,lst_Service,0))),"")</f>
        <v/>
      </c>
      <c r="M297" s="92">
        <f>IF($L297="","",$L297*IF(p_TierMode="پلکانی",LOOKUP($K297,t_Tier_From,t_Tier_Rate),1))</f>
        <v/>
      </c>
      <c r="N297" s="91">
        <f>IF($K297="","",$K297*$M297)</f>
        <v/>
      </c>
      <c r="O297" s="91">
        <f>IF($N297="","",IF($I297="ابطال",0,MAX(p_Min,MIN(p_Max,$N297))))</f>
        <v/>
      </c>
      <c r="P297" s="91">
        <f>IF($O297="","",ROUND($O297*p_Tax,0))</f>
        <v/>
      </c>
      <c r="Q297" s="91">
        <f>IF($O297="","",$O297+$P297)</f>
        <v/>
      </c>
      <c r="R297" s="92">
        <f>IF($A297="","",IF($H297&lt;&gt;"",$H297,IFERROR(INDEX(t_Member_Share,MATCH($C297,t_Members,0)),p_DefaultShare)))</f>
        <v/>
      </c>
      <c r="S297" s="91">
        <f>IF(OR($Q297="",$R297=""),"",ROUND($Q297*$R297,0))</f>
        <v/>
      </c>
      <c r="T297" s="91">
        <f>IF(OR($Q297="",$S297=""),"",$Q297-$S297)</f>
        <v/>
      </c>
      <c r="U297" s="93">
        <f>IF($B297="","",IFERROR(INDEX(cal_JYear,MATCH($B297,cal_Key,0)),""))</f>
        <v/>
      </c>
      <c r="V297" s="93">
        <f>IF($B297="","",IFERROR(INDEX(cal_JMonth,MATCH($B297,cal_Key,0)),""))</f>
        <v/>
      </c>
      <c r="W297" s="94">
        <f>IF($B297="","",IFERROR(INDEX(cal_YM,MATCH($B297,cal_Key,0)),""))</f>
        <v/>
      </c>
      <c r="X297" s="94">
        <f>IF($B297="","",IFERROR(INDEX(cal_Season,MATCH($B297,cal_Key,0)),""))</f>
        <v/>
      </c>
      <c r="Y297" s="94">
        <f>IF($B297="","",IFERROR(INDEX(cal_Key,MATCH(INDEX(cal_Serial,MATCH($B297,cal_Key,0))+p_Due,cal_Serial,0)),""))</f>
        <v/>
      </c>
      <c r="Z297" s="95">
        <f>IF($B297="","",IF(OR($I297="پرداخت‌شده",$I297="ابطال"),"—",IFERROR(IF(INDEX(cal_Serial,MATCH($B297,cal_Key,0))+p_Due&lt;TODAY(),"بله","خیر"),"تاریخ نامعتبر")))</f>
        <v/>
      </c>
    </row>
    <row r="298" ht="20" customHeight="1">
      <c r="B298" s="86" t="n"/>
      <c r="C298" s="87" t="n"/>
      <c r="D298" s="87" t="n"/>
      <c r="E298" s="87" t="n"/>
      <c r="F298" s="88" t="n"/>
      <c r="G298" s="89" t="n"/>
      <c r="H298" s="90" t="n"/>
      <c r="I298" s="86" t="n"/>
      <c r="J298" s="87" t="n"/>
      <c r="K298" s="91">
        <f>IF($F298="","",$F298*IF($G298="",1,$G298))</f>
        <v/>
      </c>
      <c r="L298" s="92">
        <f>IFERROR(IF($D298="","",INDEX(t_Svc_Rate,MATCH($D298,lst_Service,0))),"")</f>
        <v/>
      </c>
      <c r="M298" s="92">
        <f>IF($L298="","",$L298*IF(p_TierMode="پلکانی",LOOKUP($K298,t_Tier_From,t_Tier_Rate),1))</f>
        <v/>
      </c>
      <c r="N298" s="91">
        <f>IF($K298="","",$K298*$M298)</f>
        <v/>
      </c>
      <c r="O298" s="91">
        <f>IF($N298="","",IF($I298="ابطال",0,MAX(p_Min,MIN(p_Max,$N298))))</f>
        <v/>
      </c>
      <c r="P298" s="91">
        <f>IF($O298="","",ROUND($O298*p_Tax,0))</f>
        <v/>
      </c>
      <c r="Q298" s="91">
        <f>IF($O298="","",$O298+$P298)</f>
        <v/>
      </c>
      <c r="R298" s="92">
        <f>IF($A298="","",IF($H298&lt;&gt;"",$H298,IFERROR(INDEX(t_Member_Share,MATCH($C298,t_Members,0)),p_DefaultShare)))</f>
        <v/>
      </c>
      <c r="S298" s="91">
        <f>IF(OR($Q298="",$R298=""),"",ROUND($Q298*$R298,0))</f>
        <v/>
      </c>
      <c r="T298" s="91">
        <f>IF(OR($Q298="",$S298=""),"",$Q298-$S298)</f>
        <v/>
      </c>
      <c r="U298" s="93">
        <f>IF($B298="","",IFERROR(INDEX(cal_JYear,MATCH($B298,cal_Key,0)),""))</f>
        <v/>
      </c>
      <c r="V298" s="93">
        <f>IF($B298="","",IFERROR(INDEX(cal_JMonth,MATCH($B298,cal_Key,0)),""))</f>
        <v/>
      </c>
      <c r="W298" s="94">
        <f>IF($B298="","",IFERROR(INDEX(cal_YM,MATCH($B298,cal_Key,0)),""))</f>
        <v/>
      </c>
      <c r="X298" s="94">
        <f>IF($B298="","",IFERROR(INDEX(cal_Season,MATCH($B298,cal_Key,0)),""))</f>
        <v/>
      </c>
      <c r="Y298" s="94">
        <f>IF($B298="","",IFERROR(INDEX(cal_Key,MATCH(INDEX(cal_Serial,MATCH($B298,cal_Key,0))+p_Due,cal_Serial,0)),""))</f>
        <v/>
      </c>
      <c r="Z298" s="95">
        <f>IF($B298="","",IF(OR($I298="پرداخت‌شده",$I298="ابطال"),"—",IFERROR(IF(INDEX(cal_Serial,MATCH($B298,cal_Key,0))+p_Due&lt;TODAY(),"بله","خیر"),"تاریخ نامعتبر")))</f>
        <v/>
      </c>
    </row>
    <row r="299" ht="20" customHeight="1">
      <c r="B299" s="86" t="n"/>
      <c r="C299" s="87" t="n"/>
      <c r="D299" s="87" t="n"/>
      <c r="E299" s="87" t="n"/>
      <c r="F299" s="88" t="n"/>
      <c r="G299" s="89" t="n"/>
      <c r="H299" s="90" t="n"/>
      <c r="I299" s="86" t="n"/>
      <c r="J299" s="87" t="n"/>
      <c r="K299" s="91">
        <f>IF($F299="","",$F299*IF($G299="",1,$G299))</f>
        <v/>
      </c>
      <c r="L299" s="92">
        <f>IFERROR(IF($D299="","",INDEX(t_Svc_Rate,MATCH($D299,lst_Service,0))),"")</f>
        <v/>
      </c>
      <c r="M299" s="92">
        <f>IF($L299="","",$L299*IF(p_TierMode="پلکانی",LOOKUP($K299,t_Tier_From,t_Tier_Rate),1))</f>
        <v/>
      </c>
      <c r="N299" s="91">
        <f>IF($K299="","",$K299*$M299)</f>
        <v/>
      </c>
      <c r="O299" s="91">
        <f>IF($N299="","",IF($I299="ابطال",0,MAX(p_Min,MIN(p_Max,$N299))))</f>
        <v/>
      </c>
      <c r="P299" s="91">
        <f>IF($O299="","",ROUND($O299*p_Tax,0))</f>
        <v/>
      </c>
      <c r="Q299" s="91">
        <f>IF($O299="","",$O299+$P299)</f>
        <v/>
      </c>
      <c r="R299" s="92">
        <f>IF($A299="","",IF($H299&lt;&gt;"",$H299,IFERROR(INDEX(t_Member_Share,MATCH($C299,t_Members,0)),p_DefaultShare)))</f>
        <v/>
      </c>
      <c r="S299" s="91">
        <f>IF(OR($Q299="",$R299=""),"",ROUND($Q299*$R299,0))</f>
        <v/>
      </c>
      <c r="T299" s="91">
        <f>IF(OR($Q299="",$S299=""),"",$Q299-$S299)</f>
        <v/>
      </c>
      <c r="U299" s="93">
        <f>IF($B299="","",IFERROR(INDEX(cal_JYear,MATCH($B299,cal_Key,0)),""))</f>
        <v/>
      </c>
      <c r="V299" s="93">
        <f>IF($B299="","",IFERROR(INDEX(cal_JMonth,MATCH($B299,cal_Key,0)),""))</f>
        <v/>
      </c>
      <c r="W299" s="94">
        <f>IF($B299="","",IFERROR(INDEX(cal_YM,MATCH($B299,cal_Key,0)),""))</f>
        <v/>
      </c>
      <c r="X299" s="94">
        <f>IF($B299="","",IFERROR(INDEX(cal_Season,MATCH($B299,cal_Key,0)),""))</f>
        <v/>
      </c>
      <c r="Y299" s="94">
        <f>IF($B299="","",IFERROR(INDEX(cal_Key,MATCH(INDEX(cal_Serial,MATCH($B299,cal_Key,0))+p_Due,cal_Serial,0)),""))</f>
        <v/>
      </c>
      <c r="Z299" s="95">
        <f>IF($B299="","",IF(OR($I299="پرداخت‌شده",$I299="ابطال"),"—",IFERROR(IF(INDEX(cal_Serial,MATCH($B299,cal_Key,0))+p_Due&lt;TODAY(),"بله","خیر"),"تاریخ نامعتبر")))</f>
        <v/>
      </c>
    </row>
    <row r="300" ht="20" customHeight="1">
      <c r="B300" s="86" t="n"/>
      <c r="C300" s="87" t="n"/>
      <c r="D300" s="87" t="n"/>
      <c r="E300" s="87" t="n"/>
      <c r="F300" s="88" t="n"/>
      <c r="G300" s="89" t="n"/>
      <c r="H300" s="90" t="n"/>
      <c r="I300" s="86" t="n"/>
      <c r="J300" s="87" t="n"/>
      <c r="K300" s="91">
        <f>IF($F300="","",$F300*IF($G300="",1,$G300))</f>
        <v/>
      </c>
      <c r="L300" s="92">
        <f>IFERROR(IF($D300="","",INDEX(t_Svc_Rate,MATCH($D300,lst_Service,0))),"")</f>
        <v/>
      </c>
      <c r="M300" s="92">
        <f>IF($L300="","",$L300*IF(p_TierMode="پلکانی",LOOKUP($K300,t_Tier_From,t_Tier_Rate),1))</f>
        <v/>
      </c>
      <c r="N300" s="91">
        <f>IF($K300="","",$K300*$M300)</f>
        <v/>
      </c>
      <c r="O300" s="91">
        <f>IF($N300="","",IF($I300="ابطال",0,MAX(p_Min,MIN(p_Max,$N300))))</f>
        <v/>
      </c>
      <c r="P300" s="91">
        <f>IF($O300="","",ROUND($O300*p_Tax,0))</f>
        <v/>
      </c>
      <c r="Q300" s="91">
        <f>IF($O300="","",$O300+$P300)</f>
        <v/>
      </c>
      <c r="R300" s="92">
        <f>IF($A300="","",IF($H300&lt;&gt;"",$H300,IFERROR(INDEX(t_Member_Share,MATCH($C300,t_Members,0)),p_DefaultShare)))</f>
        <v/>
      </c>
      <c r="S300" s="91">
        <f>IF(OR($Q300="",$R300=""),"",ROUND($Q300*$R300,0))</f>
        <v/>
      </c>
      <c r="T300" s="91">
        <f>IF(OR($Q300="",$S300=""),"",$Q300-$S300)</f>
        <v/>
      </c>
      <c r="U300" s="93">
        <f>IF($B300="","",IFERROR(INDEX(cal_JYear,MATCH($B300,cal_Key,0)),""))</f>
        <v/>
      </c>
      <c r="V300" s="93">
        <f>IF($B300="","",IFERROR(INDEX(cal_JMonth,MATCH($B300,cal_Key,0)),""))</f>
        <v/>
      </c>
      <c r="W300" s="94">
        <f>IF($B300="","",IFERROR(INDEX(cal_YM,MATCH($B300,cal_Key,0)),""))</f>
        <v/>
      </c>
      <c r="X300" s="94">
        <f>IF($B300="","",IFERROR(INDEX(cal_Season,MATCH($B300,cal_Key,0)),""))</f>
        <v/>
      </c>
      <c r="Y300" s="94">
        <f>IF($B300="","",IFERROR(INDEX(cal_Key,MATCH(INDEX(cal_Serial,MATCH($B300,cal_Key,0))+p_Due,cal_Serial,0)),""))</f>
        <v/>
      </c>
      <c r="Z300" s="95">
        <f>IF($B300="","",IF(OR($I300="پرداخت‌شده",$I300="ابطال"),"—",IFERROR(IF(INDEX(cal_Serial,MATCH($B300,cal_Key,0))+p_Due&lt;TODAY(),"بله","خیر"),"تاریخ نامعتبر")))</f>
        <v/>
      </c>
    </row>
    <row r="301" ht="20" customHeight="1">
      <c r="B301" s="86" t="n"/>
      <c r="C301" s="87" t="n"/>
      <c r="D301" s="87" t="n"/>
      <c r="E301" s="87" t="n"/>
      <c r="F301" s="88" t="n"/>
      <c r="G301" s="89" t="n"/>
      <c r="H301" s="90" t="n"/>
      <c r="I301" s="86" t="n"/>
      <c r="J301" s="87" t="n"/>
      <c r="K301" s="91">
        <f>IF($F301="","",$F301*IF($G301="",1,$G301))</f>
        <v/>
      </c>
      <c r="L301" s="92">
        <f>IFERROR(IF($D301="","",INDEX(t_Svc_Rate,MATCH($D301,lst_Service,0))),"")</f>
        <v/>
      </c>
      <c r="M301" s="92">
        <f>IF($L301="","",$L301*IF(p_TierMode="پلکانی",LOOKUP($K301,t_Tier_From,t_Tier_Rate),1))</f>
        <v/>
      </c>
      <c r="N301" s="91">
        <f>IF($K301="","",$K301*$M301)</f>
        <v/>
      </c>
      <c r="O301" s="91">
        <f>IF($N301="","",IF($I301="ابطال",0,MAX(p_Min,MIN(p_Max,$N301))))</f>
        <v/>
      </c>
      <c r="P301" s="91">
        <f>IF($O301="","",ROUND($O301*p_Tax,0))</f>
        <v/>
      </c>
      <c r="Q301" s="91">
        <f>IF($O301="","",$O301+$P301)</f>
        <v/>
      </c>
      <c r="R301" s="92">
        <f>IF($A301="","",IF($H301&lt;&gt;"",$H301,IFERROR(INDEX(t_Member_Share,MATCH($C301,t_Members,0)),p_DefaultShare)))</f>
        <v/>
      </c>
      <c r="S301" s="91">
        <f>IF(OR($Q301="",$R301=""),"",ROUND($Q301*$R301,0))</f>
        <v/>
      </c>
      <c r="T301" s="91">
        <f>IF(OR($Q301="",$S301=""),"",$Q301-$S301)</f>
        <v/>
      </c>
      <c r="U301" s="93">
        <f>IF($B301="","",IFERROR(INDEX(cal_JYear,MATCH($B301,cal_Key,0)),""))</f>
        <v/>
      </c>
      <c r="V301" s="93">
        <f>IF($B301="","",IFERROR(INDEX(cal_JMonth,MATCH($B301,cal_Key,0)),""))</f>
        <v/>
      </c>
      <c r="W301" s="94">
        <f>IF($B301="","",IFERROR(INDEX(cal_YM,MATCH($B301,cal_Key,0)),""))</f>
        <v/>
      </c>
      <c r="X301" s="94">
        <f>IF($B301="","",IFERROR(INDEX(cal_Season,MATCH($B301,cal_Key,0)),""))</f>
        <v/>
      </c>
      <c r="Y301" s="94">
        <f>IF($B301="","",IFERROR(INDEX(cal_Key,MATCH(INDEX(cal_Serial,MATCH($B301,cal_Key,0))+p_Due,cal_Serial,0)),""))</f>
        <v/>
      </c>
      <c r="Z301" s="95">
        <f>IF($B301="","",IF(OR($I301="پرداخت‌شده",$I301="ابطال"),"—",IFERROR(IF(INDEX(cal_Serial,MATCH($B301,cal_Key,0))+p_Due&lt;TODAY(),"بله","خیر"),"تاریخ نامعتبر")))</f>
        <v/>
      </c>
    </row>
    <row r="302" ht="20" customHeight="1">
      <c r="B302" s="86" t="n"/>
      <c r="C302" s="87" t="n"/>
      <c r="D302" s="87" t="n"/>
      <c r="E302" s="87" t="n"/>
      <c r="F302" s="88" t="n"/>
      <c r="G302" s="89" t="n"/>
      <c r="H302" s="90" t="n"/>
      <c r="I302" s="86" t="n"/>
      <c r="J302" s="87" t="n"/>
      <c r="K302" s="91">
        <f>IF($F302="","",$F302*IF($G302="",1,$G302))</f>
        <v/>
      </c>
      <c r="L302" s="92">
        <f>IFERROR(IF($D302="","",INDEX(t_Svc_Rate,MATCH($D302,lst_Service,0))),"")</f>
        <v/>
      </c>
      <c r="M302" s="92">
        <f>IF($L302="","",$L302*IF(p_TierMode="پلکانی",LOOKUP($K302,t_Tier_From,t_Tier_Rate),1))</f>
        <v/>
      </c>
      <c r="N302" s="91">
        <f>IF($K302="","",$K302*$M302)</f>
        <v/>
      </c>
      <c r="O302" s="91">
        <f>IF($N302="","",IF($I302="ابطال",0,MAX(p_Min,MIN(p_Max,$N302))))</f>
        <v/>
      </c>
      <c r="P302" s="91">
        <f>IF($O302="","",ROUND($O302*p_Tax,0))</f>
        <v/>
      </c>
      <c r="Q302" s="91">
        <f>IF($O302="","",$O302+$P302)</f>
        <v/>
      </c>
      <c r="R302" s="92">
        <f>IF($A302="","",IF($H302&lt;&gt;"",$H302,IFERROR(INDEX(t_Member_Share,MATCH($C302,t_Members,0)),p_DefaultShare)))</f>
        <v/>
      </c>
      <c r="S302" s="91">
        <f>IF(OR($Q302="",$R302=""),"",ROUND($Q302*$R302,0))</f>
        <v/>
      </c>
      <c r="T302" s="91">
        <f>IF(OR($Q302="",$S302=""),"",$Q302-$S302)</f>
        <v/>
      </c>
      <c r="U302" s="93">
        <f>IF($B302="","",IFERROR(INDEX(cal_JYear,MATCH($B302,cal_Key,0)),""))</f>
        <v/>
      </c>
      <c r="V302" s="93">
        <f>IF($B302="","",IFERROR(INDEX(cal_JMonth,MATCH($B302,cal_Key,0)),""))</f>
        <v/>
      </c>
      <c r="W302" s="94">
        <f>IF($B302="","",IFERROR(INDEX(cal_YM,MATCH($B302,cal_Key,0)),""))</f>
        <v/>
      </c>
      <c r="X302" s="94">
        <f>IF($B302="","",IFERROR(INDEX(cal_Season,MATCH($B302,cal_Key,0)),""))</f>
        <v/>
      </c>
      <c r="Y302" s="94">
        <f>IF($B302="","",IFERROR(INDEX(cal_Key,MATCH(INDEX(cal_Serial,MATCH($B302,cal_Key,0))+p_Due,cal_Serial,0)),""))</f>
        <v/>
      </c>
      <c r="Z302" s="95">
        <f>IF($B302="","",IF(OR($I302="پرداخت‌شده",$I302="ابطال"),"—",IFERROR(IF(INDEX(cal_Serial,MATCH($B302,cal_Key,0))+p_Due&lt;TODAY(),"بله","خیر"),"تاریخ نامعتبر")))</f>
        <v/>
      </c>
    </row>
    <row r="303" ht="20" customHeight="1">
      <c r="B303" s="86" t="n"/>
      <c r="C303" s="87" t="n"/>
      <c r="D303" s="87" t="n"/>
      <c r="E303" s="87" t="n"/>
      <c r="F303" s="88" t="n"/>
      <c r="G303" s="89" t="n"/>
      <c r="H303" s="90" t="n"/>
      <c r="I303" s="86" t="n"/>
      <c r="J303" s="87" t="n"/>
      <c r="K303" s="91">
        <f>IF($F303="","",$F303*IF($G303="",1,$G303))</f>
        <v/>
      </c>
      <c r="L303" s="92">
        <f>IFERROR(IF($D303="","",INDEX(t_Svc_Rate,MATCH($D303,lst_Service,0))),"")</f>
        <v/>
      </c>
      <c r="M303" s="92">
        <f>IF($L303="","",$L303*IF(p_TierMode="پلکانی",LOOKUP($K303,t_Tier_From,t_Tier_Rate),1))</f>
        <v/>
      </c>
      <c r="N303" s="91">
        <f>IF($K303="","",$K303*$M303)</f>
        <v/>
      </c>
      <c r="O303" s="91">
        <f>IF($N303="","",IF($I303="ابطال",0,MAX(p_Min,MIN(p_Max,$N303))))</f>
        <v/>
      </c>
      <c r="P303" s="91">
        <f>IF($O303="","",ROUND($O303*p_Tax,0))</f>
        <v/>
      </c>
      <c r="Q303" s="91">
        <f>IF($O303="","",$O303+$P303)</f>
        <v/>
      </c>
      <c r="R303" s="92">
        <f>IF($A303="","",IF($H303&lt;&gt;"",$H303,IFERROR(INDEX(t_Member_Share,MATCH($C303,t_Members,0)),p_DefaultShare)))</f>
        <v/>
      </c>
      <c r="S303" s="91">
        <f>IF(OR($Q303="",$R303=""),"",ROUND($Q303*$R303,0))</f>
        <v/>
      </c>
      <c r="T303" s="91">
        <f>IF(OR($Q303="",$S303=""),"",$Q303-$S303)</f>
        <v/>
      </c>
      <c r="U303" s="93">
        <f>IF($B303="","",IFERROR(INDEX(cal_JYear,MATCH($B303,cal_Key,0)),""))</f>
        <v/>
      </c>
      <c r="V303" s="93">
        <f>IF($B303="","",IFERROR(INDEX(cal_JMonth,MATCH($B303,cal_Key,0)),""))</f>
        <v/>
      </c>
      <c r="W303" s="94">
        <f>IF($B303="","",IFERROR(INDEX(cal_YM,MATCH($B303,cal_Key,0)),""))</f>
        <v/>
      </c>
      <c r="X303" s="94">
        <f>IF($B303="","",IFERROR(INDEX(cal_Season,MATCH($B303,cal_Key,0)),""))</f>
        <v/>
      </c>
      <c r="Y303" s="94">
        <f>IF($B303="","",IFERROR(INDEX(cal_Key,MATCH(INDEX(cal_Serial,MATCH($B303,cal_Key,0))+p_Due,cal_Serial,0)),""))</f>
        <v/>
      </c>
      <c r="Z303" s="95">
        <f>IF($B303="","",IF(OR($I303="پرداخت‌شده",$I303="ابطال"),"—",IFERROR(IF(INDEX(cal_Serial,MATCH($B303,cal_Key,0))+p_Due&lt;TODAY(),"بله","خیر"),"تاریخ نامعتبر")))</f>
        <v/>
      </c>
    </row>
    <row r="304" ht="20" customHeight="1">
      <c r="B304" s="86" t="n"/>
      <c r="C304" s="87" t="n"/>
      <c r="D304" s="87" t="n"/>
      <c r="E304" s="87" t="n"/>
      <c r="F304" s="88" t="n"/>
      <c r="G304" s="89" t="n"/>
      <c r="H304" s="90" t="n"/>
      <c r="I304" s="86" t="n"/>
      <c r="J304" s="87" t="n"/>
      <c r="K304" s="91">
        <f>IF($F304="","",$F304*IF($G304="",1,$G304))</f>
        <v/>
      </c>
      <c r="L304" s="92">
        <f>IFERROR(IF($D304="","",INDEX(t_Svc_Rate,MATCH($D304,lst_Service,0))),"")</f>
        <v/>
      </c>
      <c r="M304" s="92">
        <f>IF($L304="","",$L304*IF(p_TierMode="پلکانی",LOOKUP($K304,t_Tier_From,t_Tier_Rate),1))</f>
        <v/>
      </c>
      <c r="N304" s="91">
        <f>IF($K304="","",$K304*$M304)</f>
        <v/>
      </c>
      <c r="O304" s="91">
        <f>IF($N304="","",IF($I304="ابطال",0,MAX(p_Min,MIN(p_Max,$N304))))</f>
        <v/>
      </c>
      <c r="P304" s="91">
        <f>IF($O304="","",ROUND($O304*p_Tax,0))</f>
        <v/>
      </c>
      <c r="Q304" s="91">
        <f>IF($O304="","",$O304+$P304)</f>
        <v/>
      </c>
      <c r="R304" s="92">
        <f>IF($A304="","",IF($H304&lt;&gt;"",$H304,IFERROR(INDEX(t_Member_Share,MATCH($C304,t_Members,0)),p_DefaultShare)))</f>
        <v/>
      </c>
      <c r="S304" s="91">
        <f>IF(OR($Q304="",$R304=""),"",ROUND($Q304*$R304,0))</f>
        <v/>
      </c>
      <c r="T304" s="91">
        <f>IF(OR($Q304="",$S304=""),"",$Q304-$S304)</f>
        <v/>
      </c>
      <c r="U304" s="93">
        <f>IF($B304="","",IFERROR(INDEX(cal_JYear,MATCH($B304,cal_Key,0)),""))</f>
        <v/>
      </c>
      <c r="V304" s="93">
        <f>IF($B304="","",IFERROR(INDEX(cal_JMonth,MATCH($B304,cal_Key,0)),""))</f>
        <v/>
      </c>
      <c r="W304" s="94">
        <f>IF($B304="","",IFERROR(INDEX(cal_YM,MATCH($B304,cal_Key,0)),""))</f>
        <v/>
      </c>
      <c r="X304" s="94">
        <f>IF($B304="","",IFERROR(INDEX(cal_Season,MATCH($B304,cal_Key,0)),""))</f>
        <v/>
      </c>
      <c r="Y304" s="94">
        <f>IF($B304="","",IFERROR(INDEX(cal_Key,MATCH(INDEX(cal_Serial,MATCH($B304,cal_Key,0))+p_Due,cal_Serial,0)),""))</f>
        <v/>
      </c>
      <c r="Z304" s="95">
        <f>IF($B304="","",IF(OR($I304="پرداخت‌شده",$I304="ابطال"),"—",IFERROR(IF(INDEX(cal_Serial,MATCH($B304,cal_Key,0))+p_Due&lt;TODAY(),"بله","خیر"),"تاریخ نامعتبر")))</f>
        <v/>
      </c>
    </row>
    <row r="305" ht="20" customHeight="1">
      <c r="B305" s="86" t="n"/>
      <c r="C305" s="87" t="n"/>
      <c r="D305" s="87" t="n"/>
      <c r="E305" s="87" t="n"/>
      <c r="F305" s="88" t="n"/>
      <c r="G305" s="89" t="n"/>
      <c r="H305" s="90" t="n"/>
      <c r="I305" s="86" t="n"/>
      <c r="J305" s="87" t="n"/>
      <c r="K305" s="91">
        <f>IF($F305="","",$F305*IF($G305="",1,$G305))</f>
        <v/>
      </c>
      <c r="L305" s="92">
        <f>IFERROR(IF($D305="","",INDEX(t_Svc_Rate,MATCH($D305,lst_Service,0))),"")</f>
        <v/>
      </c>
      <c r="M305" s="92">
        <f>IF($L305="","",$L305*IF(p_TierMode="پلکانی",LOOKUP($K305,t_Tier_From,t_Tier_Rate),1))</f>
        <v/>
      </c>
      <c r="N305" s="91">
        <f>IF($K305="","",$K305*$M305)</f>
        <v/>
      </c>
      <c r="O305" s="91">
        <f>IF($N305="","",IF($I305="ابطال",0,MAX(p_Min,MIN(p_Max,$N305))))</f>
        <v/>
      </c>
      <c r="P305" s="91">
        <f>IF($O305="","",ROUND($O305*p_Tax,0))</f>
        <v/>
      </c>
      <c r="Q305" s="91">
        <f>IF($O305="","",$O305+$P305)</f>
        <v/>
      </c>
      <c r="R305" s="92">
        <f>IF($A305="","",IF($H305&lt;&gt;"",$H305,IFERROR(INDEX(t_Member_Share,MATCH($C305,t_Members,0)),p_DefaultShare)))</f>
        <v/>
      </c>
      <c r="S305" s="91">
        <f>IF(OR($Q305="",$R305=""),"",ROUND($Q305*$R305,0))</f>
        <v/>
      </c>
      <c r="T305" s="91">
        <f>IF(OR($Q305="",$S305=""),"",$Q305-$S305)</f>
        <v/>
      </c>
      <c r="U305" s="93">
        <f>IF($B305="","",IFERROR(INDEX(cal_JYear,MATCH($B305,cal_Key,0)),""))</f>
        <v/>
      </c>
      <c r="V305" s="93">
        <f>IF($B305="","",IFERROR(INDEX(cal_JMonth,MATCH($B305,cal_Key,0)),""))</f>
        <v/>
      </c>
      <c r="W305" s="94">
        <f>IF($B305="","",IFERROR(INDEX(cal_YM,MATCH($B305,cal_Key,0)),""))</f>
        <v/>
      </c>
      <c r="X305" s="94">
        <f>IF($B305="","",IFERROR(INDEX(cal_Season,MATCH($B305,cal_Key,0)),""))</f>
        <v/>
      </c>
      <c r="Y305" s="94">
        <f>IF($B305="","",IFERROR(INDEX(cal_Key,MATCH(INDEX(cal_Serial,MATCH($B305,cal_Key,0))+p_Due,cal_Serial,0)),""))</f>
        <v/>
      </c>
      <c r="Z305" s="95">
        <f>IF($B305="","",IF(OR($I305="پرداخت‌شده",$I305="ابطال"),"—",IFERROR(IF(INDEX(cal_Serial,MATCH($B305,cal_Key,0))+p_Due&lt;TODAY(),"بله","خیر"),"تاریخ نامعتبر")))</f>
        <v/>
      </c>
    </row>
  </sheetData>
  <mergeCells count="5">
    <mergeCell ref="A1:Z1"/>
    <mergeCell ref="K4:Z4"/>
    <mergeCell ref="A3:Z3"/>
    <mergeCell ref="B4:J4"/>
    <mergeCell ref="A2:Z2"/>
  </mergeCells>
  <conditionalFormatting sqref="A6:Z305">
    <cfRule type="expression" priority="1" dxfId="2" stopIfTrue="0">
      <formula>AND($A6&lt;&gt;"",MOD(ROW(),2)=0)</formula>
    </cfRule>
    <cfRule type="expression" priority="2" dxfId="3" stopIfTrue="0">
      <formula>$I6="ابطال"</formula>
    </cfRule>
    <cfRule type="expression" priority="4" dxfId="4" stopIfTrue="0">
      <formula>AND($A6&lt;&gt;"",OR($C6="",$D6="",$F6=""))</formula>
    </cfRule>
  </conditionalFormatting>
  <conditionalFormatting sqref="A6:A305">
    <cfRule type="expression" priority="3" dxfId="5" stopIfTrue="1">
      <formula>AND($A6&lt;&gt;"",COUNTIF($A$6:$A$305,$A6)&gt;1)</formula>
    </cfRule>
  </conditionalFormatting>
  <conditionalFormatting sqref="F6:F305">
    <cfRule type="cellIs" priority="5" operator="lessThan" dxfId="5">
      <formula>0</formula>
    </cfRule>
  </conditionalFormatting>
  <conditionalFormatting sqref="Q6:Q305">
    <cfRule type="dataBar" priority="6">
      <dataBar showValue="1">
        <cfvo type="num" val="0"/>
        <cfvo type="max"/>
        <color rgb="000E8C8C"/>
      </dataBar>
    </cfRule>
  </conditionalFormatting>
  <conditionalFormatting sqref="I6:I305">
    <cfRule type="expression" priority="7" dxfId="6" stopIfTrue="1">
      <formula>$I6="پرداخت‌شده"</formula>
    </cfRule>
    <cfRule type="expression" priority="8" dxfId="7" stopIfTrue="1">
      <formula>OR($I6="معوق",$I6="در انتظار پرداخت")</formula>
    </cfRule>
    <cfRule type="expression" priority="9" dxfId="5" stopIfTrue="1">
      <formula>$I6="ابطال"</formula>
    </cfRule>
  </conditionalFormatting>
  <conditionalFormatting sqref="Z6:Z305">
    <cfRule type="expression" priority="10" dxfId="5" stopIfTrue="1">
      <formula>$Z6="بله"</formula>
    </cfRule>
    <cfRule type="expression" priority="11" dxfId="8" stopIfTrue="1">
      <formula>$Z6="تاریخ نامعتبر"</formula>
    </cfRule>
  </conditionalFormatting>
  <conditionalFormatting sqref="M6:M305">
    <cfRule type="colorScale" priority="12">
      <colorScale>
        <cfvo type="min"/>
        <cfvo type="percentile" val="50"/>
        <cfvo type="max"/>
        <color rgb="00FFFFFF"/>
        <color rgb="00DCE9F5"/>
        <color rgb="000E8C8C"/>
      </colorScale>
    </cfRule>
  </conditionalFormatting>
  <dataValidations count="9">
    <dataValidation sqref="C6:C305" showDropDown="0" showInputMessage="1" showErrorMessage="1" allowBlank="1" errorTitle="عضو نامعتبر" error="این نام در شیت «اعضا» وجود ندارد." promptTitle="عضو مسئول" prompt="از فهرست شیت «اعضا» انتخاب کنید." type="list" errorStyle="stop">
      <formula1>t_Members</formula1>
    </dataValidation>
    <dataValidation sqref="D6:D305" showDropDown="0" showInputMessage="1" showErrorMessage="1" allowBlank="1" errorTitle="خدمت نامعتبر" error="این خدمت در فهرست خدمات نیست." promptTitle="نوع خدمت" prompt="نرخ پایه از شیت «فهرست‌ها» خوانده می‌شود." type="list" errorStyle="stop">
      <formula1>lst_Service</formula1>
    </dataValidation>
    <dataValidation sqref="E6:E305" showDropDown="0" showInputMessage="1" showErrorMessage="1" allowBlank="1" errorTitle="کارفرمای نامعتبر" error="این کارفرما در فهرست نیست." promptTitle="کارفرما" prompt="از فهرست کارفرمایان انتخاب کنید." type="list" errorStyle="stop">
      <formula1>lst_Contractor</formula1>
    </dataValidation>
    <dataValidation sqref="I6:I305" showDropDown="0" showInputMessage="1" showErrorMessage="1" allowBlank="1" errorTitle="وضعیت نامعتبر" error="این وضعیت در فهرست نیست." promptTitle="وضعیت پرونده" prompt="وضعیت «ابطال» از جمع‌ها حذف می‌شود." type="list" errorStyle="stop">
      <formula1>lst_Status</formula1>
    </dataValidation>
    <dataValidation sqref="F6:F305" showDropDown="0" showInputMessage="1" showErrorMessage="1" allowBlank="1" errorTitle="مبلغ نامعتبر" error="مبلغ کارشناسی باید مثبت باشد." type="decimal" errorStyle="stop" operator="greaterThan">
      <formula1>0</formula1>
    </dataValidation>
    <dataValidation sqref="G6:G305" showDropDown="0" showInputMessage="1" showErrorMessage="1" allowBlank="1" errorTitle="ضریب نامعتبر" error="ضریب خدمت باید بین ۰٫۱ و ۵ باشد." type="decimal" errorStyle="stop" operator="between">
      <formula1>0.1</formula1>
      <formula2>5</formula2>
    </dataValidation>
    <dataValidation sqref="H6:H305" showDropDown="0" showInputMessage="1" showErrorMessage="1" allowBlank="1" errorTitle="درصد نامعتبر" error="درصد سهم باید بین ۰ و ۱ باشد (مثلاً ۰٫۲۵ برای ۲۵٪)." type="decimal" errorStyle="stop" operator="between">
      <formula1>0</formula1>
      <formula2>1</formula2>
    </dataValidation>
    <dataValidation sqref="B6:B305" showDropDown="0" showInputMessage="1" showErrorMessage="1" allowBlank="1" errorTitle="تاریخ نامعتبر" error="تاریخ را به شکل 1405/07/22 و از بازهٔ تقویم وارد کنید." type="custom" errorStyle="stop">
      <formula1>COUNTIF(cal_Key,$B6)=1</formula1>
    </dataValidation>
    <dataValidation sqref="A6:A305" showDropDown="0" showInputMessage="1" showErrorMessage="1" allowBlank="1" errorTitle="پروندهٔ تکراری" error="این شمارهٔ پرونده قبلاً ثبت شده است." type="custom" errorStyle="stop">
      <formula1>COUNTIF($A$6:$A$305,$A6)&lt;=1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&amp;C&amp;8 &amp;K64748B&amp;A — صفحهٔ &amp;P از &amp;N</oddFooter>
    <evenHeader/>
    <evenFooter>&amp;C&amp;A — صفحهٔ &amp;P از &amp;N</evenFooter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0E8C8C"/>
    <outlinePr summaryBelow="1" summaryRight="1"/>
    <pageSetUpPr fitToPage="1"/>
  </sheetPr>
  <dimension ref="A1:H33"/>
  <sheetViews>
    <sheetView showGridLines="0" rightToLeft="1" tabSelected="0" zoomScale="110" workbookViewId="0">
      <selection activeCell="A1" sqref="A1"/>
    </sheetView>
  </sheetViews>
  <sheetFormatPr baseColWidth="8" defaultRowHeight="15"/>
  <cols>
    <col width="26" customWidth="1" min="1" max="1"/>
    <col width="4" customWidth="1" min="2" max="2"/>
    <col width="24" customWidth="1" min="3" max="3"/>
    <col width="4" customWidth="1" min="4" max="4"/>
    <col width="22" customWidth="1" min="5" max="5"/>
    <col width="16" customWidth="1" min="6" max="6"/>
    <col width="16" customWidth="1" min="7" max="7"/>
    <col width="16" customWidth="1" min="8" max="8"/>
  </cols>
  <sheetData>
    <row r="1" ht="36" customHeight="1">
      <c r="A1" s="1" t="inlineStr">
        <is>
          <t>ماشین‌حساب سناریو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یک پروندهٔ فرضی را پیش از ثبت واقعی بسنجید؛ منطق این شیت مو‌به‌مو همان منطق شیت تراکنش‌ها است</t>
        </is>
      </c>
      <c r="B2" s="4" t="n"/>
      <c r="C2" s="4" t="n"/>
      <c r="D2" s="4" t="n"/>
      <c r="E2" s="4" t="n"/>
      <c r="F2" s="4" t="n"/>
      <c r="G2" s="4" t="n"/>
      <c r="H2" s="4" t="n"/>
    </row>
    <row r="4" ht="26" customHeight="1">
      <c r="A4" s="5" t="inlineStr">
        <is>
          <t>۱) ورودی سناریو — فقط سلول‌های آبی</t>
        </is>
      </c>
      <c r="B4" s="6" t="n"/>
      <c r="C4" s="6" t="n"/>
      <c r="D4" s="6" t="n"/>
      <c r="E4" s="6" t="n"/>
      <c r="F4" s="6" t="n"/>
      <c r="G4" s="6" t="n"/>
      <c r="H4" s="6" t="n"/>
    </row>
    <row r="5" ht="24" customHeight="1">
      <c r="A5" s="17" t="inlineStr">
        <is>
          <t>قلم ورودی</t>
        </is>
      </c>
      <c r="B5" s="96" t="n"/>
      <c r="C5" s="17" t="inlineStr">
        <is>
          <t>مقدار</t>
        </is>
      </c>
      <c r="D5" s="96" t="n"/>
      <c r="E5" s="17" t="inlineStr">
        <is>
          <t>توضیح</t>
        </is>
      </c>
      <c r="F5" s="96" t="n"/>
      <c r="G5" s="96" t="n"/>
      <c r="H5" s="96" t="n"/>
    </row>
    <row r="6" ht="22" customHeight="1">
      <c r="A6" s="97" t="inlineStr">
        <is>
          <t>عضو مسئول</t>
        </is>
      </c>
      <c r="C6" s="98" t="inlineStr">
        <is>
          <t>مهندس آرش رحیمی</t>
        </is>
      </c>
      <c r="E6" s="99" t="inlineStr">
        <is>
          <t>نام عضو از شیت «اعضا»</t>
        </is>
      </c>
    </row>
    <row r="7" ht="22" customHeight="1">
      <c r="A7" s="97" t="inlineStr">
        <is>
          <t>نوع خدمت</t>
        </is>
      </c>
      <c r="C7" s="98" t="inlineStr">
        <is>
          <t>بازرسی جوش و اتصالات</t>
        </is>
      </c>
      <c r="E7" s="99" t="inlineStr">
        <is>
          <t>نرخ پایه از همین انتخاب خوانده می‌شود</t>
        </is>
      </c>
    </row>
    <row r="8" ht="22" customHeight="1">
      <c r="A8" s="97" t="inlineStr">
        <is>
          <t>مبلغ کارشناسی (ریال)</t>
        </is>
      </c>
      <c r="C8" s="100" t="n">
        <v>1250000000</v>
      </c>
      <c r="E8" s="99" t="inlineStr">
        <is>
          <t>مبلغ قرارداد یا برآورد کارشناسی</t>
        </is>
      </c>
    </row>
    <row r="9" ht="22" customHeight="1">
      <c r="A9" s="97" t="inlineStr">
        <is>
          <t>ضریب خدمت</t>
        </is>
      </c>
      <c r="C9" s="101" t="n">
        <v>1.1</v>
      </c>
      <c r="E9" s="99" t="inlineStr">
        <is>
          <t>برای عملیات چندبرابری؛ پیش‌فرض ۱</t>
        </is>
      </c>
    </row>
    <row r="10" ht="22" customHeight="1">
      <c r="A10" s="97" t="inlineStr">
        <is>
          <t>سهم عضو (اختیاری)</t>
        </is>
      </c>
      <c r="C10" s="102" t="n"/>
      <c r="E10" s="99" t="inlineStr">
        <is>
          <t>خالی بگذارید تا سهم پیش‌فرض عضو اعمال شود</t>
        </is>
      </c>
    </row>
    <row r="11" ht="22" customHeight="1">
      <c r="A11" s="97" t="inlineStr">
        <is>
          <t>وضعیت</t>
        </is>
      </c>
      <c r="C11" s="98" t="inlineStr">
        <is>
          <t>تأییدشده</t>
        </is>
      </c>
      <c r="E11" s="99" t="inlineStr">
        <is>
          <t>وضعیت «ابطال» کمیسیون را صفر می‌کند</t>
        </is>
      </c>
    </row>
    <row r="13" ht="26" customHeight="1">
      <c r="A13" s="5" t="inlineStr">
        <is>
          <t>۲) زنجیرهٔ محاسبهٔ گام‌به‌گام (فرمول زنده)</t>
        </is>
      </c>
      <c r="B13" s="6" t="n"/>
      <c r="C13" s="6" t="n"/>
      <c r="D13" s="6" t="n"/>
      <c r="E13" s="6" t="n"/>
      <c r="F13" s="6" t="n"/>
      <c r="G13" s="6" t="n"/>
      <c r="H13" s="6" t="n"/>
    </row>
    <row r="14" ht="24" customHeight="1">
      <c r="A14" s="17" t="inlineStr">
        <is>
          <t>گام</t>
        </is>
      </c>
      <c r="B14" s="96" t="n"/>
      <c r="C14" s="17" t="inlineStr">
        <is>
          <t>مقدار</t>
        </is>
      </c>
      <c r="D14" s="96" t="n"/>
      <c r="E14" s="17" t="inlineStr">
        <is>
          <t>توضیح</t>
        </is>
      </c>
      <c r="F14" s="96" t="n"/>
      <c r="G14" s="96" t="n"/>
      <c r="H14" s="96" t="n"/>
    </row>
    <row r="15" ht="21" customHeight="1">
      <c r="A15" s="103" t="inlineStr">
        <is>
          <t>۱. مبلغ مبنا</t>
        </is>
      </c>
      <c r="B15" s="104" t="n"/>
      <c r="C15" s="105">
        <f>IF(m_Amount="","",m_Amount*IF(m_Factor="",1,m_Factor))</f>
        <v/>
      </c>
      <c r="E15" s="106" t="inlineStr">
        <is>
          <t>مبلغ کارشناسی × ضریب خدمت (پایهٔ اعمال نرخ و پله‌ها)</t>
        </is>
      </c>
    </row>
    <row r="16" ht="21" customHeight="1">
      <c r="A16" s="107" t="inlineStr">
        <is>
          <t>۲. ضریب پلهٔ اعمال‌شده</t>
        </is>
      </c>
      <c r="B16" s="108" t="n"/>
      <c r="C16" s="109">
        <f>IF($C$15="","",IF(p_TierMode="پلکانی",LOOKUP($C$15,t_Tier_From,t_Tier_Rate),1))</f>
        <v/>
      </c>
      <c r="E16" s="106" t="inlineStr">
        <is>
          <t>ضریب مرتبط با پلهٔ مبلغ مبنا (از شیت تنظیمات)</t>
        </is>
      </c>
    </row>
    <row r="17" ht="21" customHeight="1">
      <c r="A17" s="103" t="inlineStr">
        <is>
          <t>۳. نرخ پایهٔ خدمت</t>
        </is>
      </c>
      <c r="B17" s="104" t="n"/>
      <c r="C17" s="110">
        <f>IFERROR(IF(m_Service="","",INDEX(t_Svc_Rate,MATCH(m_Service,lst_Service,0))),"")</f>
        <v/>
      </c>
      <c r="E17" s="106" t="inlineStr">
        <is>
          <t>نرخ خدمت انتخاب‌شده از شیت فهرست‌ها</t>
        </is>
      </c>
    </row>
    <row r="18" ht="21" customHeight="1">
      <c r="A18" s="107" t="inlineStr">
        <is>
          <t>۴. نرخ مؤثر</t>
        </is>
      </c>
      <c r="B18" s="108" t="n"/>
      <c r="C18" s="111">
        <f>IF(OR($C$15="",$C$17=""),"",$C$17*$C$16)</f>
        <v/>
      </c>
      <c r="E18" s="106" t="inlineStr">
        <is>
          <t>نرخ پایه × ضریب پله (عددی که واقعاً ضرب می‌شود)</t>
        </is>
      </c>
    </row>
    <row r="19" ht="21" customHeight="1">
      <c r="A19" s="103" t="inlineStr">
        <is>
          <t>۵. کمیسیون خام</t>
        </is>
      </c>
      <c r="B19" s="104" t="n"/>
      <c r="C19" s="105">
        <f>IF($C$15="","",$C$15*$C$18)</f>
        <v/>
      </c>
      <c r="E19" s="106" t="inlineStr">
        <is>
          <t>مبلغ مبنا × نرخ مؤثر</t>
        </is>
      </c>
    </row>
    <row r="20" ht="21" customHeight="1">
      <c r="A20" s="107" t="inlineStr">
        <is>
          <t>۶. اثر کف (مثبت = افزایش)</t>
        </is>
      </c>
      <c r="B20" s="108" t="n"/>
      <c r="C20" s="112">
        <f>IF($C$19="","",MAX(0,p_Min-$C$19))</f>
        <v/>
      </c>
      <c r="E20" s="106" t="inlineStr">
        <is>
          <t>اگر کمیسیون خام از کف کمتر باشد، اختلاف افزوده می‌شود</t>
        </is>
      </c>
    </row>
    <row r="21" ht="21" customHeight="1">
      <c r="A21" s="103" t="inlineStr">
        <is>
          <t>۷. اثر سقف (منفی = کاهش)</t>
        </is>
      </c>
      <c r="B21" s="104" t="n"/>
      <c r="C21" s="105">
        <f>IF($C$19="","",MIN(0,p_Max-$C$19))</f>
        <v/>
      </c>
      <c r="E21" s="106" t="inlineStr">
        <is>
          <t>اگر کمیسیون خام از سقف بیشتر باشد، اختلاف کاسته می‌شود</t>
        </is>
      </c>
    </row>
    <row r="22" ht="21" customHeight="1">
      <c r="A22" s="107" t="inlineStr">
        <is>
          <t>۸. کمیسیون پس از کف و سقف</t>
        </is>
      </c>
      <c r="B22" s="108" t="n"/>
      <c r="C22" s="112">
        <f>IF($C$19="","",IF(m_Status="ابطال",0,MAX(p_Min,MIN(p_Max,$C$19))))</f>
        <v/>
      </c>
      <c r="E22" s="106" t="inlineStr">
        <is>
          <t>مقدار تعدیل‌شده (برای وضعیت ابطال، صفر)</t>
        </is>
      </c>
    </row>
    <row r="23" ht="21" customHeight="1">
      <c r="A23" s="103" t="inlineStr">
        <is>
          <t>۹. مالیات و عوارض</t>
        </is>
      </c>
      <c r="B23" s="104" t="n"/>
      <c r="C23" s="105">
        <f>IF($C$22="","",ROUND($C$22*p_Tax,0))</f>
        <v/>
      </c>
      <c r="E23" s="106" t="inlineStr">
        <is>
          <t>کمیسیون پس از کف و سقف × نرخ مالیات</t>
        </is>
      </c>
    </row>
    <row r="24" ht="21" customHeight="1">
      <c r="A24" s="107" t="inlineStr">
        <is>
          <t>۱۰. جمع با مالیات</t>
        </is>
      </c>
      <c r="B24" s="108" t="n"/>
      <c r="C24" s="112">
        <f>IF($C$22="","",$C$22+$C$23)</f>
        <v/>
      </c>
      <c r="E24" s="106" t="inlineStr">
        <is>
          <t>مبلغ ناخالص قابل وصول</t>
        </is>
      </c>
    </row>
    <row r="25" ht="21" customHeight="1">
      <c r="A25" s="103" t="inlineStr">
        <is>
          <t>۱۱. درصد سهم عضو</t>
        </is>
      </c>
      <c r="B25" s="104" t="n"/>
      <c r="C25" s="113">
        <f>IF($C$22="","",IF(m_Share&lt;&gt;"",m_Share,IFERROR(INDEX(t_Member_Share,MATCH(m_Member,t_Members,0)),p_DefaultShare)))</f>
        <v/>
      </c>
      <c r="E25" s="106" t="inlineStr">
        <is>
          <t>سهم بازنویسی‌شده، در غیر این صورت سهم پیش‌فرض عضو</t>
        </is>
      </c>
    </row>
    <row r="26" ht="21" customHeight="1">
      <c r="A26" s="107" t="inlineStr">
        <is>
          <t>۱۲. مبلغ سهم عضو</t>
        </is>
      </c>
      <c r="B26" s="108" t="n"/>
      <c r="C26" s="114">
        <f>IF($C$24="","",ROUND($C$24*$C$25,0))</f>
        <v/>
      </c>
      <c r="E26" s="106" t="inlineStr">
        <is>
          <t>جمع با مالیات × درصد سهم</t>
        </is>
      </c>
    </row>
    <row r="27" ht="21" customHeight="1">
      <c r="A27" s="103" t="inlineStr">
        <is>
          <t>۱۳. سهم شرکت</t>
        </is>
      </c>
      <c r="B27" s="104" t="n"/>
      <c r="C27" s="115">
        <f>IF($C$24="","",$C$24-$C$26)</f>
        <v/>
      </c>
      <c r="E27" s="106" t="inlineStr">
        <is>
          <t>جمع با مالیات − مبلغ سهم عضو</t>
        </is>
      </c>
    </row>
    <row r="29" ht="26" customHeight="1">
      <c r="A29" s="5" t="inlineStr">
        <is>
          <t>۳) خروجی سناریو</t>
        </is>
      </c>
      <c r="B29" s="6" t="n"/>
      <c r="C29" s="6" t="n"/>
      <c r="D29" s="6" t="n"/>
      <c r="E29" s="6" t="n"/>
      <c r="F29" s="6" t="n"/>
      <c r="G29" s="6" t="n"/>
      <c r="H29" s="6" t="n"/>
    </row>
    <row r="30" ht="20" customHeight="1">
      <c r="A30" s="7" t="inlineStr">
        <is>
          <t>کمیسیون خالص (با مالیات)</t>
        </is>
      </c>
      <c r="B30" s="8" t="n"/>
      <c r="C30" s="9" t="inlineStr">
        <is>
          <t>سهم عضو</t>
        </is>
      </c>
      <c r="D30" s="10" t="n"/>
      <c r="E30" s="116" t="inlineStr">
        <is>
          <t>سهم شرکت</t>
        </is>
      </c>
      <c r="F30" s="117" t="n"/>
      <c r="G30" s="118" t="inlineStr">
        <is>
          <t>نرخ مؤثر</t>
        </is>
      </c>
      <c r="H30" s="108" t="n"/>
    </row>
    <row r="31" ht="28" customHeight="1">
      <c r="A31" s="15">
        <f>IF($C$24="",0,$C$24)</f>
        <v/>
      </c>
      <c r="B31" s="12" t="n"/>
      <c r="C31" s="13">
        <f>IF($C$26="",0,$C$26)</f>
        <v/>
      </c>
      <c r="D31" s="14" t="n"/>
      <c r="E31" s="119">
        <f>IF($C$27="",0,$C$27)</f>
        <v/>
      </c>
      <c r="F31" s="120" t="n"/>
      <c r="G31" s="121">
        <f>IF($C$18="",0,$C$18)</f>
        <v/>
      </c>
      <c r="H31" s="122" t="n"/>
    </row>
    <row r="33" ht="20" customHeight="1">
      <c r="A33" s="39" t="inlineStr">
        <is>
          <t>این شیت هیچ رکوردی در دفتر تراکنش‌ها ایجاد نمی‌کند؛ فقط برای بررسی و مذاکره پیش از ثبت است.</t>
        </is>
      </c>
      <c r="B33" s="10" t="n"/>
      <c r="C33" s="10" t="n"/>
      <c r="D33" s="10" t="n"/>
      <c r="E33" s="10" t="n"/>
      <c r="F33" s="10" t="n"/>
      <c r="G33" s="10" t="n"/>
      <c r="H33" s="40" t="n"/>
    </row>
  </sheetData>
  <mergeCells count="39">
    <mergeCell ref="A30:B30"/>
    <mergeCell ref="E26:H26"/>
    <mergeCell ref="C30:D30"/>
    <mergeCell ref="C5:D5"/>
    <mergeCell ref="E16:H16"/>
    <mergeCell ref="C14:D14"/>
    <mergeCell ref="E7:H7"/>
    <mergeCell ref="E25:H25"/>
    <mergeCell ref="A1:H1"/>
    <mergeCell ref="E22:H22"/>
    <mergeCell ref="E18:H18"/>
    <mergeCell ref="E21:H21"/>
    <mergeCell ref="C31:D31"/>
    <mergeCell ref="E24:H24"/>
    <mergeCell ref="E5:H5"/>
    <mergeCell ref="E31:F31"/>
    <mergeCell ref="E14:H14"/>
    <mergeCell ref="E17:H17"/>
    <mergeCell ref="E23:H23"/>
    <mergeCell ref="E30:F30"/>
    <mergeCell ref="E8:H8"/>
    <mergeCell ref="G30:H30"/>
    <mergeCell ref="A2:H2"/>
    <mergeCell ref="A5:B5"/>
    <mergeCell ref="E20:H20"/>
    <mergeCell ref="A14:B14"/>
    <mergeCell ref="A33:H33"/>
    <mergeCell ref="E19:H19"/>
    <mergeCell ref="E10:H10"/>
    <mergeCell ref="A4:H4"/>
    <mergeCell ref="E9:H9"/>
    <mergeCell ref="A29:H29"/>
    <mergeCell ref="E6:H6"/>
    <mergeCell ref="A13:H13"/>
    <mergeCell ref="E15:H15"/>
    <mergeCell ref="G31:H31"/>
    <mergeCell ref="E11:H11"/>
    <mergeCell ref="A31:B31"/>
    <mergeCell ref="E27:H27"/>
  </mergeCells>
  <conditionalFormatting sqref="C15:C27">
    <cfRule type="dataBar" priority="1">
      <dataBar showValue="1">
        <cfvo type="num" val="0"/>
        <cfvo type="max"/>
        <color rgb="000E8C8C"/>
      </dataBar>
    </cfRule>
  </conditionalFormatting>
  <conditionalFormatting sqref="C20:C21">
    <cfRule type="cellIs" priority="2" operator="greaterThan" dxfId="9">
      <formula>0</formula>
    </cfRule>
  </conditionalFormatting>
  <dataValidations count="3">
    <dataValidation sqref="C6" showDropDown="0" showInputMessage="1" showErrorMessage="1" allowBlank="1" errorTitle="مقدار نامعتبر" error="مقدار را از فهرست انتخاب کنید." promptTitle="انتخاب از فهرست" type="list">
      <formula1>t_Members</formula1>
    </dataValidation>
    <dataValidation sqref="C7" showDropDown="0" showInputMessage="1" showErrorMessage="1" allowBlank="1" errorTitle="مقدار نامعتبر" error="مقدار را از فهرست انتخاب کنید." promptTitle="انتخاب از فهرست" type="list">
      <formula1>lst_Service</formula1>
    </dataValidation>
    <dataValidation sqref="C11" showDropDown="0" showInputMessage="1" showErrorMessage="1" allowBlank="1" errorTitle="مقدار نامعتبر" error="مقدار را از فهرست انتخاب کنید." promptTitle="انتخاب از فهرست" type="list">
      <formula1>lst_Status</formula1>
    </dataValidation>
  </dataValidations>
  <printOptions horizontalCentered="1"/>
  <pageMargins left="0.75" right="0.75" top="1" bottom="1" header="0.5" footer="0.5"/>
  <pageSetup orientation="portrait" paperSize="9" fitToHeight="0" fitToWidth="1"/>
  <headerFooter>
    <oddHeader/>
    <oddFooter>&amp;C&amp;8 &amp;K64748B&amp;A — صفحهٔ &amp;P از &amp;N</oddFooter>
    <evenHeader/>
    <evenFooter>&amp;C&amp;A — صفحهٔ &amp;P از &amp;N</evenFooter>
    <firstHeader/>
    <firstFooter/>
  </headerFooter>
</worksheet>
</file>

<file path=xl/worksheets/sheet7.xml><?xml version="1.0" encoding="utf-8"?>
<worksheet xmlns="http://schemas.openxmlformats.org/spreadsheetml/2006/main">
  <sheetPr>
    <tabColor rgb="0012314F"/>
    <outlinePr summaryBelow="1" summaryRight="1"/>
    <pageSetUpPr fitToPage="1"/>
  </sheetPr>
  <dimension ref="A1:J56"/>
  <sheetViews>
    <sheetView showGridLines="0" rightToLeft="1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12" customWidth="1" min="8" max="8"/>
    <col width="10" customWidth="1" min="9" max="9"/>
    <col width="15" customWidth="1" min="10" max="10"/>
  </cols>
  <sheetData>
    <row r="1" ht="36" customHeight="1">
      <c r="A1" s="1" t="inlineStr">
        <is>
          <t>گزارش‌های تحلیلی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تجمیع زندهٔ دفتر تراکنش‌ها برای سال گزارش (تنظیمات ← سال گزارش)؛ رکوردهای «ابطال» در همهٔ گزارش‌ها کنار گذاشته می‌شوند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5" ht="26" customHeight="1">
      <c r="A5" s="5" t="inlineStr">
        <is>
          <t>بلوک ۱ — عملکرد اعضا (مرتب بر مبلغ خالص)</t>
        </is>
      </c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 ht="30" customHeight="1">
      <c r="A6" s="17" t="inlineStr">
        <is>
          <t>عضو</t>
        </is>
      </c>
      <c r="B6" s="17" t="inlineStr">
        <is>
          <t>تعداد پرونده</t>
        </is>
      </c>
      <c r="C6" s="17" t="inlineStr">
        <is>
          <t>مبلغ کارشناسی</t>
        </is>
      </c>
      <c r="D6" s="17" t="inlineStr">
        <is>
          <t>کمیسیون خام</t>
        </is>
      </c>
      <c r="E6" s="17" t="inlineStr">
        <is>
          <t>جمع با مالیات</t>
        </is>
      </c>
      <c r="F6" s="17" t="inlineStr">
        <is>
          <t>مبلغ سهم عضو</t>
        </is>
      </c>
      <c r="G6" s="17" t="inlineStr">
        <is>
          <t>سهم شرکت</t>
        </is>
      </c>
      <c r="H6" s="17" t="inlineStr">
        <is>
          <t>درصد از کل</t>
        </is>
      </c>
      <c r="I6" s="17" t="inlineStr">
        <is>
          <t>رتبه</t>
        </is>
      </c>
      <c r="J6" s="17" t="inlineStr">
        <is>
          <t>وضعیت فعالیت</t>
        </is>
      </c>
    </row>
    <row r="7" ht="21" customHeight="1">
      <c r="A7" s="123">
        <f>IFERROR(IF(INDEX(t_Members,1)="","",INDEX(t_Members,1)),"—")</f>
        <v/>
      </c>
      <c r="B7" s="64">
        <f>IF($A7="","",COUNTIFS(tbl_TX[عضو],$A7,tbl_TX[وضعیت],"&lt;&gt;ابطال",tbl_TX[سال شمسی],p_Year))</f>
        <v/>
      </c>
      <c r="C7" s="124">
        <f>IF($A7="","",SUMIFS(tbl_TX[مبلغ کارشناسی],tbl_TX[عضو],$A7,tbl_TX[وضعیت],"&lt;&gt;ابطال",tbl_TX[سال شمسی],p_Year))</f>
        <v/>
      </c>
      <c r="D7" s="124">
        <f>IF($A7="","",SUMIFS(tbl_TX[کمیسیون خام],tbl_TX[عضو],$A7,tbl_TX[وضعیت],"&lt;&gt;ابطال",tbl_TX[سال شمسی],p_Year))</f>
        <v/>
      </c>
      <c r="E7" s="125">
        <f>IF($A7="","",SUMIFS(tbl_TX[جمع با مالیات],tbl_TX[عضو],$A7,tbl_TX[وضعیت],"&lt;&gt;ابطال",tbl_TX[سال شمسی],p_Year))</f>
        <v/>
      </c>
      <c r="F7" s="124">
        <f>IF($A7="","",SUMIFS(tbl_TX[مبلغ سهم عضو],tbl_TX[عضو],$A7,tbl_TX[وضعیت],"&lt;&gt;ابطال",tbl_TX[سال شمسی],p_Year))</f>
        <v/>
      </c>
      <c r="G7" s="124">
        <f>IF($A7="","",SUMIFS(tbl_TX[سهم شرکت],tbl_TX[عضو],$A7,tbl_TX[وضعیت],"&lt;&gt;ابطال",tbl_TX[سال شمسی],p_Year))</f>
        <v/>
      </c>
      <c r="H7" s="126">
        <f>IF($E7="","",IFERROR($E7/$E$17,0))</f>
        <v/>
      </c>
      <c r="I7" s="127">
        <f>IF($E7="","",IFERROR(RANK($E7,$E$7:$E$16),""))</f>
        <v/>
      </c>
      <c r="J7" s="128">
        <f>IF($A7="","",IF($B7=0,"بدون فعالیت",IF($B7&lt;p_LowAct,"کم‌فعال","فعال")))</f>
        <v/>
      </c>
    </row>
    <row r="8" ht="21" customHeight="1">
      <c r="A8" s="129">
        <f>IFERROR(IF(INDEX(t_Members,2)="","",INDEX(t_Members,2)),"—")</f>
        <v/>
      </c>
      <c r="B8" s="70">
        <f>IF($A8="","",COUNTIFS(tbl_TX[عضو],$A8,tbl_TX[وضعیت],"&lt;&gt;ابطال",tbl_TX[سال شمسی],p_Year))</f>
        <v/>
      </c>
      <c r="C8" s="130">
        <f>IF($A8="","",SUMIFS(tbl_TX[مبلغ کارشناسی],tbl_TX[عضو],$A8,tbl_TX[وضعیت],"&lt;&gt;ابطال",tbl_TX[سال شمسی],p_Year))</f>
        <v/>
      </c>
      <c r="D8" s="130">
        <f>IF($A8="","",SUMIFS(tbl_TX[کمیسیون خام],tbl_TX[عضو],$A8,tbl_TX[وضعیت],"&lt;&gt;ابطال",tbl_TX[سال شمسی],p_Year))</f>
        <v/>
      </c>
      <c r="E8" s="131">
        <f>IF($A8="","",SUMIFS(tbl_TX[جمع با مالیات],tbl_TX[عضو],$A8,tbl_TX[وضعیت],"&lt;&gt;ابطال",tbl_TX[سال شمسی],p_Year))</f>
        <v/>
      </c>
      <c r="F8" s="130">
        <f>IF($A8="","",SUMIFS(tbl_TX[مبلغ سهم عضو],tbl_TX[عضو],$A8,tbl_TX[وضعیت],"&lt;&gt;ابطال",tbl_TX[سال شمسی],p_Year))</f>
        <v/>
      </c>
      <c r="G8" s="130">
        <f>IF($A8="","",SUMIFS(tbl_TX[سهم شرکت],tbl_TX[عضو],$A8,tbl_TX[وضعیت],"&lt;&gt;ابطال",tbl_TX[سال شمسی],p_Year))</f>
        <v/>
      </c>
      <c r="H8" s="132">
        <f>IF($E8="","",IFERROR($E8/$E$17,0))</f>
        <v/>
      </c>
      <c r="I8" s="133">
        <f>IF($E8="","",IFERROR(RANK($E8,$E$7:$E$16),""))</f>
        <v/>
      </c>
      <c r="J8" s="134">
        <f>IF($A8="","",IF($B8=0,"بدون فعالیت",IF($B8&lt;p_LowAct,"کم‌فعال","فعال")))</f>
        <v/>
      </c>
    </row>
    <row r="9" ht="21" customHeight="1">
      <c r="A9" s="123">
        <f>IFERROR(IF(INDEX(t_Members,3)="","",INDEX(t_Members,3)),"—")</f>
        <v/>
      </c>
      <c r="B9" s="64">
        <f>IF($A9="","",COUNTIFS(tbl_TX[عضو],$A9,tbl_TX[وضعیت],"&lt;&gt;ابطال",tbl_TX[سال شمسی],p_Year))</f>
        <v/>
      </c>
      <c r="C9" s="124">
        <f>IF($A9="","",SUMIFS(tbl_TX[مبلغ کارشناسی],tbl_TX[عضو],$A9,tbl_TX[وضعیت],"&lt;&gt;ابطال",tbl_TX[سال شمسی],p_Year))</f>
        <v/>
      </c>
      <c r="D9" s="124">
        <f>IF($A9="","",SUMIFS(tbl_TX[کمیسیون خام],tbl_TX[عضو],$A9,tbl_TX[وضعیت],"&lt;&gt;ابطال",tbl_TX[سال شمسی],p_Year))</f>
        <v/>
      </c>
      <c r="E9" s="125">
        <f>IF($A9="","",SUMIFS(tbl_TX[جمع با مالیات],tbl_TX[عضو],$A9,tbl_TX[وضعیت],"&lt;&gt;ابطال",tbl_TX[سال شمسی],p_Year))</f>
        <v/>
      </c>
      <c r="F9" s="124">
        <f>IF($A9="","",SUMIFS(tbl_TX[مبلغ سهم عضو],tbl_TX[عضو],$A9,tbl_TX[وضعیت],"&lt;&gt;ابطال",tbl_TX[سال شمسی],p_Year))</f>
        <v/>
      </c>
      <c r="G9" s="124">
        <f>IF($A9="","",SUMIFS(tbl_TX[سهم شرکت],tbl_TX[عضو],$A9,tbl_TX[وضعیت],"&lt;&gt;ابطال",tbl_TX[سال شمسی],p_Year))</f>
        <v/>
      </c>
      <c r="H9" s="126">
        <f>IF($E9="","",IFERROR($E9/$E$17,0))</f>
        <v/>
      </c>
      <c r="I9" s="127">
        <f>IF($E9="","",IFERROR(RANK($E9,$E$7:$E$16),""))</f>
        <v/>
      </c>
      <c r="J9" s="128">
        <f>IF($A9="","",IF($B9=0,"بدون فعالیت",IF($B9&lt;p_LowAct,"کم‌فعال","فعال")))</f>
        <v/>
      </c>
    </row>
    <row r="10" ht="21" customHeight="1">
      <c r="A10" s="129">
        <f>IFERROR(IF(INDEX(t_Members,4)="","",INDEX(t_Members,4)),"—")</f>
        <v/>
      </c>
      <c r="B10" s="70">
        <f>IF($A10="","",COUNTIFS(tbl_TX[عضو],$A10,tbl_TX[وضعیت],"&lt;&gt;ابطال",tbl_TX[سال شمسی],p_Year))</f>
        <v/>
      </c>
      <c r="C10" s="130">
        <f>IF($A10="","",SUMIFS(tbl_TX[مبلغ کارشناسی],tbl_TX[عضو],$A10,tbl_TX[وضعیت],"&lt;&gt;ابطال",tbl_TX[سال شمسی],p_Year))</f>
        <v/>
      </c>
      <c r="D10" s="130">
        <f>IF($A10="","",SUMIFS(tbl_TX[کمیسیون خام],tbl_TX[عضو],$A10,tbl_TX[وضعیت],"&lt;&gt;ابطال",tbl_TX[سال شمسی],p_Year))</f>
        <v/>
      </c>
      <c r="E10" s="131">
        <f>IF($A10="","",SUMIFS(tbl_TX[جمع با مالیات],tbl_TX[عضو],$A10,tbl_TX[وضعیت],"&lt;&gt;ابطال",tbl_TX[سال شمسی],p_Year))</f>
        <v/>
      </c>
      <c r="F10" s="130">
        <f>IF($A10="","",SUMIFS(tbl_TX[مبلغ سهم عضو],tbl_TX[عضو],$A10,tbl_TX[وضعیت],"&lt;&gt;ابطال",tbl_TX[سال شمسی],p_Year))</f>
        <v/>
      </c>
      <c r="G10" s="130">
        <f>IF($A10="","",SUMIFS(tbl_TX[سهم شرکت],tbl_TX[عضو],$A10,tbl_TX[وضعیت],"&lt;&gt;ابطال",tbl_TX[سال شمسی],p_Year))</f>
        <v/>
      </c>
      <c r="H10" s="132">
        <f>IF($E10="","",IFERROR($E10/$E$17,0))</f>
        <v/>
      </c>
      <c r="I10" s="133">
        <f>IF($E10="","",IFERROR(RANK($E10,$E$7:$E$16),""))</f>
        <v/>
      </c>
      <c r="J10" s="134">
        <f>IF($A10="","",IF($B10=0,"بدون فعالیت",IF($B10&lt;p_LowAct,"کم‌فعال","فعال")))</f>
        <v/>
      </c>
    </row>
    <row r="11" ht="21" customHeight="1">
      <c r="A11" s="123">
        <f>IFERROR(IF(INDEX(t_Members,5)="","",INDEX(t_Members,5)),"—")</f>
        <v/>
      </c>
      <c r="B11" s="64">
        <f>IF($A11="","",COUNTIFS(tbl_TX[عضو],$A11,tbl_TX[وضعیت],"&lt;&gt;ابطال",tbl_TX[سال شمسی],p_Year))</f>
        <v/>
      </c>
      <c r="C11" s="124">
        <f>IF($A11="","",SUMIFS(tbl_TX[مبلغ کارشناسی],tbl_TX[عضو],$A11,tbl_TX[وضعیت],"&lt;&gt;ابطال",tbl_TX[سال شمسی],p_Year))</f>
        <v/>
      </c>
      <c r="D11" s="124">
        <f>IF($A11="","",SUMIFS(tbl_TX[کمیسیون خام],tbl_TX[عضو],$A11,tbl_TX[وضعیت],"&lt;&gt;ابطال",tbl_TX[سال شمسی],p_Year))</f>
        <v/>
      </c>
      <c r="E11" s="125">
        <f>IF($A11="","",SUMIFS(tbl_TX[جمع با مالیات],tbl_TX[عضو],$A11,tbl_TX[وضعیت],"&lt;&gt;ابطال",tbl_TX[سال شمسی],p_Year))</f>
        <v/>
      </c>
      <c r="F11" s="124">
        <f>IF($A11="","",SUMIFS(tbl_TX[مبلغ سهم عضو],tbl_TX[عضو],$A11,tbl_TX[وضعیت],"&lt;&gt;ابطال",tbl_TX[سال شمسی],p_Year))</f>
        <v/>
      </c>
      <c r="G11" s="124">
        <f>IF($A11="","",SUMIFS(tbl_TX[سهم شرکت],tbl_TX[عضو],$A11,tbl_TX[وضعیت],"&lt;&gt;ابطال",tbl_TX[سال شمسی],p_Year))</f>
        <v/>
      </c>
      <c r="H11" s="126">
        <f>IF($E11="","",IFERROR($E11/$E$17,0))</f>
        <v/>
      </c>
      <c r="I11" s="127">
        <f>IF($E11="","",IFERROR(RANK($E11,$E$7:$E$16),""))</f>
        <v/>
      </c>
      <c r="J11" s="128">
        <f>IF($A11="","",IF($B11=0,"بدون فعالیت",IF($B11&lt;p_LowAct,"کم‌فعال","فعال")))</f>
        <v/>
      </c>
    </row>
    <row r="12" ht="21" customHeight="1">
      <c r="A12" s="129">
        <f>IFERROR(IF(INDEX(t_Members,6)="","",INDEX(t_Members,6)),"—")</f>
        <v/>
      </c>
      <c r="B12" s="70">
        <f>IF($A12="","",COUNTIFS(tbl_TX[عضو],$A12,tbl_TX[وضعیت],"&lt;&gt;ابطال",tbl_TX[سال شمسی],p_Year))</f>
        <v/>
      </c>
      <c r="C12" s="130">
        <f>IF($A12="","",SUMIFS(tbl_TX[مبلغ کارشناسی],tbl_TX[عضو],$A12,tbl_TX[وضعیت],"&lt;&gt;ابطال",tbl_TX[سال شمسی],p_Year))</f>
        <v/>
      </c>
      <c r="D12" s="130">
        <f>IF($A12="","",SUMIFS(tbl_TX[کمیسیون خام],tbl_TX[عضو],$A12,tbl_TX[وضعیت],"&lt;&gt;ابطال",tbl_TX[سال شمسی],p_Year))</f>
        <v/>
      </c>
      <c r="E12" s="131">
        <f>IF($A12="","",SUMIFS(tbl_TX[جمع با مالیات],tbl_TX[عضو],$A12,tbl_TX[وضعیت],"&lt;&gt;ابطال",tbl_TX[سال شمسی],p_Year))</f>
        <v/>
      </c>
      <c r="F12" s="130">
        <f>IF($A12="","",SUMIFS(tbl_TX[مبلغ سهم عضو],tbl_TX[عضو],$A12,tbl_TX[وضعیت],"&lt;&gt;ابطال",tbl_TX[سال شمسی],p_Year))</f>
        <v/>
      </c>
      <c r="G12" s="130">
        <f>IF($A12="","",SUMIFS(tbl_TX[سهم شرکت],tbl_TX[عضو],$A12,tbl_TX[وضعیت],"&lt;&gt;ابطال",tbl_TX[سال شمسی],p_Year))</f>
        <v/>
      </c>
      <c r="H12" s="132">
        <f>IF($E12="","",IFERROR($E12/$E$17,0))</f>
        <v/>
      </c>
      <c r="I12" s="133">
        <f>IF($E12="","",IFERROR(RANK($E12,$E$7:$E$16),""))</f>
        <v/>
      </c>
      <c r="J12" s="134">
        <f>IF($A12="","",IF($B12=0,"بدون فعالیت",IF($B12&lt;p_LowAct,"کم‌فعال","فعال")))</f>
        <v/>
      </c>
    </row>
    <row r="13" ht="21" customHeight="1">
      <c r="A13" s="123">
        <f>IFERROR(IF(INDEX(t_Members,7)="","",INDEX(t_Members,7)),"—")</f>
        <v/>
      </c>
      <c r="B13" s="64">
        <f>IF($A13="","",COUNTIFS(tbl_TX[عضو],$A13,tbl_TX[وضعیت],"&lt;&gt;ابطال",tbl_TX[سال شمسی],p_Year))</f>
        <v/>
      </c>
      <c r="C13" s="124">
        <f>IF($A13="","",SUMIFS(tbl_TX[مبلغ کارشناسی],tbl_TX[عضو],$A13,tbl_TX[وضعیت],"&lt;&gt;ابطال",tbl_TX[سال شمسی],p_Year))</f>
        <v/>
      </c>
      <c r="D13" s="124">
        <f>IF($A13="","",SUMIFS(tbl_TX[کمیسیون خام],tbl_TX[عضو],$A13,tbl_TX[وضعیت],"&lt;&gt;ابطال",tbl_TX[سال شمسی],p_Year))</f>
        <v/>
      </c>
      <c r="E13" s="125">
        <f>IF($A13="","",SUMIFS(tbl_TX[جمع با مالیات],tbl_TX[عضو],$A13,tbl_TX[وضعیت],"&lt;&gt;ابطال",tbl_TX[سال شمسی],p_Year))</f>
        <v/>
      </c>
      <c r="F13" s="124">
        <f>IF($A13="","",SUMIFS(tbl_TX[مبلغ سهم عضو],tbl_TX[عضو],$A13,tbl_TX[وضعیت],"&lt;&gt;ابطال",tbl_TX[سال شمسی],p_Year))</f>
        <v/>
      </c>
      <c r="G13" s="124">
        <f>IF($A13="","",SUMIFS(tbl_TX[سهم شرکت],tbl_TX[عضو],$A13,tbl_TX[وضعیت],"&lt;&gt;ابطال",tbl_TX[سال شمسی],p_Year))</f>
        <v/>
      </c>
      <c r="H13" s="126">
        <f>IF($E13="","",IFERROR($E13/$E$17,0))</f>
        <v/>
      </c>
      <c r="I13" s="127">
        <f>IF($E13="","",IFERROR(RANK($E13,$E$7:$E$16),""))</f>
        <v/>
      </c>
      <c r="J13" s="128">
        <f>IF($A13="","",IF($B13=0,"بدون فعالیت",IF($B13&lt;p_LowAct,"کم‌فعال","فعال")))</f>
        <v/>
      </c>
    </row>
    <row r="14" ht="21" customHeight="1">
      <c r="A14" s="129">
        <f>IFERROR(IF(INDEX(t_Members,8)="","",INDEX(t_Members,8)),"—")</f>
        <v/>
      </c>
      <c r="B14" s="70">
        <f>IF($A14="","",COUNTIFS(tbl_TX[عضو],$A14,tbl_TX[وضعیت],"&lt;&gt;ابطال",tbl_TX[سال شمسی],p_Year))</f>
        <v/>
      </c>
      <c r="C14" s="130">
        <f>IF($A14="","",SUMIFS(tbl_TX[مبلغ کارشناسی],tbl_TX[عضو],$A14,tbl_TX[وضعیت],"&lt;&gt;ابطال",tbl_TX[سال شمسی],p_Year))</f>
        <v/>
      </c>
      <c r="D14" s="130">
        <f>IF($A14="","",SUMIFS(tbl_TX[کمیسیون خام],tbl_TX[عضو],$A14,tbl_TX[وضعیت],"&lt;&gt;ابطال",tbl_TX[سال شمسی],p_Year))</f>
        <v/>
      </c>
      <c r="E14" s="131">
        <f>IF($A14="","",SUMIFS(tbl_TX[جمع با مالیات],tbl_TX[عضو],$A14,tbl_TX[وضعیت],"&lt;&gt;ابطال",tbl_TX[سال شمسی],p_Year))</f>
        <v/>
      </c>
      <c r="F14" s="130">
        <f>IF($A14="","",SUMIFS(tbl_TX[مبلغ سهم عضو],tbl_TX[عضو],$A14,tbl_TX[وضعیت],"&lt;&gt;ابطال",tbl_TX[سال شمسی],p_Year))</f>
        <v/>
      </c>
      <c r="G14" s="130">
        <f>IF($A14="","",SUMIFS(tbl_TX[سهم شرکت],tbl_TX[عضو],$A14,tbl_TX[وضعیت],"&lt;&gt;ابطال",tbl_TX[سال شمسی],p_Year))</f>
        <v/>
      </c>
      <c r="H14" s="132">
        <f>IF($E14="","",IFERROR($E14/$E$17,0))</f>
        <v/>
      </c>
      <c r="I14" s="133">
        <f>IF($E14="","",IFERROR(RANK($E14,$E$7:$E$16),""))</f>
        <v/>
      </c>
      <c r="J14" s="134">
        <f>IF($A14="","",IF($B14=0,"بدون فعالیت",IF($B14&lt;p_LowAct,"کم‌فعال","فعال")))</f>
        <v/>
      </c>
    </row>
    <row r="15" ht="21" customHeight="1">
      <c r="A15" s="123">
        <f>IFERROR(IF(INDEX(t_Members,9)="","",INDEX(t_Members,9)),"—")</f>
        <v/>
      </c>
      <c r="B15" s="64">
        <f>IF($A15="","",COUNTIFS(tbl_TX[عضو],$A15,tbl_TX[وضعیت],"&lt;&gt;ابطال",tbl_TX[سال شمسی],p_Year))</f>
        <v/>
      </c>
      <c r="C15" s="124">
        <f>IF($A15="","",SUMIFS(tbl_TX[مبلغ کارشناسی],tbl_TX[عضو],$A15,tbl_TX[وضعیت],"&lt;&gt;ابطال",tbl_TX[سال شمسی],p_Year))</f>
        <v/>
      </c>
      <c r="D15" s="124">
        <f>IF($A15="","",SUMIFS(tbl_TX[کمیسیون خام],tbl_TX[عضو],$A15,tbl_TX[وضعیت],"&lt;&gt;ابطال",tbl_TX[سال شمسی],p_Year))</f>
        <v/>
      </c>
      <c r="E15" s="125">
        <f>IF($A15="","",SUMIFS(tbl_TX[جمع با مالیات],tbl_TX[عضو],$A15,tbl_TX[وضعیت],"&lt;&gt;ابطال",tbl_TX[سال شمسی],p_Year))</f>
        <v/>
      </c>
      <c r="F15" s="124">
        <f>IF($A15="","",SUMIFS(tbl_TX[مبلغ سهم عضو],tbl_TX[عضو],$A15,tbl_TX[وضعیت],"&lt;&gt;ابطال",tbl_TX[سال شمسی],p_Year))</f>
        <v/>
      </c>
      <c r="G15" s="124">
        <f>IF($A15="","",SUMIFS(tbl_TX[سهم شرکت],tbl_TX[عضو],$A15,tbl_TX[وضعیت],"&lt;&gt;ابطال",tbl_TX[سال شمسی],p_Year))</f>
        <v/>
      </c>
      <c r="H15" s="126">
        <f>IF($E15="","",IFERROR($E15/$E$17,0))</f>
        <v/>
      </c>
      <c r="I15" s="127">
        <f>IF($E15="","",IFERROR(RANK($E15,$E$7:$E$16),""))</f>
        <v/>
      </c>
      <c r="J15" s="128">
        <f>IF($A15="","",IF($B15=0,"بدون فعالیت",IF($B15&lt;p_LowAct,"کم‌فعال","فعال")))</f>
        <v/>
      </c>
    </row>
    <row r="16" ht="21" customHeight="1">
      <c r="A16" s="129">
        <f>IFERROR(IF(INDEX(t_Members,10)="","",INDEX(t_Members,10)),"—")</f>
        <v/>
      </c>
      <c r="B16" s="70">
        <f>IF($A16="","",COUNTIFS(tbl_TX[عضو],$A16,tbl_TX[وضعیت],"&lt;&gt;ابطال",tbl_TX[سال شمسی],p_Year))</f>
        <v/>
      </c>
      <c r="C16" s="130">
        <f>IF($A16="","",SUMIFS(tbl_TX[مبلغ کارشناسی],tbl_TX[عضو],$A16,tbl_TX[وضعیت],"&lt;&gt;ابطال",tbl_TX[سال شمسی],p_Year))</f>
        <v/>
      </c>
      <c r="D16" s="130">
        <f>IF($A16="","",SUMIFS(tbl_TX[کمیسیون خام],tbl_TX[عضو],$A16,tbl_TX[وضعیت],"&lt;&gt;ابطال",tbl_TX[سال شمسی],p_Year))</f>
        <v/>
      </c>
      <c r="E16" s="131">
        <f>IF($A16="","",SUMIFS(tbl_TX[جمع با مالیات],tbl_TX[عضو],$A16,tbl_TX[وضعیت],"&lt;&gt;ابطال",tbl_TX[سال شمسی],p_Year))</f>
        <v/>
      </c>
      <c r="F16" s="130">
        <f>IF($A16="","",SUMIFS(tbl_TX[مبلغ سهم عضو],tbl_TX[عضو],$A16,tbl_TX[وضعیت],"&lt;&gt;ابطال",tbl_TX[سال شمسی],p_Year))</f>
        <v/>
      </c>
      <c r="G16" s="130">
        <f>IF($A16="","",SUMIFS(tbl_TX[سهم شرکت],tbl_TX[عضو],$A16,tbl_TX[وضعیت],"&lt;&gt;ابطال",tbl_TX[سال شمسی],p_Year))</f>
        <v/>
      </c>
      <c r="H16" s="132">
        <f>IF($E16="","",IFERROR($E16/$E$17,0))</f>
        <v/>
      </c>
      <c r="I16" s="133">
        <f>IF($E16="","",IFERROR(RANK($E16,$E$7:$E$16),""))</f>
        <v/>
      </c>
      <c r="J16" s="134">
        <f>IF($A16="","",IF($B16=0,"بدون فعالیت",IF($B16&lt;p_LowAct,"کم‌فعال","فعال")))</f>
        <v/>
      </c>
    </row>
    <row r="17" ht="24" customHeight="1">
      <c r="A17" s="77" t="inlineStr">
        <is>
          <t>جمع کل / میانگین کل</t>
        </is>
      </c>
      <c r="B17" s="78">
        <f>SUM(B7:B16)</f>
        <v/>
      </c>
      <c r="C17" s="79">
        <f>SUM(C7:C16)</f>
        <v/>
      </c>
      <c r="D17" s="79">
        <f>SUM(D7:D16)</f>
        <v/>
      </c>
      <c r="E17" s="79">
        <f>SUM(E7:E16)</f>
        <v/>
      </c>
      <c r="F17" s="79">
        <f>SUM(F7:F16)</f>
        <v/>
      </c>
      <c r="G17" s="79">
        <f>SUM(G7:G16)</f>
        <v/>
      </c>
      <c r="H17" s="135" t="inlineStr">
        <is>
          <t>۱۰۰٪</t>
        </is>
      </c>
      <c r="I17" s="2" t="n"/>
      <c r="J17" s="80">
        <f>TEXT(TODAY(),"yyyy/mm/dd")</f>
        <v/>
      </c>
    </row>
    <row r="19" ht="26" customHeight="1">
      <c r="A19" s="5" t="inlineStr">
        <is>
          <t>بلوک ۲ — روند ماهانهٔ سال شمسی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30" customHeight="1">
      <c r="A20" s="17" t="inlineStr">
        <is>
          <t>ماه (کلید)</t>
        </is>
      </c>
      <c r="B20" s="17" t="inlineStr">
        <is>
          <t>نام ماه</t>
        </is>
      </c>
      <c r="C20" s="17" t="inlineStr">
        <is>
          <t>تعداد پرونده</t>
        </is>
      </c>
      <c r="D20" s="17" t="inlineStr">
        <is>
          <t>مبلغ کارشناسی</t>
        </is>
      </c>
      <c r="E20" s="17" t="inlineStr">
        <is>
          <t>کمیسیون خام</t>
        </is>
      </c>
      <c r="F20" s="17" t="inlineStr">
        <is>
          <t>جمع با مالیات</t>
        </is>
      </c>
      <c r="G20" s="17" t="inlineStr">
        <is>
          <t>مبلغ سهم اعضا</t>
        </is>
      </c>
      <c r="H20" s="17" t="inlineStr">
        <is>
          <t>سهم شرکت</t>
        </is>
      </c>
      <c r="I20" s="17" t="inlineStr">
        <is>
          <t>درصد از کل</t>
        </is>
      </c>
      <c r="J20" s="17" t="inlineStr">
        <is>
          <t>رشد نسبت به ماه قبل</t>
        </is>
      </c>
    </row>
    <row r="21" ht="21" customHeight="1">
      <c r="A21" s="136">
        <f>p_Year&amp;"/"&amp;TEXT(1,"00")</f>
        <v/>
      </c>
      <c r="B21" s="137" t="inlineStr">
        <is>
          <t>فروردین</t>
        </is>
      </c>
      <c r="C21" s="64">
        <f>COUNTIFS(tbl_TX[کلید دوره],$A21,tbl_TX[وضعیت],"&lt;&gt;ابطال")</f>
        <v/>
      </c>
      <c r="D21" s="124">
        <f>SUMIFS(tbl_TX[مبلغ کارشناسی],tbl_TX[کلید دوره],$A21,tbl_TX[وضعیت],"&lt;&gt;ابطال")</f>
        <v/>
      </c>
      <c r="E21" s="124">
        <f>SUMIFS(tbl_TX[کمیسیون خام],tbl_TX[کلید دوره],$A21,tbl_TX[وضعیت],"&lt;&gt;ابطال")</f>
        <v/>
      </c>
      <c r="F21" s="125">
        <f>SUMIFS(tbl_TX[جمع با مالیات],tbl_TX[کلید دوره],$A21,tbl_TX[وضعیت],"&lt;&gt;ابطال")</f>
        <v/>
      </c>
      <c r="G21" s="124">
        <f>SUMIFS(tbl_TX[مبلغ سهم عضو],tbl_TX[کلید دوره],$A21,tbl_TX[وضعیت],"&lt;&gt;ابطال")</f>
        <v/>
      </c>
      <c r="H21" s="124">
        <f>SUMIFS(tbl_TX[سهم شرکت],tbl_TX[کلید دوره],$A21,tbl_TX[وضعیت],"&lt;&gt;ابطال")</f>
        <v/>
      </c>
      <c r="I21" s="126">
        <f>IFERROR($F21/$F$33,0)</f>
        <v/>
      </c>
      <c r="J21" s="126" t="inlineStr">
        <is>
          <t>—</t>
        </is>
      </c>
    </row>
    <row r="22" ht="21" customHeight="1">
      <c r="A22" s="138">
        <f>p_Year&amp;"/"&amp;TEXT(2,"00")</f>
        <v/>
      </c>
      <c r="B22" s="139" t="inlineStr">
        <is>
          <t>اردیبهشت</t>
        </is>
      </c>
      <c r="C22" s="70">
        <f>COUNTIFS(tbl_TX[کلید دوره],$A22,tbl_TX[وضعیت],"&lt;&gt;ابطال")</f>
        <v/>
      </c>
      <c r="D22" s="130">
        <f>SUMIFS(tbl_TX[مبلغ کارشناسی],tbl_TX[کلید دوره],$A22,tbl_TX[وضعیت],"&lt;&gt;ابطال")</f>
        <v/>
      </c>
      <c r="E22" s="130">
        <f>SUMIFS(tbl_TX[کمیسیون خام],tbl_TX[کلید دوره],$A22,tbl_TX[وضعیت],"&lt;&gt;ابطال")</f>
        <v/>
      </c>
      <c r="F22" s="131">
        <f>SUMIFS(tbl_TX[جمع با مالیات],tbl_TX[کلید دوره],$A22,tbl_TX[وضعیت],"&lt;&gt;ابطال")</f>
        <v/>
      </c>
      <c r="G22" s="130">
        <f>SUMIFS(tbl_TX[مبلغ سهم عضو],tbl_TX[کلید دوره],$A22,tbl_TX[وضعیت],"&lt;&gt;ابطال")</f>
        <v/>
      </c>
      <c r="H22" s="130">
        <f>SUMIFS(tbl_TX[سهم شرکت],tbl_TX[کلید دوره],$A22,tbl_TX[وضعیت],"&lt;&gt;ابطال")</f>
        <v/>
      </c>
      <c r="I22" s="132">
        <f>IFERROR($F22/$F$33,0)</f>
        <v/>
      </c>
      <c r="J22" s="132">
        <f>IFERROR(IF($F21=0,"—",$F22/$F21-1),"—")</f>
        <v/>
      </c>
    </row>
    <row r="23" ht="21" customHeight="1">
      <c r="A23" s="136">
        <f>p_Year&amp;"/"&amp;TEXT(3,"00")</f>
        <v/>
      </c>
      <c r="B23" s="137" t="inlineStr">
        <is>
          <t>خرداد</t>
        </is>
      </c>
      <c r="C23" s="64">
        <f>COUNTIFS(tbl_TX[کلید دوره],$A23,tbl_TX[وضعیت],"&lt;&gt;ابطال")</f>
        <v/>
      </c>
      <c r="D23" s="124">
        <f>SUMIFS(tbl_TX[مبلغ کارشناسی],tbl_TX[کلید دوره],$A23,tbl_TX[وضعیت],"&lt;&gt;ابطال")</f>
        <v/>
      </c>
      <c r="E23" s="124">
        <f>SUMIFS(tbl_TX[کمیسیون خام],tbl_TX[کلید دوره],$A23,tbl_TX[وضعیت],"&lt;&gt;ابطال")</f>
        <v/>
      </c>
      <c r="F23" s="125">
        <f>SUMIFS(tbl_TX[جمع با مالیات],tbl_TX[کلید دوره],$A23,tbl_TX[وضعیت],"&lt;&gt;ابطال")</f>
        <v/>
      </c>
      <c r="G23" s="124">
        <f>SUMIFS(tbl_TX[مبلغ سهم عضو],tbl_TX[کلید دوره],$A23,tbl_TX[وضعیت],"&lt;&gt;ابطال")</f>
        <v/>
      </c>
      <c r="H23" s="124">
        <f>SUMIFS(tbl_TX[سهم شرکت],tbl_TX[کلید دوره],$A23,tbl_TX[وضعیت],"&lt;&gt;ابطال")</f>
        <v/>
      </c>
      <c r="I23" s="126">
        <f>IFERROR($F23/$F$33,0)</f>
        <v/>
      </c>
      <c r="J23" s="126">
        <f>IFERROR(IF($F22=0,"—",$F23/$F22-1),"—")</f>
        <v/>
      </c>
    </row>
    <row r="24" ht="21" customHeight="1">
      <c r="A24" s="138">
        <f>p_Year&amp;"/"&amp;TEXT(4,"00")</f>
        <v/>
      </c>
      <c r="B24" s="139" t="inlineStr">
        <is>
          <t>تیر</t>
        </is>
      </c>
      <c r="C24" s="70">
        <f>COUNTIFS(tbl_TX[کلید دوره],$A24,tbl_TX[وضعیت],"&lt;&gt;ابطال")</f>
        <v/>
      </c>
      <c r="D24" s="130">
        <f>SUMIFS(tbl_TX[مبلغ کارشناسی],tbl_TX[کلید دوره],$A24,tbl_TX[وضعیت],"&lt;&gt;ابطال")</f>
        <v/>
      </c>
      <c r="E24" s="130">
        <f>SUMIFS(tbl_TX[کمیسیون خام],tbl_TX[کلید دوره],$A24,tbl_TX[وضعیت],"&lt;&gt;ابطال")</f>
        <v/>
      </c>
      <c r="F24" s="131">
        <f>SUMIFS(tbl_TX[جمع با مالیات],tbl_TX[کلید دوره],$A24,tbl_TX[وضعیت],"&lt;&gt;ابطال")</f>
        <v/>
      </c>
      <c r="G24" s="130">
        <f>SUMIFS(tbl_TX[مبلغ سهم عضو],tbl_TX[کلید دوره],$A24,tbl_TX[وضعیت],"&lt;&gt;ابطال")</f>
        <v/>
      </c>
      <c r="H24" s="130">
        <f>SUMIFS(tbl_TX[سهم شرکت],tbl_TX[کلید دوره],$A24,tbl_TX[وضعیت],"&lt;&gt;ابطال")</f>
        <v/>
      </c>
      <c r="I24" s="132">
        <f>IFERROR($F24/$F$33,0)</f>
        <v/>
      </c>
      <c r="J24" s="132">
        <f>IFERROR(IF($F23=0,"—",$F24/$F23-1),"—")</f>
        <v/>
      </c>
    </row>
    <row r="25" ht="21" customHeight="1">
      <c r="A25" s="136">
        <f>p_Year&amp;"/"&amp;TEXT(5,"00")</f>
        <v/>
      </c>
      <c r="B25" s="137" t="inlineStr">
        <is>
          <t>مرداد</t>
        </is>
      </c>
      <c r="C25" s="64">
        <f>COUNTIFS(tbl_TX[کلید دوره],$A25,tbl_TX[وضعیت],"&lt;&gt;ابطال")</f>
        <v/>
      </c>
      <c r="D25" s="124">
        <f>SUMIFS(tbl_TX[مبلغ کارشناسی],tbl_TX[کلید دوره],$A25,tbl_TX[وضعیت],"&lt;&gt;ابطال")</f>
        <v/>
      </c>
      <c r="E25" s="124">
        <f>SUMIFS(tbl_TX[کمیسیون خام],tbl_TX[کلید دوره],$A25,tbl_TX[وضعیت],"&lt;&gt;ابطال")</f>
        <v/>
      </c>
      <c r="F25" s="125">
        <f>SUMIFS(tbl_TX[جمع با مالیات],tbl_TX[کلید دوره],$A25,tbl_TX[وضعیت],"&lt;&gt;ابطال")</f>
        <v/>
      </c>
      <c r="G25" s="124">
        <f>SUMIFS(tbl_TX[مبلغ سهم عضو],tbl_TX[کلید دوره],$A25,tbl_TX[وضعیت],"&lt;&gt;ابطال")</f>
        <v/>
      </c>
      <c r="H25" s="124">
        <f>SUMIFS(tbl_TX[سهم شرکت],tbl_TX[کلید دوره],$A25,tbl_TX[وضعیت],"&lt;&gt;ابطال")</f>
        <v/>
      </c>
      <c r="I25" s="126">
        <f>IFERROR($F25/$F$33,0)</f>
        <v/>
      </c>
      <c r="J25" s="126">
        <f>IFERROR(IF($F24=0,"—",$F25/$F24-1),"—")</f>
        <v/>
      </c>
    </row>
    <row r="26" ht="21" customHeight="1">
      <c r="A26" s="138">
        <f>p_Year&amp;"/"&amp;TEXT(6,"00")</f>
        <v/>
      </c>
      <c r="B26" s="139" t="inlineStr">
        <is>
          <t>شهریور</t>
        </is>
      </c>
      <c r="C26" s="70">
        <f>COUNTIFS(tbl_TX[کلید دوره],$A26,tbl_TX[وضعیت],"&lt;&gt;ابطال")</f>
        <v/>
      </c>
      <c r="D26" s="130">
        <f>SUMIFS(tbl_TX[مبلغ کارشناسی],tbl_TX[کلید دوره],$A26,tbl_TX[وضعیت],"&lt;&gt;ابطال")</f>
        <v/>
      </c>
      <c r="E26" s="130">
        <f>SUMIFS(tbl_TX[کمیسیون خام],tbl_TX[کلید دوره],$A26,tbl_TX[وضعیت],"&lt;&gt;ابطال")</f>
        <v/>
      </c>
      <c r="F26" s="131">
        <f>SUMIFS(tbl_TX[جمع با مالیات],tbl_TX[کلید دوره],$A26,tbl_TX[وضعیت],"&lt;&gt;ابطال")</f>
        <v/>
      </c>
      <c r="G26" s="130">
        <f>SUMIFS(tbl_TX[مبلغ سهم عضو],tbl_TX[کلید دوره],$A26,tbl_TX[وضعیت],"&lt;&gt;ابطال")</f>
        <v/>
      </c>
      <c r="H26" s="130">
        <f>SUMIFS(tbl_TX[سهم شرکت],tbl_TX[کلید دوره],$A26,tbl_TX[وضعیت],"&lt;&gt;ابطال")</f>
        <v/>
      </c>
      <c r="I26" s="132">
        <f>IFERROR($F26/$F$33,0)</f>
        <v/>
      </c>
      <c r="J26" s="132">
        <f>IFERROR(IF($F25=0,"—",$F26/$F25-1),"—")</f>
        <v/>
      </c>
    </row>
    <row r="27" ht="21" customHeight="1">
      <c r="A27" s="136">
        <f>p_Year&amp;"/"&amp;TEXT(7,"00")</f>
        <v/>
      </c>
      <c r="B27" s="137" t="inlineStr">
        <is>
          <t>مهر</t>
        </is>
      </c>
      <c r="C27" s="64">
        <f>COUNTIFS(tbl_TX[کلید دوره],$A27,tbl_TX[وضعیت],"&lt;&gt;ابطال")</f>
        <v/>
      </c>
      <c r="D27" s="124">
        <f>SUMIFS(tbl_TX[مبلغ کارشناسی],tbl_TX[کلید دوره],$A27,tbl_TX[وضعیت],"&lt;&gt;ابطال")</f>
        <v/>
      </c>
      <c r="E27" s="124">
        <f>SUMIFS(tbl_TX[کمیسیون خام],tbl_TX[کلید دوره],$A27,tbl_TX[وضعیت],"&lt;&gt;ابطال")</f>
        <v/>
      </c>
      <c r="F27" s="125">
        <f>SUMIFS(tbl_TX[جمع با مالیات],tbl_TX[کلید دوره],$A27,tbl_TX[وضعیت],"&lt;&gt;ابطال")</f>
        <v/>
      </c>
      <c r="G27" s="124">
        <f>SUMIFS(tbl_TX[مبلغ سهم عضو],tbl_TX[کلید دوره],$A27,tbl_TX[وضعیت],"&lt;&gt;ابطال")</f>
        <v/>
      </c>
      <c r="H27" s="124">
        <f>SUMIFS(tbl_TX[سهم شرکت],tbl_TX[کلید دوره],$A27,tbl_TX[وضعیت],"&lt;&gt;ابطال")</f>
        <v/>
      </c>
      <c r="I27" s="126">
        <f>IFERROR($F27/$F$33,0)</f>
        <v/>
      </c>
      <c r="J27" s="126">
        <f>IFERROR(IF($F26=0,"—",$F27/$F26-1),"—")</f>
        <v/>
      </c>
    </row>
    <row r="28" ht="21" customHeight="1">
      <c r="A28" s="138">
        <f>p_Year&amp;"/"&amp;TEXT(8,"00")</f>
        <v/>
      </c>
      <c r="B28" s="139" t="inlineStr">
        <is>
          <t>آبان</t>
        </is>
      </c>
      <c r="C28" s="70">
        <f>COUNTIFS(tbl_TX[کلید دوره],$A28,tbl_TX[وضعیت],"&lt;&gt;ابطال")</f>
        <v/>
      </c>
      <c r="D28" s="130">
        <f>SUMIFS(tbl_TX[مبلغ کارشناسی],tbl_TX[کلید دوره],$A28,tbl_TX[وضعیت],"&lt;&gt;ابطال")</f>
        <v/>
      </c>
      <c r="E28" s="130">
        <f>SUMIFS(tbl_TX[کمیسیون خام],tbl_TX[کلید دوره],$A28,tbl_TX[وضعیت],"&lt;&gt;ابطال")</f>
        <v/>
      </c>
      <c r="F28" s="131">
        <f>SUMIFS(tbl_TX[جمع با مالیات],tbl_TX[کلید دوره],$A28,tbl_TX[وضعیت],"&lt;&gt;ابطال")</f>
        <v/>
      </c>
      <c r="G28" s="130">
        <f>SUMIFS(tbl_TX[مبلغ سهم عضو],tbl_TX[کلید دوره],$A28,tbl_TX[وضعیت],"&lt;&gt;ابطال")</f>
        <v/>
      </c>
      <c r="H28" s="130">
        <f>SUMIFS(tbl_TX[سهم شرکت],tbl_TX[کلید دوره],$A28,tbl_TX[وضعیت],"&lt;&gt;ابطال")</f>
        <v/>
      </c>
      <c r="I28" s="132">
        <f>IFERROR($F28/$F$33,0)</f>
        <v/>
      </c>
      <c r="J28" s="132">
        <f>IFERROR(IF($F27=0,"—",$F28/$F27-1),"—")</f>
        <v/>
      </c>
    </row>
    <row r="29" ht="21" customHeight="1">
      <c r="A29" s="136">
        <f>p_Year&amp;"/"&amp;TEXT(9,"00")</f>
        <v/>
      </c>
      <c r="B29" s="137" t="inlineStr">
        <is>
          <t>آذر</t>
        </is>
      </c>
      <c r="C29" s="64">
        <f>COUNTIFS(tbl_TX[کلید دوره],$A29,tbl_TX[وضعیت],"&lt;&gt;ابطال")</f>
        <v/>
      </c>
      <c r="D29" s="124">
        <f>SUMIFS(tbl_TX[مبلغ کارشناسی],tbl_TX[کلید دوره],$A29,tbl_TX[وضعیت],"&lt;&gt;ابطال")</f>
        <v/>
      </c>
      <c r="E29" s="124">
        <f>SUMIFS(tbl_TX[کمیسیون خام],tbl_TX[کلید دوره],$A29,tbl_TX[وضعیت],"&lt;&gt;ابطال")</f>
        <v/>
      </c>
      <c r="F29" s="125">
        <f>SUMIFS(tbl_TX[جمع با مالیات],tbl_TX[کلید دوره],$A29,tbl_TX[وضعیت],"&lt;&gt;ابطال")</f>
        <v/>
      </c>
      <c r="G29" s="124">
        <f>SUMIFS(tbl_TX[مبلغ سهم عضو],tbl_TX[کلید دوره],$A29,tbl_TX[وضعیت],"&lt;&gt;ابطال")</f>
        <v/>
      </c>
      <c r="H29" s="124">
        <f>SUMIFS(tbl_TX[سهم شرکت],tbl_TX[کلید دوره],$A29,tbl_TX[وضعیت],"&lt;&gt;ابطال")</f>
        <v/>
      </c>
      <c r="I29" s="126">
        <f>IFERROR($F29/$F$33,0)</f>
        <v/>
      </c>
      <c r="J29" s="126">
        <f>IFERROR(IF($F28=0,"—",$F29/$F28-1),"—")</f>
        <v/>
      </c>
    </row>
    <row r="30" ht="21" customHeight="1">
      <c r="A30" s="138">
        <f>p_Year&amp;"/"&amp;TEXT(10,"00")</f>
        <v/>
      </c>
      <c r="B30" s="139" t="inlineStr">
        <is>
          <t>دی</t>
        </is>
      </c>
      <c r="C30" s="70">
        <f>COUNTIFS(tbl_TX[کلید دوره],$A30,tbl_TX[وضعیت],"&lt;&gt;ابطال")</f>
        <v/>
      </c>
      <c r="D30" s="130">
        <f>SUMIFS(tbl_TX[مبلغ کارشناسی],tbl_TX[کلید دوره],$A30,tbl_TX[وضعیت],"&lt;&gt;ابطال")</f>
        <v/>
      </c>
      <c r="E30" s="130">
        <f>SUMIFS(tbl_TX[کمیسیون خام],tbl_TX[کلید دوره],$A30,tbl_TX[وضعیت],"&lt;&gt;ابطال")</f>
        <v/>
      </c>
      <c r="F30" s="131">
        <f>SUMIFS(tbl_TX[جمع با مالیات],tbl_TX[کلید دوره],$A30,tbl_TX[وضعیت],"&lt;&gt;ابطال")</f>
        <v/>
      </c>
      <c r="G30" s="130">
        <f>SUMIFS(tbl_TX[مبلغ سهم عضو],tbl_TX[کلید دوره],$A30,tbl_TX[وضعیت],"&lt;&gt;ابطال")</f>
        <v/>
      </c>
      <c r="H30" s="130">
        <f>SUMIFS(tbl_TX[سهم شرکت],tbl_TX[کلید دوره],$A30,tbl_TX[وضعیت],"&lt;&gt;ابطال")</f>
        <v/>
      </c>
      <c r="I30" s="132">
        <f>IFERROR($F30/$F$33,0)</f>
        <v/>
      </c>
      <c r="J30" s="132">
        <f>IFERROR(IF($F29=0,"—",$F30/$F29-1),"—")</f>
        <v/>
      </c>
    </row>
    <row r="31" ht="21" customHeight="1">
      <c r="A31" s="136">
        <f>p_Year&amp;"/"&amp;TEXT(11,"00")</f>
        <v/>
      </c>
      <c r="B31" s="137" t="inlineStr">
        <is>
          <t>بهمن</t>
        </is>
      </c>
      <c r="C31" s="64">
        <f>COUNTIFS(tbl_TX[کلید دوره],$A31,tbl_TX[وضعیت],"&lt;&gt;ابطال")</f>
        <v/>
      </c>
      <c r="D31" s="124">
        <f>SUMIFS(tbl_TX[مبلغ کارشناسی],tbl_TX[کلید دوره],$A31,tbl_TX[وضعیت],"&lt;&gt;ابطال")</f>
        <v/>
      </c>
      <c r="E31" s="124">
        <f>SUMIFS(tbl_TX[کمیسیون خام],tbl_TX[کلید دوره],$A31,tbl_TX[وضعیت],"&lt;&gt;ابطال")</f>
        <v/>
      </c>
      <c r="F31" s="125">
        <f>SUMIFS(tbl_TX[جمع با مالیات],tbl_TX[کلید دوره],$A31,tbl_TX[وضعیت],"&lt;&gt;ابطال")</f>
        <v/>
      </c>
      <c r="G31" s="124">
        <f>SUMIFS(tbl_TX[مبلغ سهم عضو],tbl_TX[کلید دوره],$A31,tbl_TX[وضعیت],"&lt;&gt;ابطال")</f>
        <v/>
      </c>
      <c r="H31" s="124">
        <f>SUMIFS(tbl_TX[سهم شرکت],tbl_TX[کلید دوره],$A31,tbl_TX[وضعیت],"&lt;&gt;ابطال")</f>
        <v/>
      </c>
      <c r="I31" s="126">
        <f>IFERROR($F31/$F$33,0)</f>
        <v/>
      </c>
      <c r="J31" s="126">
        <f>IFERROR(IF($F30=0,"—",$F31/$F30-1),"—")</f>
        <v/>
      </c>
    </row>
    <row r="32" ht="21" customHeight="1">
      <c r="A32" s="138">
        <f>p_Year&amp;"/"&amp;TEXT(12,"00")</f>
        <v/>
      </c>
      <c r="B32" s="139" t="inlineStr">
        <is>
          <t>اسفند</t>
        </is>
      </c>
      <c r="C32" s="70">
        <f>COUNTIFS(tbl_TX[کلید دوره],$A32,tbl_TX[وضعیت],"&lt;&gt;ابطال")</f>
        <v/>
      </c>
      <c r="D32" s="130">
        <f>SUMIFS(tbl_TX[مبلغ کارشناسی],tbl_TX[کلید دوره],$A32,tbl_TX[وضعیت],"&lt;&gt;ابطال")</f>
        <v/>
      </c>
      <c r="E32" s="130">
        <f>SUMIFS(tbl_TX[کمیسیون خام],tbl_TX[کلید دوره],$A32,tbl_TX[وضعیت],"&lt;&gt;ابطال")</f>
        <v/>
      </c>
      <c r="F32" s="131">
        <f>SUMIFS(tbl_TX[جمع با مالیات],tbl_TX[کلید دوره],$A32,tbl_TX[وضعیت],"&lt;&gt;ابطال")</f>
        <v/>
      </c>
      <c r="G32" s="130">
        <f>SUMIFS(tbl_TX[مبلغ سهم عضو],tbl_TX[کلید دوره],$A32,tbl_TX[وضعیت],"&lt;&gt;ابطال")</f>
        <v/>
      </c>
      <c r="H32" s="130">
        <f>SUMIFS(tbl_TX[سهم شرکت],tbl_TX[کلید دوره],$A32,tbl_TX[وضعیت],"&lt;&gt;ابطال")</f>
        <v/>
      </c>
      <c r="I32" s="132">
        <f>IFERROR($F32/$F$33,0)</f>
        <v/>
      </c>
      <c r="J32" s="132">
        <f>IFERROR(IF($F31=0,"—",$F32/$F31-1),"—")</f>
        <v/>
      </c>
    </row>
    <row r="33" ht="24" customHeight="1">
      <c r="A33" s="77" t="inlineStr">
        <is>
          <t>جمع سال</t>
        </is>
      </c>
      <c r="B33" s="2" t="n"/>
      <c r="C33" s="78">
        <f>SUM(C21:C32)</f>
        <v/>
      </c>
      <c r="D33" s="79">
        <f>SUM(D21:D32)</f>
        <v/>
      </c>
      <c r="E33" s="79">
        <f>SUM(E21:E32)</f>
        <v/>
      </c>
      <c r="F33" s="79">
        <f>SUM(F21:F32)</f>
        <v/>
      </c>
      <c r="G33" s="79">
        <f>SUM(G21:G32)</f>
        <v/>
      </c>
      <c r="H33" s="79">
        <f>SUM(H21:H32)</f>
        <v/>
      </c>
      <c r="I33" s="135" t="inlineStr">
        <is>
          <t>۱۰۰٪</t>
        </is>
      </c>
      <c r="J33" s="2" t="n"/>
    </row>
    <row r="35" ht="26" customHeight="1">
      <c r="A35" s="5" t="inlineStr">
        <is>
          <t>بلوک ۳ — عملکرد انواع خدمات (نرخ اسمی در برابر نرخ واقعی)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30" customHeight="1">
      <c r="A36" s="17" t="inlineStr">
        <is>
          <t>نوع خدمت</t>
        </is>
      </c>
      <c r="B36" s="17" t="inlineStr">
        <is>
          <t>دسته</t>
        </is>
      </c>
      <c r="C36" s="17" t="inlineStr">
        <is>
          <t>نرخ پایه</t>
        </is>
      </c>
      <c r="D36" s="17" t="inlineStr">
        <is>
          <t>تعداد پرونده</t>
        </is>
      </c>
      <c r="E36" s="17" t="inlineStr">
        <is>
          <t>مبلغ کارشناسی</t>
        </is>
      </c>
      <c r="F36" s="17" t="inlineStr">
        <is>
          <t>کمیسیون خام</t>
        </is>
      </c>
      <c r="G36" s="17" t="inlineStr">
        <is>
          <t>جمع با مالیات</t>
        </is>
      </c>
      <c r="H36" s="17" t="inlineStr">
        <is>
          <t>نرخ مؤثر واقعی</t>
        </is>
      </c>
      <c r="I36" s="17" t="inlineStr">
        <is>
          <t>درصد از کل</t>
        </is>
      </c>
      <c r="J36" s="17" t="inlineStr">
        <is>
          <t>میانگین هر پرونده</t>
        </is>
      </c>
    </row>
    <row r="37" ht="21" customHeight="1">
      <c r="A37" s="123">
        <f>IFERROR(IF(INDEX(lst_Service,1)="","",INDEX(lst_Service,1)),"—")</f>
        <v/>
      </c>
      <c r="B37" s="136">
        <f>IF($A37="","",IFERROR(INDEX(t_Svc_Cat,MATCH($A37,lst_Service,0)),"—"))</f>
        <v/>
      </c>
      <c r="C37" s="126">
        <f>IF($A37="","",IFERROR(INDEX(t_Svc_Rate,MATCH($A37,lst_Service,0)),0))</f>
        <v/>
      </c>
      <c r="D37" s="64">
        <f>IF($A37="","",COUNTIFS(tbl_TX[نوع خدمت],$A37,tbl_TX[وضعیت],"&lt;&gt;ابطال",tbl_TX[سال شمسی],p_Year))</f>
        <v/>
      </c>
      <c r="E37" s="124">
        <f>IF($A37="","",SUMIFS(tbl_TX[مبلغ کارشناسی],tbl_TX[نوع خدمت],$A37,tbl_TX[وضعیت],"&lt;&gt;ابطال",tbl_TX[سال شمسی],p_Year))</f>
        <v/>
      </c>
      <c r="F37" s="124">
        <f>IF($A37="","",SUMIFS(tbl_TX[کمیسیون خام],tbl_TX[نوع خدمت],$A37,tbl_TX[وضعیت],"&lt;&gt;ابطال",tbl_TX[سال شمسی],p_Year))</f>
        <v/>
      </c>
      <c r="G37" s="125">
        <f>IF($A37="","",SUMIFS(tbl_TX[جمع با مالیات],tbl_TX[نوع خدمت],$A37,tbl_TX[وضعیت],"&lt;&gt;ابطال",tbl_TX[سال شمسی],p_Year))</f>
        <v/>
      </c>
      <c r="H37" s="140">
        <f>IF($A37="","",IFERROR($F37/SUMIFS(tbl_TX[مبلغ مبنا],tbl_TX[نوع خدمت],$A37,tbl_TX[وضعیت],"&lt;&gt;ابطال",tbl_TX[سال شمسی],p_Year),0))</f>
        <v/>
      </c>
      <c r="I37" s="126">
        <f>IFERROR($G37/$G$45,0)</f>
        <v/>
      </c>
      <c r="J37" s="124">
        <f>IF($A37="","",IFERROR($G37/$D37,0))</f>
        <v/>
      </c>
    </row>
    <row r="38" ht="21" customHeight="1">
      <c r="A38" s="129">
        <f>IFERROR(IF(INDEX(lst_Service,2)="","",INDEX(lst_Service,2)),"—")</f>
        <v/>
      </c>
      <c r="B38" s="138">
        <f>IF($A38="","",IFERROR(INDEX(t_Svc_Cat,MATCH($A38,lst_Service,0)),"—"))</f>
        <v/>
      </c>
      <c r="C38" s="132">
        <f>IF($A38="","",IFERROR(INDEX(t_Svc_Rate,MATCH($A38,lst_Service,0)),0))</f>
        <v/>
      </c>
      <c r="D38" s="70">
        <f>IF($A38="","",COUNTIFS(tbl_TX[نوع خدمت],$A38,tbl_TX[وضعیت],"&lt;&gt;ابطال",tbl_TX[سال شمسی],p_Year))</f>
        <v/>
      </c>
      <c r="E38" s="130">
        <f>IF($A38="","",SUMIFS(tbl_TX[مبلغ کارشناسی],tbl_TX[نوع خدمت],$A38,tbl_TX[وضعیت],"&lt;&gt;ابطال",tbl_TX[سال شمسی],p_Year))</f>
        <v/>
      </c>
      <c r="F38" s="130">
        <f>IF($A38="","",SUMIFS(tbl_TX[کمیسیون خام],tbl_TX[نوع خدمت],$A38,tbl_TX[وضعیت],"&lt;&gt;ابطال",tbl_TX[سال شمسی],p_Year))</f>
        <v/>
      </c>
      <c r="G38" s="131">
        <f>IF($A38="","",SUMIFS(tbl_TX[جمع با مالیات],tbl_TX[نوع خدمت],$A38,tbl_TX[وضعیت],"&lt;&gt;ابطال",tbl_TX[سال شمسی],p_Year))</f>
        <v/>
      </c>
      <c r="H38" s="141">
        <f>IF($A38="","",IFERROR($F38/SUMIFS(tbl_TX[مبلغ مبنا],tbl_TX[نوع خدمت],$A38,tbl_TX[وضعیت],"&lt;&gt;ابطال",tbl_TX[سال شمسی],p_Year),0))</f>
        <v/>
      </c>
      <c r="I38" s="132">
        <f>IFERROR($G38/$G$45,0)</f>
        <v/>
      </c>
      <c r="J38" s="130">
        <f>IF($A38="","",IFERROR($G38/$D38,0))</f>
        <v/>
      </c>
    </row>
    <row r="39" ht="21" customHeight="1">
      <c r="A39" s="123">
        <f>IFERROR(IF(INDEX(lst_Service,3)="","",INDEX(lst_Service,3)),"—")</f>
        <v/>
      </c>
      <c r="B39" s="136">
        <f>IF($A39="","",IFERROR(INDEX(t_Svc_Cat,MATCH($A39,lst_Service,0)),"—"))</f>
        <v/>
      </c>
      <c r="C39" s="126">
        <f>IF($A39="","",IFERROR(INDEX(t_Svc_Rate,MATCH($A39,lst_Service,0)),0))</f>
        <v/>
      </c>
      <c r="D39" s="64">
        <f>IF($A39="","",COUNTIFS(tbl_TX[نوع خدمت],$A39,tbl_TX[وضعیت],"&lt;&gt;ابطال",tbl_TX[سال شمسی],p_Year))</f>
        <v/>
      </c>
      <c r="E39" s="124">
        <f>IF($A39="","",SUMIFS(tbl_TX[مبلغ کارشناسی],tbl_TX[نوع خدمت],$A39,tbl_TX[وضعیت],"&lt;&gt;ابطال",tbl_TX[سال شمسی],p_Year))</f>
        <v/>
      </c>
      <c r="F39" s="124">
        <f>IF($A39="","",SUMIFS(tbl_TX[کمیسیون خام],tbl_TX[نوع خدمت],$A39,tbl_TX[وضعیت],"&lt;&gt;ابطال",tbl_TX[سال شمسی],p_Year))</f>
        <v/>
      </c>
      <c r="G39" s="125">
        <f>IF($A39="","",SUMIFS(tbl_TX[جمع با مالیات],tbl_TX[نوع خدمت],$A39,tbl_TX[وضعیت],"&lt;&gt;ابطال",tbl_TX[سال شمسی],p_Year))</f>
        <v/>
      </c>
      <c r="H39" s="140">
        <f>IF($A39="","",IFERROR($F39/SUMIFS(tbl_TX[مبلغ مبنا],tbl_TX[نوع خدمت],$A39,tbl_TX[وضعیت],"&lt;&gt;ابطال",tbl_TX[سال شمسی],p_Year),0))</f>
        <v/>
      </c>
      <c r="I39" s="126">
        <f>IFERROR($G39/$G$45,0)</f>
        <v/>
      </c>
      <c r="J39" s="124">
        <f>IF($A39="","",IFERROR($G39/$D39,0))</f>
        <v/>
      </c>
    </row>
    <row r="40" ht="21" customHeight="1">
      <c r="A40" s="129">
        <f>IFERROR(IF(INDEX(lst_Service,4)="","",INDEX(lst_Service,4)),"—")</f>
        <v/>
      </c>
      <c r="B40" s="138">
        <f>IF($A40="","",IFERROR(INDEX(t_Svc_Cat,MATCH($A40,lst_Service,0)),"—"))</f>
        <v/>
      </c>
      <c r="C40" s="132">
        <f>IF($A40="","",IFERROR(INDEX(t_Svc_Rate,MATCH($A40,lst_Service,0)),0))</f>
        <v/>
      </c>
      <c r="D40" s="70">
        <f>IF($A40="","",COUNTIFS(tbl_TX[نوع خدمت],$A40,tbl_TX[وضعیت],"&lt;&gt;ابطال",tbl_TX[سال شمسی],p_Year))</f>
        <v/>
      </c>
      <c r="E40" s="130">
        <f>IF($A40="","",SUMIFS(tbl_TX[مبلغ کارشناسی],tbl_TX[نوع خدمت],$A40,tbl_TX[وضعیت],"&lt;&gt;ابطال",tbl_TX[سال شمسی],p_Year))</f>
        <v/>
      </c>
      <c r="F40" s="130">
        <f>IF($A40="","",SUMIFS(tbl_TX[کمیسیون خام],tbl_TX[نوع خدمت],$A40,tbl_TX[وضعیت],"&lt;&gt;ابطال",tbl_TX[سال شمسی],p_Year))</f>
        <v/>
      </c>
      <c r="G40" s="131">
        <f>IF($A40="","",SUMIFS(tbl_TX[جمع با مالیات],tbl_TX[نوع خدمت],$A40,tbl_TX[وضعیت],"&lt;&gt;ابطال",tbl_TX[سال شمسی],p_Year))</f>
        <v/>
      </c>
      <c r="H40" s="141">
        <f>IF($A40="","",IFERROR($F40/SUMIFS(tbl_TX[مبلغ مبنا],tbl_TX[نوع خدمت],$A40,tbl_TX[وضعیت],"&lt;&gt;ابطال",tbl_TX[سال شمسی],p_Year),0))</f>
        <v/>
      </c>
      <c r="I40" s="132">
        <f>IFERROR($G40/$G$45,0)</f>
        <v/>
      </c>
      <c r="J40" s="130">
        <f>IF($A40="","",IFERROR($G40/$D40,0))</f>
        <v/>
      </c>
    </row>
    <row r="41" ht="21" customHeight="1">
      <c r="A41" s="123">
        <f>IFERROR(IF(INDEX(lst_Service,5)="","",INDEX(lst_Service,5)),"—")</f>
        <v/>
      </c>
      <c r="B41" s="136">
        <f>IF($A41="","",IFERROR(INDEX(t_Svc_Cat,MATCH($A41,lst_Service,0)),"—"))</f>
        <v/>
      </c>
      <c r="C41" s="126">
        <f>IF($A41="","",IFERROR(INDEX(t_Svc_Rate,MATCH($A41,lst_Service,0)),0))</f>
        <v/>
      </c>
      <c r="D41" s="64">
        <f>IF($A41="","",COUNTIFS(tbl_TX[نوع خدمت],$A41,tbl_TX[وضعیت],"&lt;&gt;ابطال",tbl_TX[سال شمسی],p_Year))</f>
        <v/>
      </c>
      <c r="E41" s="124">
        <f>IF($A41="","",SUMIFS(tbl_TX[مبلغ کارشناسی],tbl_TX[نوع خدمت],$A41,tbl_TX[وضعیت],"&lt;&gt;ابطال",tbl_TX[سال شمسی],p_Year))</f>
        <v/>
      </c>
      <c r="F41" s="124">
        <f>IF($A41="","",SUMIFS(tbl_TX[کمیسیون خام],tbl_TX[نوع خدمت],$A41,tbl_TX[وضعیت],"&lt;&gt;ابطال",tbl_TX[سال شمسی],p_Year))</f>
        <v/>
      </c>
      <c r="G41" s="125">
        <f>IF($A41="","",SUMIFS(tbl_TX[جمع با مالیات],tbl_TX[نوع خدمت],$A41,tbl_TX[وضعیت],"&lt;&gt;ابطال",tbl_TX[سال شمسی],p_Year))</f>
        <v/>
      </c>
      <c r="H41" s="140">
        <f>IF($A41="","",IFERROR($F41/SUMIFS(tbl_TX[مبلغ مبنا],tbl_TX[نوع خدمت],$A41,tbl_TX[وضعیت],"&lt;&gt;ابطال",tbl_TX[سال شمسی],p_Year),0))</f>
        <v/>
      </c>
      <c r="I41" s="126">
        <f>IFERROR($G41/$G$45,0)</f>
        <v/>
      </c>
      <c r="J41" s="124">
        <f>IF($A41="","",IFERROR($G41/$D41,0))</f>
        <v/>
      </c>
    </row>
    <row r="42" ht="21" customHeight="1">
      <c r="A42" s="129">
        <f>IFERROR(IF(INDEX(lst_Service,6)="","",INDEX(lst_Service,6)),"—")</f>
        <v/>
      </c>
      <c r="B42" s="138">
        <f>IF($A42="","",IFERROR(INDEX(t_Svc_Cat,MATCH($A42,lst_Service,0)),"—"))</f>
        <v/>
      </c>
      <c r="C42" s="132">
        <f>IF($A42="","",IFERROR(INDEX(t_Svc_Rate,MATCH($A42,lst_Service,0)),0))</f>
        <v/>
      </c>
      <c r="D42" s="70">
        <f>IF($A42="","",COUNTIFS(tbl_TX[نوع خدمت],$A42,tbl_TX[وضعیت],"&lt;&gt;ابطال",tbl_TX[سال شمسی],p_Year))</f>
        <v/>
      </c>
      <c r="E42" s="130">
        <f>IF($A42="","",SUMIFS(tbl_TX[مبلغ کارشناسی],tbl_TX[نوع خدمت],$A42,tbl_TX[وضعیت],"&lt;&gt;ابطال",tbl_TX[سال شمسی],p_Year))</f>
        <v/>
      </c>
      <c r="F42" s="130">
        <f>IF($A42="","",SUMIFS(tbl_TX[کمیسیون خام],tbl_TX[نوع خدمت],$A42,tbl_TX[وضعیت],"&lt;&gt;ابطال",tbl_TX[سال شمسی],p_Year))</f>
        <v/>
      </c>
      <c r="G42" s="131">
        <f>IF($A42="","",SUMIFS(tbl_TX[جمع با مالیات],tbl_TX[نوع خدمت],$A42,tbl_TX[وضعیت],"&lt;&gt;ابطال",tbl_TX[سال شمسی],p_Year))</f>
        <v/>
      </c>
      <c r="H42" s="141">
        <f>IF($A42="","",IFERROR($F42/SUMIFS(tbl_TX[مبلغ مبنا],tbl_TX[نوع خدمت],$A42,tbl_TX[وضعیت],"&lt;&gt;ابطال",tbl_TX[سال شمسی],p_Year),0))</f>
        <v/>
      </c>
      <c r="I42" s="132">
        <f>IFERROR($G42/$G$45,0)</f>
        <v/>
      </c>
      <c r="J42" s="130">
        <f>IF($A42="","",IFERROR($G42/$D42,0))</f>
        <v/>
      </c>
    </row>
    <row r="43" ht="21" customHeight="1">
      <c r="A43" s="123">
        <f>IFERROR(IF(INDEX(lst_Service,7)="","",INDEX(lst_Service,7)),"—")</f>
        <v/>
      </c>
      <c r="B43" s="136">
        <f>IF($A43="","",IFERROR(INDEX(t_Svc_Cat,MATCH($A43,lst_Service,0)),"—"))</f>
        <v/>
      </c>
      <c r="C43" s="126">
        <f>IF($A43="","",IFERROR(INDEX(t_Svc_Rate,MATCH($A43,lst_Service,0)),0))</f>
        <v/>
      </c>
      <c r="D43" s="64">
        <f>IF($A43="","",COUNTIFS(tbl_TX[نوع خدمت],$A43,tbl_TX[وضعیت],"&lt;&gt;ابطال",tbl_TX[سال شمسی],p_Year))</f>
        <v/>
      </c>
      <c r="E43" s="124">
        <f>IF($A43="","",SUMIFS(tbl_TX[مبلغ کارشناسی],tbl_TX[نوع خدمت],$A43,tbl_TX[وضعیت],"&lt;&gt;ابطال",tbl_TX[سال شمسی],p_Year))</f>
        <v/>
      </c>
      <c r="F43" s="124">
        <f>IF($A43="","",SUMIFS(tbl_TX[کمیسیون خام],tbl_TX[نوع خدمت],$A43,tbl_TX[وضعیت],"&lt;&gt;ابطال",tbl_TX[سال شمسی],p_Year))</f>
        <v/>
      </c>
      <c r="G43" s="125">
        <f>IF($A43="","",SUMIFS(tbl_TX[جمع با مالیات],tbl_TX[نوع خدمت],$A43,tbl_TX[وضعیت],"&lt;&gt;ابطال",tbl_TX[سال شمسی],p_Year))</f>
        <v/>
      </c>
      <c r="H43" s="140">
        <f>IF($A43="","",IFERROR($F43/SUMIFS(tbl_TX[مبلغ مبنا],tbl_TX[نوع خدمت],$A43,tbl_TX[وضعیت],"&lt;&gt;ابطال",tbl_TX[سال شمسی],p_Year),0))</f>
        <v/>
      </c>
      <c r="I43" s="126">
        <f>IFERROR($G43/$G$45,0)</f>
        <v/>
      </c>
      <c r="J43" s="124">
        <f>IF($A43="","",IFERROR($G43/$D43,0))</f>
        <v/>
      </c>
    </row>
    <row r="44" ht="21" customHeight="1">
      <c r="A44" s="129">
        <f>IFERROR(IF(INDEX(lst_Service,8)="","",INDEX(lst_Service,8)),"—")</f>
        <v/>
      </c>
      <c r="B44" s="138">
        <f>IF($A44="","",IFERROR(INDEX(t_Svc_Cat,MATCH($A44,lst_Service,0)),"—"))</f>
        <v/>
      </c>
      <c r="C44" s="132">
        <f>IF($A44="","",IFERROR(INDEX(t_Svc_Rate,MATCH($A44,lst_Service,0)),0))</f>
        <v/>
      </c>
      <c r="D44" s="70">
        <f>IF($A44="","",COUNTIFS(tbl_TX[نوع خدمت],$A44,tbl_TX[وضعیت],"&lt;&gt;ابطال",tbl_TX[سال شمسی],p_Year))</f>
        <v/>
      </c>
      <c r="E44" s="130">
        <f>IF($A44="","",SUMIFS(tbl_TX[مبلغ کارشناسی],tbl_TX[نوع خدمت],$A44,tbl_TX[وضعیت],"&lt;&gt;ابطال",tbl_TX[سال شمسی],p_Year))</f>
        <v/>
      </c>
      <c r="F44" s="130">
        <f>IF($A44="","",SUMIFS(tbl_TX[کمیسیون خام],tbl_TX[نوع خدمت],$A44,tbl_TX[وضعیت],"&lt;&gt;ابطال",tbl_TX[سال شمسی],p_Year))</f>
        <v/>
      </c>
      <c r="G44" s="131">
        <f>IF($A44="","",SUMIFS(tbl_TX[جمع با مالیات],tbl_TX[نوع خدمت],$A44,tbl_TX[وضعیت],"&lt;&gt;ابطال",tbl_TX[سال شمسی],p_Year))</f>
        <v/>
      </c>
      <c r="H44" s="141">
        <f>IF($A44="","",IFERROR($F44/SUMIFS(tbl_TX[مبلغ مبنا],tbl_TX[نوع خدمت],$A44,tbl_TX[وضعیت],"&lt;&gt;ابطال",tbl_TX[سال شمسی],p_Year),0))</f>
        <v/>
      </c>
      <c r="I44" s="132">
        <f>IFERROR($G44/$G$45,0)</f>
        <v/>
      </c>
      <c r="J44" s="130">
        <f>IF($A44="","",IFERROR($G44/$D44,0))</f>
        <v/>
      </c>
    </row>
    <row r="45" ht="24" customHeight="1">
      <c r="A45" s="77" t="inlineStr">
        <is>
          <t>جمع کل</t>
        </is>
      </c>
      <c r="B45" s="2" t="n"/>
      <c r="C45" s="2" t="n"/>
      <c r="D45" s="78">
        <f>SUM(D37:D44)</f>
        <v/>
      </c>
      <c r="E45" s="79">
        <f>SUM(E37:E44)</f>
        <v/>
      </c>
      <c r="F45" s="79">
        <f>SUM(F37:F44)</f>
        <v/>
      </c>
      <c r="G45" s="79">
        <f>SUM(G37:G44)</f>
        <v/>
      </c>
      <c r="H45" s="142">
        <f>IFERROR($F45/E45,0)</f>
        <v/>
      </c>
      <c r="I45" s="135" t="inlineStr">
        <is>
          <t>۱۰۰٪</t>
        </is>
      </c>
      <c r="J45" s="79">
        <f>IFERROR($G45/$D45,0)</f>
        <v/>
      </c>
    </row>
    <row r="47" ht="26" customHeight="1">
      <c r="A47" s="5" t="inlineStr">
        <is>
          <t>بلوک ۴ — ترکیب وضعیت پرونده‌ها (جریان نقدی)</t>
        </is>
      </c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 ht="30" customHeight="1">
      <c r="A48" s="17" t="inlineStr">
        <is>
          <t>وضعیت</t>
        </is>
      </c>
      <c r="B48" s="17" t="inlineStr">
        <is>
          <t>گروه</t>
        </is>
      </c>
      <c r="C48" s="17" t="inlineStr">
        <is>
          <t>تعداد پرونده</t>
        </is>
      </c>
      <c r="D48" s="17" t="inlineStr">
        <is>
          <t>سهم از تعداد</t>
        </is>
      </c>
      <c r="E48" s="17" t="inlineStr">
        <is>
          <t>مبلغ کارشناسی</t>
        </is>
      </c>
      <c r="F48" s="17" t="inlineStr">
        <is>
          <t>جمع با مالیات</t>
        </is>
      </c>
      <c r="G48" s="17" t="inlineStr">
        <is>
          <t>سهم از ارزش</t>
        </is>
      </c>
      <c r="H48" s="17" t="inlineStr">
        <is>
          <t>میانگین هر پرونده</t>
        </is>
      </c>
      <c r="I48" s="17" t="inlineStr">
        <is>
          <t>سهم اعضا</t>
        </is>
      </c>
      <c r="J48" s="17" t="inlineStr">
        <is>
          <t>سهم شرکت</t>
        </is>
      </c>
    </row>
    <row r="49" ht="21" customHeight="1">
      <c r="A49" s="123">
        <f>IFERROR(IF(INDEX(lst_Status,1)="","",INDEX(lst_Status,1)),"—")</f>
        <v/>
      </c>
      <c r="B49" s="136">
        <f>IF($A49="","",IFERROR(INDEX(t_Sta_Group,MATCH($A49,lst_Status,0)),"—"))</f>
        <v/>
      </c>
      <c r="C49" s="64">
        <f>IF($A49="","",COUNTIFS(tbl_TX[وضعیت],$A49,tbl_TX[سال شمسی],p_Year))</f>
        <v/>
      </c>
      <c r="D49" s="126">
        <f>IFERROR($C49/$C$56,0)</f>
        <v/>
      </c>
      <c r="E49" s="124">
        <f>IF($A49="","",SUMIFS(tbl_TX[مبلغ کارشناسی],tbl_TX[وضعیت],$A49,tbl_TX[سال شمسی],p_Year))</f>
        <v/>
      </c>
      <c r="F49" s="125">
        <f>IF($A49="","",SUMIFS(tbl_TX[جمع با مالیات],tbl_TX[وضعیت],$A49,tbl_TX[سال شمسی],p_Year))</f>
        <v/>
      </c>
      <c r="G49" s="126">
        <f>IFERROR($F49/$F$56,0)</f>
        <v/>
      </c>
      <c r="H49" s="124">
        <f>IF($A49="","",IFERROR($F49/$C49,0))</f>
        <v/>
      </c>
      <c r="I49" s="124">
        <f>IF($A49="","",SUMIFS(tbl_TX[مبلغ سهم عضو],tbl_TX[وضعیت],$A49,tbl_TX[سال شمسی],p_Year))</f>
        <v/>
      </c>
      <c r="J49" s="124">
        <f>IF($A49="","",SUMIFS(tbl_TX[سهم شرکت],tbl_TX[وضعیت],$A49,tbl_TX[سال شمسی],p_Year))</f>
        <v/>
      </c>
    </row>
    <row r="50" ht="21" customHeight="1">
      <c r="A50" s="129">
        <f>IFERROR(IF(INDEX(lst_Status,2)="","",INDEX(lst_Status,2)),"—")</f>
        <v/>
      </c>
      <c r="B50" s="138">
        <f>IF($A50="","",IFERROR(INDEX(t_Sta_Group,MATCH($A50,lst_Status,0)),"—"))</f>
        <v/>
      </c>
      <c r="C50" s="70">
        <f>IF($A50="","",COUNTIFS(tbl_TX[وضعیت],$A50,tbl_TX[سال شمسی],p_Year))</f>
        <v/>
      </c>
      <c r="D50" s="132">
        <f>IFERROR($C50/$C$56,0)</f>
        <v/>
      </c>
      <c r="E50" s="130">
        <f>IF($A50="","",SUMIFS(tbl_TX[مبلغ کارشناسی],tbl_TX[وضعیت],$A50,tbl_TX[سال شمسی],p_Year))</f>
        <v/>
      </c>
      <c r="F50" s="131">
        <f>IF($A50="","",SUMIFS(tbl_TX[جمع با مالیات],tbl_TX[وضعیت],$A50,tbl_TX[سال شمسی],p_Year))</f>
        <v/>
      </c>
      <c r="G50" s="132">
        <f>IFERROR($F50/$F$56,0)</f>
        <v/>
      </c>
      <c r="H50" s="130">
        <f>IF($A50="","",IFERROR($F50/$C50,0))</f>
        <v/>
      </c>
      <c r="I50" s="130">
        <f>IF($A50="","",SUMIFS(tbl_TX[مبلغ سهم عضو],tbl_TX[وضعیت],$A50,tbl_TX[سال شمسی],p_Year))</f>
        <v/>
      </c>
      <c r="J50" s="130">
        <f>IF($A50="","",SUMIFS(tbl_TX[سهم شرکت],tbl_TX[وضعیت],$A50,tbl_TX[سال شمسی],p_Year))</f>
        <v/>
      </c>
    </row>
    <row r="51" ht="21" customHeight="1">
      <c r="A51" s="123">
        <f>IFERROR(IF(INDEX(lst_Status,3)="","",INDEX(lst_Status,3)),"—")</f>
        <v/>
      </c>
      <c r="B51" s="136">
        <f>IF($A51="","",IFERROR(INDEX(t_Sta_Group,MATCH($A51,lst_Status,0)),"—"))</f>
        <v/>
      </c>
      <c r="C51" s="64">
        <f>IF($A51="","",COUNTIFS(tbl_TX[وضعیت],$A51,tbl_TX[سال شمسی],p_Year))</f>
        <v/>
      </c>
      <c r="D51" s="126">
        <f>IFERROR($C51/$C$56,0)</f>
        <v/>
      </c>
      <c r="E51" s="124">
        <f>IF($A51="","",SUMIFS(tbl_TX[مبلغ کارشناسی],tbl_TX[وضعیت],$A51,tbl_TX[سال شمسی],p_Year))</f>
        <v/>
      </c>
      <c r="F51" s="125">
        <f>IF($A51="","",SUMIFS(tbl_TX[جمع با مالیات],tbl_TX[وضعیت],$A51,tbl_TX[سال شمسی],p_Year))</f>
        <v/>
      </c>
      <c r="G51" s="126">
        <f>IFERROR($F51/$F$56,0)</f>
        <v/>
      </c>
      <c r="H51" s="124">
        <f>IF($A51="","",IFERROR($F51/$C51,0))</f>
        <v/>
      </c>
      <c r="I51" s="124">
        <f>IF($A51="","",SUMIFS(tbl_TX[مبلغ سهم عضو],tbl_TX[وضعیت],$A51,tbl_TX[سال شمسی],p_Year))</f>
        <v/>
      </c>
      <c r="J51" s="124">
        <f>IF($A51="","",SUMIFS(tbl_TX[سهم شرکت],tbl_TX[وضعیت],$A51,tbl_TX[سال شمسی],p_Year))</f>
        <v/>
      </c>
    </row>
    <row r="52" ht="21" customHeight="1">
      <c r="A52" s="129">
        <f>IFERROR(IF(INDEX(lst_Status,4)="","",INDEX(lst_Status,4)),"—")</f>
        <v/>
      </c>
      <c r="B52" s="138">
        <f>IF($A52="","",IFERROR(INDEX(t_Sta_Group,MATCH($A52,lst_Status,0)),"—"))</f>
        <v/>
      </c>
      <c r="C52" s="70">
        <f>IF($A52="","",COUNTIFS(tbl_TX[وضعیت],$A52,tbl_TX[سال شمسی],p_Year))</f>
        <v/>
      </c>
      <c r="D52" s="132">
        <f>IFERROR($C52/$C$56,0)</f>
        <v/>
      </c>
      <c r="E52" s="130">
        <f>IF($A52="","",SUMIFS(tbl_TX[مبلغ کارشناسی],tbl_TX[وضعیت],$A52,tbl_TX[سال شمسی],p_Year))</f>
        <v/>
      </c>
      <c r="F52" s="131">
        <f>IF($A52="","",SUMIFS(tbl_TX[جمع با مالیات],tbl_TX[وضعیت],$A52,tbl_TX[سال شمسی],p_Year))</f>
        <v/>
      </c>
      <c r="G52" s="132">
        <f>IFERROR($F52/$F$56,0)</f>
        <v/>
      </c>
      <c r="H52" s="130">
        <f>IF($A52="","",IFERROR($F52/$C52,0))</f>
        <v/>
      </c>
      <c r="I52" s="130">
        <f>IF($A52="","",SUMIFS(tbl_TX[مبلغ سهم عضو],tbl_TX[وضعیت],$A52,tbl_TX[سال شمسی],p_Year))</f>
        <v/>
      </c>
      <c r="J52" s="130">
        <f>IF($A52="","",SUMIFS(tbl_TX[سهم شرکت],tbl_TX[وضعیت],$A52,tbl_TX[سال شمسی],p_Year))</f>
        <v/>
      </c>
    </row>
    <row r="53" ht="21" customHeight="1">
      <c r="A53" s="123">
        <f>IFERROR(IF(INDEX(lst_Status,5)="","",INDEX(lst_Status,5)),"—")</f>
        <v/>
      </c>
      <c r="B53" s="136">
        <f>IF($A53="","",IFERROR(INDEX(t_Sta_Group,MATCH($A53,lst_Status,0)),"—"))</f>
        <v/>
      </c>
      <c r="C53" s="64">
        <f>IF($A53="","",COUNTIFS(tbl_TX[وضعیت],$A53,tbl_TX[سال شمسی],p_Year))</f>
        <v/>
      </c>
      <c r="D53" s="126">
        <f>IFERROR($C53/$C$56,0)</f>
        <v/>
      </c>
      <c r="E53" s="124">
        <f>IF($A53="","",SUMIFS(tbl_TX[مبلغ کارشناسی],tbl_TX[وضعیت],$A53,tbl_TX[سال شمسی],p_Year))</f>
        <v/>
      </c>
      <c r="F53" s="125">
        <f>IF($A53="","",SUMIFS(tbl_TX[جمع با مالیات],tbl_TX[وضعیت],$A53,tbl_TX[سال شمسی],p_Year))</f>
        <v/>
      </c>
      <c r="G53" s="126">
        <f>IFERROR($F53/$F$56,0)</f>
        <v/>
      </c>
      <c r="H53" s="124">
        <f>IF($A53="","",IFERROR($F53/$C53,0))</f>
        <v/>
      </c>
      <c r="I53" s="124">
        <f>IF($A53="","",SUMIFS(tbl_TX[مبلغ سهم عضو],tbl_TX[وضعیت],$A53,tbl_TX[سال شمسی],p_Year))</f>
        <v/>
      </c>
      <c r="J53" s="124">
        <f>IF($A53="","",SUMIFS(tbl_TX[سهم شرکت],tbl_TX[وضعیت],$A53,tbl_TX[سال شمسی],p_Year))</f>
        <v/>
      </c>
    </row>
    <row r="54" ht="21" customHeight="1">
      <c r="A54" s="129">
        <f>IFERROR(IF(INDEX(lst_Status,6)="","",INDEX(lst_Status,6)),"—")</f>
        <v/>
      </c>
      <c r="B54" s="138">
        <f>IF($A54="","",IFERROR(INDEX(t_Sta_Group,MATCH($A54,lst_Status,0)),"—"))</f>
        <v/>
      </c>
      <c r="C54" s="70">
        <f>IF($A54="","",COUNTIFS(tbl_TX[وضعیت],$A54,tbl_TX[سال شمسی],p_Year))</f>
        <v/>
      </c>
      <c r="D54" s="132">
        <f>IFERROR($C54/$C$56,0)</f>
        <v/>
      </c>
      <c r="E54" s="130">
        <f>IF($A54="","",SUMIFS(tbl_TX[مبلغ کارشناسی],tbl_TX[وضعیت],$A54,tbl_TX[سال شمسی],p_Year))</f>
        <v/>
      </c>
      <c r="F54" s="131">
        <f>IF($A54="","",SUMIFS(tbl_TX[جمع با مالیات],tbl_TX[وضعیت],$A54,tbl_TX[سال شمسی],p_Year))</f>
        <v/>
      </c>
      <c r="G54" s="132">
        <f>IFERROR($F54/$F$56,0)</f>
        <v/>
      </c>
      <c r="H54" s="130">
        <f>IF($A54="","",IFERROR($F54/$C54,0))</f>
        <v/>
      </c>
      <c r="I54" s="130">
        <f>IF($A54="","",SUMIFS(tbl_TX[مبلغ سهم عضو],tbl_TX[وضعیت],$A54,tbl_TX[سال شمسی],p_Year))</f>
        <v/>
      </c>
      <c r="J54" s="130">
        <f>IF($A54="","",SUMIFS(tbl_TX[سهم شرکت],tbl_TX[وضعیت],$A54,tbl_TX[سال شمسی],p_Year))</f>
        <v/>
      </c>
    </row>
    <row r="55" ht="21" customHeight="1">
      <c r="A55" s="123">
        <f>IFERROR(IF(INDEX(lst_Status,7)="","",INDEX(lst_Status,7)),"—")</f>
        <v/>
      </c>
      <c r="B55" s="136">
        <f>IF($A55="","",IFERROR(INDEX(t_Sta_Group,MATCH($A55,lst_Status,0)),"—"))</f>
        <v/>
      </c>
      <c r="C55" s="64">
        <f>IF($A55="","",COUNTIFS(tbl_TX[وضعیت],$A55,tbl_TX[سال شمسی],p_Year))</f>
        <v/>
      </c>
      <c r="D55" s="126">
        <f>IFERROR($C55/$C$56,0)</f>
        <v/>
      </c>
      <c r="E55" s="124">
        <f>IF($A55="","",SUMIFS(tbl_TX[مبلغ کارشناسی],tbl_TX[وضعیت],$A55,tbl_TX[سال شمسی],p_Year))</f>
        <v/>
      </c>
      <c r="F55" s="125">
        <f>IF($A55="","",SUMIFS(tbl_TX[جمع با مالیات],tbl_TX[وضعیت],$A55,tbl_TX[سال شمسی],p_Year))</f>
        <v/>
      </c>
      <c r="G55" s="126">
        <f>IFERROR($F55/$F$56,0)</f>
        <v/>
      </c>
      <c r="H55" s="124">
        <f>IF($A55="","",IFERROR($F55/$C55,0))</f>
        <v/>
      </c>
      <c r="I55" s="124">
        <f>IF($A55="","",SUMIFS(tbl_TX[مبلغ سهم عضو],tbl_TX[وضعیت],$A55,tbl_TX[سال شمسی],p_Year))</f>
        <v/>
      </c>
      <c r="J55" s="124">
        <f>IF($A55="","",SUMIFS(tbl_TX[سهم شرکت],tbl_TX[وضعیت],$A55,tbl_TX[سال شمسی],p_Year))</f>
        <v/>
      </c>
    </row>
    <row r="56" ht="24" customHeight="1">
      <c r="A56" s="77" t="inlineStr">
        <is>
          <t>جمع کل</t>
        </is>
      </c>
      <c r="B56" s="2" t="n"/>
      <c r="C56" s="78">
        <f>SUM(C49:C55)</f>
        <v/>
      </c>
      <c r="D56" s="135" t="inlineStr">
        <is>
          <t>۱۰۰٪</t>
        </is>
      </c>
      <c r="E56" s="79">
        <f>SUM(E49:E55)</f>
        <v/>
      </c>
      <c r="F56" s="79">
        <f>SUM(F49:F55)</f>
        <v/>
      </c>
      <c r="G56" s="135" t="inlineStr">
        <is>
          <t>۱۰۰٪</t>
        </is>
      </c>
      <c r="H56" s="79">
        <f>IFERROR($F56/$C56,0)</f>
        <v/>
      </c>
      <c r="I56" s="79">
        <f>SUM(I49:I55)</f>
        <v/>
      </c>
      <c r="J56" s="79">
        <f>SUM(J49:J55)</f>
        <v/>
      </c>
    </row>
  </sheetData>
  <mergeCells count="6">
    <mergeCell ref="A47:J47"/>
    <mergeCell ref="A1:J1"/>
    <mergeCell ref="A5:J5"/>
    <mergeCell ref="A35:J35"/>
    <mergeCell ref="A2:J2"/>
    <mergeCell ref="A19:J19"/>
  </mergeCells>
  <conditionalFormatting sqref="H7:H16">
    <cfRule type="dataBar" priority="1">
      <dataBar showValue="1">
        <cfvo type="num" val="0"/>
        <cfvo type="max"/>
        <color rgb="000E8C8C"/>
      </dataBar>
    </cfRule>
  </conditionalFormatting>
  <conditionalFormatting sqref="I7:I16">
    <cfRule type="iconSet" priority="2">
      <iconSet iconSet="3TrafficLights1" showValue="1" reverse="1">
        <cfvo type="percent" val="0"/>
        <cfvo type="percent" val="33"/>
        <cfvo type="percent" val="67"/>
      </iconSet>
    </cfRule>
  </conditionalFormatting>
  <conditionalFormatting sqref="J7:J16">
    <cfRule type="expression" priority="3" dxfId="7" stopIfTrue="1">
      <formula>$J7="کم‌فعال"</formula>
    </cfRule>
    <cfRule type="expression" priority="4" dxfId="10" stopIfTrue="1">
      <formula>$J7="بدون فعالیت"</formula>
    </cfRule>
    <cfRule type="expression" priority="5" dxfId="6" stopIfTrue="1">
      <formula>$J7="فعال"</formula>
    </cfRule>
  </conditionalFormatting>
  <conditionalFormatting sqref="J21:J32">
    <cfRule type="colorScale" priority="6">
      <colorScale>
        <cfvo type="num" val="-1"/>
        <cfvo type="num" val="0"/>
        <cfvo type="num" val="1"/>
        <color rgb="00FBEAE8"/>
        <color rgb="00FFFFFF"/>
        <color rgb="001E8449"/>
      </colorScale>
    </cfRule>
  </conditionalFormatting>
  <conditionalFormatting sqref="I37:I44">
    <cfRule type="dataBar" priority="7">
      <dataBar showValue="1">
        <cfvo type="num" val="0"/>
        <cfvo type="max"/>
        <color rgb="001F5C8B"/>
      </dataBar>
    </cfRule>
  </conditionalFormatting>
  <conditionalFormatting sqref="C49:C55">
    <cfRule type="colorScale" priority="8">
      <colorScale>
        <cfvo type="min"/>
        <cfvo type="max"/>
        <color rgb="00FFFFFF"/>
        <color rgb="00DCE9F5"/>
      </colorScale>
    </cfRule>
  </conditionalFormatting>
  <conditionalFormatting sqref="A49:J55">
    <cfRule type="expression" priority="9" dxfId="11" stopIfTrue="0">
      <formula>$A49="ابطال"</formula>
    </cfRule>
  </conditionalFormatting>
  <conditionalFormatting sqref="A37:A44">
    <cfRule type="expression" priority="10" dxfId="12" stopIfTrue="0">
      <formula>$D37=0</formula>
    </cfRule>
  </conditionalFormatting>
  <printOptions horizontalCentered="1"/>
  <pageMargins left="0.75" right="0.75" top="1" bottom="1" header="0.5" footer="0.5"/>
  <pageSetup orientation="landscape" paperSize="9" fitToHeight="0" fitToWidth="1"/>
  <headerFooter>
    <oddHeader/>
    <oddFooter>&amp;C&amp;8 &amp;K64748B&amp;A — صفحهٔ &amp;P از &amp;N</oddFooter>
    <evenHeader/>
    <evenFooter>&amp;C&amp;A — صفحهٔ &amp;P از &amp;N</evenFooter>
    <firstHeader/>
    <firstFooter/>
  </headerFooter>
</worksheet>
</file>

<file path=xl/worksheets/sheet8.xml><?xml version="1.0" encoding="utf-8"?>
<worksheet xmlns="http://schemas.openxmlformats.org/spreadsheetml/2006/main">
  <sheetPr>
    <tabColor rgb="0012314F"/>
    <outlinePr summaryBelow="1" summaryRight="1"/>
    <pageSetUpPr fitToPage="1"/>
  </sheetPr>
  <dimension ref="A1:P44"/>
  <sheetViews>
    <sheetView showGridLines="0" rightToLeft="1" tabSelected="0" zoomScale="9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36" customHeight="1">
      <c r="A1" s="1" t="inlineStr">
        <is>
          <t>داشبورد مدیریتی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2" customHeight="1">
      <c r="A2" s="3" t="inlineStr">
        <is>
          <t>تصویر یک‌نگاهی عملکرد کمیسیون فنی — همهٔ اعداد از دفتر تراکنش‌ها و شیت گزارش‌ها خوانده می‌شوند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6" customHeight="1">
      <c r="A3" s="143" t="inlineStr">
        <is>
          <t>فیلتر دوره:</t>
        </is>
      </c>
      <c r="B3" s="144" t="n">
        <v>1405</v>
      </c>
      <c r="D3" s="143" t="inlineStr">
        <is>
          <t>ماه:</t>
        </is>
      </c>
      <c r="E3" s="145" t="inlineStr">
        <is>
          <t>همه</t>
        </is>
      </c>
      <c r="G3" s="146">
        <f>IF(f_MonthKey="همه","نمای سالانه — همهٔ ماه‌های سال "&amp;f_Year,"نمای ماهانه — ماه "&amp;TEXT(VALUE(f_MonthKey),"00")&amp;" از سال "&amp;f_Year)</f>
        <v/>
      </c>
    </row>
    <row r="4" ht="26" customHeight="1">
      <c r="A4" s="5" t="inlineStr">
        <is>
          <t>شاخص‌های کلیدی دورهٔ انتخابی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</row>
    <row r="5" ht="20" customHeight="1">
      <c r="A5" s="7" t="inlineStr">
        <is>
          <t>تعداد پرونده</t>
        </is>
      </c>
      <c r="B5" s="8" t="n"/>
      <c r="C5" s="9" t="inlineStr">
        <is>
          <t>مبلغ کارشناسی</t>
        </is>
      </c>
      <c r="D5" s="10" t="n"/>
      <c r="E5" s="118" t="inlineStr">
        <is>
          <t>کمیسیون خام</t>
        </is>
      </c>
      <c r="F5" s="108" t="n"/>
      <c r="G5" s="7" t="inlineStr">
        <is>
          <t>کمیسیون خالص</t>
        </is>
      </c>
      <c r="H5" s="8" t="n"/>
      <c r="I5" s="9" t="inlineStr">
        <is>
          <t>سهم اعضا</t>
        </is>
      </c>
      <c r="J5" s="10" t="n"/>
      <c r="K5" s="116" t="inlineStr">
        <is>
          <t>سهم شرکت</t>
        </is>
      </c>
      <c r="L5" s="117" t="n"/>
      <c r="M5" s="118" t="inlineStr">
        <is>
          <t>نرخ مؤثر میانگین</t>
        </is>
      </c>
      <c r="N5" s="108" t="n"/>
      <c r="O5" s="147" t="inlineStr">
        <is>
          <t>تحقق هدف</t>
        </is>
      </c>
      <c r="P5" s="148" t="n"/>
    </row>
    <row r="6" ht="28" customHeight="1">
      <c r="A6" s="149">
        <f>COUNTIFS(tbl_TX[کلید دوره],IF(f_MonthKey="همه","?*",f_Year&amp;"/"&amp;f_MonthKey),tbl_TX[وضعیت],"&lt;&gt;ابطال")</f>
        <v/>
      </c>
      <c r="B6" s="12" t="n"/>
      <c r="C6" s="13">
        <f>SUMIFS(tbl_TX[مبلغ کارشناسی],tbl_TX[کلید دوره],IF(f_MonthKey="همه","?*",f_Year&amp;"/"&amp;f_MonthKey),tbl_TX[وضعیت],"&lt;&gt;ابطال")</f>
        <v/>
      </c>
      <c r="D6" s="14" t="n"/>
      <c r="E6" s="150">
        <f>SUMIFS(tbl_TX[کمیسیون خام],tbl_TX[کلید دوره],IF(f_MonthKey="همه","?*",f_Year&amp;"/"&amp;f_MonthKey),tbl_TX[وضعیت],"&lt;&gt;ابطال")</f>
        <v/>
      </c>
      <c r="F6" s="122" t="n"/>
      <c r="G6" s="151">
        <f>SUMIFS(tbl_TX[جمع با مالیات],tbl_TX[کلید دوره],IF(f_MonthKey="همه","?*",f_Year&amp;"/"&amp;f_MonthKey),tbl_TX[وضعیت],"&lt;&gt;ابطال")</f>
        <v/>
      </c>
      <c r="H6" s="152" t="n"/>
      <c r="I6" s="153">
        <f>SUMIFS(tbl_TX[مبلغ سهم عضو],tbl_TX[کلید دوره],IF(f_MonthKey="همه","?*",f_Year&amp;"/"&amp;f_MonthKey),tbl_TX[وضعیت],"&lt;&gt;ابطال")</f>
        <v/>
      </c>
      <c r="J6" s="154" t="n"/>
      <c r="K6" s="119">
        <f>SUMIFS(tbl_TX[سهم شرکت],tbl_TX[کلید دوره],IF(f_MonthKey="همه","?*",f_Year&amp;"/"&amp;f_MonthKey),tbl_TX[وضعیت],"&lt;&gt;ابطال")</f>
        <v/>
      </c>
      <c r="L6" s="120" t="n"/>
      <c r="M6" s="121">
        <f>IFERROR(SUMIFS(tbl_TX[کمیسیون خام],tbl_TX[کلید دوره],IF(f_MonthKey="همه","?*",f_Year&amp;"/"&amp;f_MonthKey),tbl_TX[وضعیت],"&lt;&gt;ابطال")/SUMIFS(tbl_TX[مبلغ مبنا],tbl_TX[کلید دوره],IF(f_MonthKey="همه","?*",f_Year&amp;"/"&amp;f_MonthKey),tbl_TX[وضعیت],"&lt;&gt;ابطال"),0)</f>
        <v/>
      </c>
      <c r="N6" s="122" t="n"/>
      <c r="O6" s="155">
        <f>IFERROR(SUMIFS(tbl_TX[جمع با مالیات],tbl_TX[کلید دوره],IF(f_MonthKey="همه","?*",f_Year&amp;"/"&amp;f_MonthKey),tbl_TX[وضعیت],"&lt;&gt;ابطال")/p_Target,0)</f>
        <v/>
      </c>
      <c r="P6" s="156" t="n"/>
    </row>
    <row r="7" ht="15" customHeight="1">
      <c r="A7" s="157" t="inlineStr">
        <is>
          <t>پروندهٔ فعال (بدون ابطال)</t>
        </is>
      </c>
      <c r="B7" s="8" t="n"/>
      <c r="C7" s="158" t="inlineStr">
        <is>
          <t>مجموع مبالغ پایه</t>
        </is>
      </c>
      <c r="D7" s="10" t="n"/>
      <c r="E7" s="159" t="inlineStr">
        <is>
          <t>پیش از کف، سقف و مالیات</t>
        </is>
      </c>
      <c r="F7" s="108" t="n"/>
      <c r="G7" s="157" t="inlineStr">
        <is>
          <t>جمع با مالیات — عدد کلیدی</t>
        </is>
      </c>
      <c r="H7" s="8" t="n"/>
      <c r="I7" s="158" t="inlineStr">
        <is>
          <t>قابل پرداخت به پرسنل</t>
        </is>
      </c>
      <c r="J7" s="10" t="n"/>
      <c r="K7" s="160" t="inlineStr">
        <is>
          <t>درآمد ناخالص شرکت</t>
        </is>
      </c>
      <c r="L7" s="117" t="n"/>
      <c r="M7" s="159" t="inlineStr">
        <is>
          <t>کمیسیون خام ÷ مبلغ مبنا</t>
        </is>
      </c>
      <c r="N7" s="108" t="n"/>
      <c r="O7" s="161" t="inlineStr">
        <is>
          <t>نسبت به هدف سالانه</t>
        </is>
      </c>
      <c r="P7" s="148" t="n"/>
    </row>
    <row r="9" ht="26" customHeight="1">
      <c r="A9" s="5" t="inlineStr">
        <is>
          <t>نمودارهای تحلیلی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44" ht="20" customHeight="1">
      <c r="A44" s="39" t="inlineStr">
        <is>
          <t>نمودارها با تغییر هر عدد به‌روز می‌شوند؛ اگر پس از باز کردن فایل نمودارها به‌روز نبودند، یک‌بار F9 بزنید. برای بزرگ‌نمایی هر نمودار، آن را انتخاب و از زبانهٔ Format تنظیم کنید.</t>
        </is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40" t="n"/>
    </row>
  </sheetData>
  <mergeCells count="32">
    <mergeCell ref="O7:P7"/>
    <mergeCell ref="C6:D6"/>
    <mergeCell ref="I6:J6"/>
    <mergeCell ref="B3:C3"/>
    <mergeCell ref="C5:D5"/>
    <mergeCell ref="O6:P6"/>
    <mergeCell ref="E5:F5"/>
    <mergeCell ref="K5:L5"/>
    <mergeCell ref="A4:P4"/>
    <mergeCell ref="M5:N5"/>
    <mergeCell ref="A6:B6"/>
    <mergeCell ref="A7:B7"/>
    <mergeCell ref="G7:H7"/>
    <mergeCell ref="O5:P5"/>
    <mergeCell ref="A44:P44"/>
    <mergeCell ref="I7:J7"/>
    <mergeCell ref="A9:P9"/>
    <mergeCell ref="G6:H6"/>
    <mergeCell ref="M7:N7"/>
    <mergeCell ref="E6:F6"/>
    <mergeCell ref="M6:N6"/>
    <mergeCell ref="A1:P1"/>
    <mergeCell ref="A5:B5"/>
    <mergeCell ref="G5:H5"/>
    <mergeCell ref="I5:J5"/>
    <mergeCell ref="K7:L7"/>
    <mergeCell ref="C7:D7"/>
    <mergeCell ref="E7:F7"/>
    <mergeCell ref="G3:P3"/>
    <mergeCell ref="K6:L6"/>
    <mergeCell ref="E3:F3"/>
    <mergeCell ref="A2:P2"/>
  </mergeCells>
  <conditionalFormatting sqref="A6:B6">
    <cfRule type="cellIs" priority="1" operator="lessThan" dxfId="13">
      <formula>1</formula>
    </cfRule>
  </conditionalFormatting>
  <conditionalFormatting sqref="O6:P6">
    <cfRule type="expression" priority="2" dxfId="13" stopIfTrue="1">
      <formula>$O$6&lt;0.7</formula>
    </cfRule>
    <cfRule type="expression" priority="3" dxfId="14" stopIfTrue="1">
      <formula>AND($O$6&gt;=0.7,$O$6&lt;1)</formula>
    </cfRule>
  </conditionalFormatting>
  <dataValidations count="2">
    <dataValidation sqref="E3" showDropDown="0" showInputMessage="1" showErrorMessage="1" allowBlank="0" errorTitle="ماه نامعتبر" error="یک ماه یا «همه» را انتخاب کنید." promptTitle="فیلتر ماه" prompt="«همه» برای نمای سالانه یا شمارهٔ ماه (مثلاً 07) را انتخاب کنید." type="list">
      <formula1>"همه,01,02,03,04,05,06,07,08,09,10,11,12"</formula1>
    </dataValidation>
    <dataValidation sqref="B3" showDropDown="0" showInputMessage="1" showErrorMessage="1" allowBlank="0" errorTitle="سال نامعتبر" error="سال گزارش را از فهرست انتخاب کنید." promptTitle="فیلتر سال" type="list">
      <formula1>"1401,1402,1403,1404,1405,1406,1407,1408,1409,1410,1411,1412,1413,1414,1415"</formula1>
    </dataValidation>
  </dataValidations>
  <printOptions horizontalCentered="1"/>
  <pageMargins left="0.75" right="0.75" top="1" bottom="1" header="0.5" footer="0.5"/>
  <pageSetup orientation="landscape" paperSize="9" fitToHeight="0" fitToWidth="1"/>
  <headerFooter>
    <oddHeader/>
    <oddFooter>&amp;C&amp;8 &amp;K64748B&amp;A — صفحهٔ &amp;P از &amp;N</oddFooter>
    <evenHeader/>
    <evenFooter>&amp;C&amp;A — صفحهٔ &amp;P از &amp;N</evenFooter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tabColor rgb="00B03A2E"/>
    <outlinePr summaryBelow="1" summaryRight="1"/>
    <pageSetUpPr fitToPage="1"/>
  </sheetPr>
  <dimension ref="A1:G19"/>
  <sheetViews>
    <sheetView showGridLines="0" rightToLeft="1" tabSelected="0" zoomScale="11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14" customWidth="1" min="4" max="4"/>
    <col width="12" customWidth="1" min="5" max="5"/>
    <col width="10" customWidth="1" min="6" max="6"/>
    <col width="44" customWidth="1" min="7" max="7"/>
  </cols>
  <sheetData>
    <row r="1" ht="36" customHeight="1">
      <c r="A1" s="1" t="inlineStr">
        <is>
          <t>کنترل کیفیت داده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آزمون‌های خودکار صحت، یکپارچگی و تطبیق جمع‌ها — پیش از گزارش‌گیری، این شیت را ببینید</t>
        </is>
      </c>
      <c r="B2" s="4" t="n"/>
      <c r="C2" s="4" t="n"/>
      <c r="D2" s="4" t="n"/>
      <c r="E2" s="4" t="n"/>
      <c r="F2" s="4" t="n"/>
      <c r="G2" s="4" t="n"/>
    </row>
    <row r="3" ht="30" customHeight="1">
      <c r="A3" s="162">
        <f>"نتیجهٔ کنترل کیفیت:  "&amp;COUNTIF(F6:F17,"✅")&amp;" از 12 آزمون موفق   —   "&amp;IF(COUNTIF(F6:F17,"❌")=0,"وضعیت داده: سالم ✅","وضعیت داده: نیازمند اصلاح ❌")</f>
        <v/>
      </c>
      <c r="B3" s="2" t="n"/>
      <c r="C3" s="2" t="n"/>
      <c r="D3" s="2" t="n"/>
      <c r="E3" s="2" t="n"/>
      <c r="F3" s="2" t="n"/>
      <c r="G3" s="2" t="n"/>
    </row>
    <row r="4" ht="26" customHeight="1">
      <c r="A4" s="5" t="inlineStr">
        <is>
          <t>آزمون‌های خودکار</t>
        </is>
      </c>
      <c r="B4" s="6" t="n"/>
      <c r="C4" s="6" t="n"/>
      <c r="D4" s="6" t="n"/>
      <c r="E4" s="6" t="n"/>
      <c r="F4" s="6" t="n"/>
      <c r="G4" s="6" t="n"/>
    </row>
    <row r="5" ht="30" customHeight="1">
      <c r="A5" s="17" t="inlineStr">
        <is>
          <t>#</t>
        </is>
      </c>
      <c r="B5" s="17" t="inlineStr">
        <is>
          <t>آزمون</t>
        </is>
      </c>
      <c r="C5" s="17" t="inlineStr">
        <is>
          <t>شرح و دلیل اهمیت</t>
        </is>
      </c>
      <c r="D5" s="17" t="inlineStr">
        <is>
          <t>مقدار</t>
        </is>
      </c>
      <c r="E5" s="17" t="inlineStr">
        <is>
          <t>آستانه</t>
        </is>
      </c>
      <c r="F5" s="17" t="inlineStr">
        <is>
          <t>نتیجه</t>
        </is>
      </c>
      <c r="G5" s="17" t="inlineStr">
        <is>
          <t>اقدام پیشنهادی</t>
        </is>
      </c>
    </row>
    <row r="6" ht="26" customHeight="1">
      <c r="A6" s="18" t="n">
        <v>1</v>
      </c>
      <c r="B6" s="123" t="inlineStr">
        <is>
          <t>شمارهٔ پروندهٔ تکراری</t>
        </is>
      </c>
      <c r="C6" s="163" t="inlineStr">
        <is>
          <t>هر شمارهٔ پرونده باید یکتا باشد؛ تکرار یعنی ثبت دوبارهٔ یک پرونده.</t>
        </is>
      </c>
      <c r="D6" s="164">
        <f>SUMPRODUCT((COUNTIF(tbl_TX[شمارهٔ پرونده],tbl_TX[شمارهٔ پرونده])&gt;1)*(tbl_TX[شمارهٔ پرونده]&lt;&gt;""))</f>
        <v/>
      </c>
      <c r="E6" s="165" t="n">
        <v>0</v>
      </c>
      <c r="F6" s="166">
        <f>IF($D6&lt;=$E6,"✅","❌")</f>
        <v/>
      </c>
      <c r="G6" s="163" t="inlineStr">
        <is>
          <t>ستون A را مرتب کنید؛ ردیف‌های تکراری در تراکنش‌ها قرمز شده‌اند.</t>
        </is>
      </c>
    </row>
    <row r="7" ht="26" customHeight="1">
      <c r="A7" s="22" t="n">
        <v>2</v>
      </c>
      <c r="B7" s="129" t="inlineStr">
        <is>
          <t>ردیف ناقص</t>
        </is>
      </c>
      <c r="C7" s="167" t="inlineStr">
        <is>
          <t>ردیفی که شمارهٔ پرونده دارد اما عضو، خدمت یا مبلغ آن خالی است.</t>
        </is>
      </c>
      <c r="D7" s="168">
        <f>COUNTIFS(tbl_TX[شمارهٔ پرونده],"&lt;&gt;")-COUNTIFS(tbl_TX[شمارهٔ پرونده],"&lt;&gt;",tbl_TX[عضو],"&lt;&gt;",tbl_TX[نوع خدمت],"&lt;&gt;",tbl_TX[مبلغ کارشناسی],"&lt;&gt;")</f>
        <v/>
      </c>
      <c r="E7" s="169" t="n">
        <v>0</v>
      </c>
      <c r="F7" s="170">
        <f>IF($D7&lt;=$E7,"✅","❌")</f>
        <v/>
      </c>
      <c r="G7" s="167" t="inlineStr">
        <is>
          <t>ردیف‌های نارنجی‌رنگ در شیت تراکنش‌ها را کامل کنید.</t>
        </is>
      </c>
    </row>
    <row r="8" ht="26" customHeight="1">
      <c r="A8" s="18" t="n">
        <v>3</v>
      </c>
      <c r="B8" s="123" t="inlineStr">
        <is>
          <t>تاریخ خارج از تقویم</t>
        </is>
      </c>
      <c r="C8" s="163" t="inlineStr">
        <is>
          <t>تاریخی که در جدول تقویم وجود ندارد (قالب اشتباه یا بیرون از بازهٔ تقویم).</t>
        </is>
      </c>
      <c r="D8" s="164">
        <f>COUNTIFS(tbl_TX[تاریخ],"&lt;&gt;",tbl_TX[مهلت پرداخت],"")</f>
        <v/>
      </c>
      <c r="E8" s="165" t="n">
        <v>0</v>
      </c>
      <c r="F8" s="166">
        <f>IF($D8&lt;=$E8,"✅","❌")</f>
        <v/>
      </c>
      <c r="G8" s="163" t="inlineStr">
        <is>
          <t>تاریخ‌ها باید مثل 1405/07/22 و داخل بازهٔ شیت تقویم باشند.</t>
        </is>
      </c>
    </row>
    <row r="9" ht="26" customHeight="1">
      <c r="A9" s="22" t="n">
        <v>4</v>
      </c>
      <c r="B9" s="129" t="inlineStr">
        <is>
          <t>خدمت بدون نرخ پایه</t>
        </is>
      </c>
      <c r="C9" s="167" t="inlineStr">
        <is>
          <t>خدمتی که در فهرست خدمات نیست، نرخ پایه‌اش خالی می‌ماند.</t>
        </is>
      </c>
      <c r="D9" s="168">
        <f>COUNTIFS(tbl_TX[نوع خدمت],"&lt;&gt;",tbl_TX[نرخ پایه],"")</f>
        <v/>
      </c>
      <c r="E9" s="169" t="n">
        <v>0</v>
      </c>
      <c r="F9" s="170">
        <f>IF($D9&lt;=$E9,"✅","❌")</f>
        <v/>
      </c>
      <c r="G9" s="167" t="inlineStr">
        <is>
          <t>نام خدمت را از فهرست کشویی انتخاب کنید یا آن را در شیت فهرست‌ها اضافه کنید.</t>
        </is>
      </c>
    </row>
    <row r="10" ht="26" customHeight="1">
      <c r="A10" s="18" t="n">
        <v>5</v>
      </c>
      <c r="B10" s="123" t="inlineStr">
        <is>
          <t>مبلغ نامعتبر</t>
        </is>
      </c>
      <c r="C10" s="163" t="inlineStr">
        <is>
          <t>مبلغ کارشناسی باید بزرگ‌تر از صفر باشد (ردیف‌های خالی محاسبه نمی‌شوند).</t>
        </is>
      </c>
      <c r="D10" s="164">
        <f>COUNTIFS(tbl_TX[مبلغ کارشناسی],"&lt;=0",tbl_TX[مبلغ کارشناسی],"&lt;&gt;")</f>
        <v/>
      </c>
      <c r="E10" s="165" t="n">
        <v>0</v>
      </c>
      <c r="F10" s="166">
        <f>IF($D10&lt;=$E10,"✅","❌")</f>
        <v/>
      </c>
      <c r="G10" s="163" t="inlineStr">
        <is>
          <t>سلول‌های مبلغ صفر یا منفی را اصلاح کنید.</t>
        </is>
      </c>
    </row>
    <row r="11" ht="26" customHeight="1">
      <c r="A11" s="22" t="n">
        <v>6</v>
      </c>
      <c r="B11" s="129" t="inlineStr">
        <is>
          <t>ضریب خدمت خارج از بازه</t>
        </is>
      </c>
      <c r="C11" s="167" t="inlineStr">
        <is>
          <t>ضریب خدمت باید بین ۰٫۱ و ۵ باشد.</t>
        </is>
      </c>
      <c r="D11" s="168">
        <f>COUNTIFS(tbl_TX[ضریب خدمت],"&lt;0.1",tbl_TX[ضریب خدمت],"&lt;&gt;")+COUNTIFS(tbl_TX[ضریب خدمت],"&gt;5",tbl_TX[ضریب خدمت],"&lt;&gt;")</f>
        <v/>
      </c>
      <c r="E11" s="169" t="n">
        <v>0</v>
      </c>
      <c r="F11" s="170">
        <f>IF($D11&lt;=$E11,"✅","❌")</f>
        <v/>
      </c>
      <c r="G11" s="167" t="inlineStr">
        <is>
          <t>مقادیر پرت ستون G را بررسی کنید.</t>
        </is>
      </c>
    </row>
    <row r="12" ht="26" customHeight="1">
      <c r="A12" s="18" t="n">
        <v>7</v>
      </c>
      <c r="B12" s="123" t="inlineStr">
        <is>
          <t>درصد سهم عضو خارج از بازه</t>
        </is>
      </c>
      <c r="C12" s="163" t="inlineStr">
        <is>
          <t>درصد سهم بازنویسی‌شده باید بین ۰ و ۱ باشد (۰٫۲۵ یعنی ۲۵ درصد).</t>
        </is>
      </c>
      <c r="D12" s="164">
        <f>COUNTIFS(tbl_TX[سهم عضو بازنویسی],"&lt;0",tbl_TX[سهم عضو بازنویسی],"&lt;&gt;")+COUNTIFS(tbl_TX[سهم عضو بازنویسی],"&gt;1",tbl_TX[سهم عضو بازنویسی],"&lt;&gt;")</f>
        <v/>
      </c>
      <c r="E12" s="165" t="n">
        <v>0</v>
      </c>
      <c r="F12" s="166">
        <f>IF($D12&lt;=$E12,"✅","❌")</f>
        <v/>
      </c>
      <c r="G12" s="163" t="inlineStr">
        <is>
          <t>مثلاً ۰٫۲۵ درست و ۲۵ غلط است.</t>
        </is>
      </c>
    </row>
    <row r="13" ht="26" customHeight="1">
      <c r="A13" s="22" t="n">
        <v>8</v>
      </c>
      <c r="B13" s="129" t="inlineStr">
        <is>
          <t>تطبیق سهم‌ها با مبلغ کل</t>
        </is>
      </c>
      <c r="C13" s="167" t="inlineStr">
        <is>
          <t>جمع سهم اعضا + سهم شرکت باید برابر جمع با مالیات باشد (اختلاف باید صفر باشد).</t>
        </is>
      </c>
      <c r="D13" s="171">
        <f>ABS(SUM(tbl_TX[مبلغ سهم عضو])+SUM(tbl_TX[سهم شرکت])-SUM(tbl_TX[جمع با مالیات]))</f>
        <v/>
      </c>
      <c r="E13" s="169" t="n">
        <v>0</v>
      </c>
      <c r="F13" s="170">
        <f>IF($D13&lt;=$E13,"✅","❌")</f>
        <v/>
      </c>
      <c r="G13" s="167" t="inlineStr">
        <is>
          <t>اگر اختلاف دیدید، نشانهٔ ویرایش دستی ستون‌های محاسباتی است.</t>
        </is>
      </c>
    </row>
    <row r="14" ht="26" customHeight="1">
      <c r="A14" s="18" t="n">
        <v>9</v>
      </c>
      <c r="B14" s="123" t="inlineStr">
        <is>
          <t>تطبیق مالیات</t>
        </is>
      </c>
      <c r="C14" s="163" t="inlineStr">
        <is>
          <t>کمیسیون پس از کف و سقف + مالیات باید برابر جمع با مالیات باشد.</t>
        </is>
      </c>
      <c r="D14" s="172">
        <f>ABS(SUM(tbl_TX[کمیسیون پس از کف و سقف])+SUM(tbl_TX[مالیات و عوارض])-SUM(tbl_TX[جمع با مالیات]))</f>
        <v/>
      </c>
      <c r="E14" s="165" t="n">
        <v>0</v>
      </c>
      <c r="F14" s="166">
        <f>IF($D14&lt;=$E14,"✅","❌")</f>
        <v/>
      </c>
      <c r="G14" s="163" t="inlineStr">
        <is>
          <t>ستون‌های O، P و Q تراکنش‌ها را بازبینی کنید.</t>
        </is>
      </c>
    </row>
    <row r="15" ht="26" customHeight="1">
      <c r="A15" s="22" t="n">
        <v>10</v>
      </c>
      <c r="B15" s="129" t="inlineStr">
        <is>
          <t>رکورد ابطال‌شده در جمع‌ها</t>
        </is>
      </c>
      <c r="C15" s="167" t="inlineStr">
        <is>
          <t>پرونده‌های ابطال‌شده نباید مبلغی در جمع‌ها داشته باشند.</t>
        </is>
      </c>
      <c r="D15" s="171">
        <f>SUMIFS(tbl_TX[جمع با مالیات],tbl_TX[وضعیت],"ابطال")</f>
        <v/>
      </c>
      <c r="E15" s="169" t="n">
        <v>0</v>
      </c>
      <c r="F15" s="170">
        <f>IF($D15&lt;=$E15,"✅","❌")</f>
        <v/>
      </c>
      <c r="G15" s="167" t="inlineStr">
        <is>
          <t>وضعیت «ابطال» باید کمیسیون را صفر کند؛ اگر صفر نیست، گزارش دهید.</t>
        </is>
      </c>
    </row>
    <row r="16" ht="26" customHeight="1">
      <c r="A16" s="18" t="n">
        <v>11</v>
      </c>
      <c r="B16" s="123" t="inlineStr">
        <is>
          <t>پروندهٔ دارای سرسید سپری‌شده</t>
        </is>
      </c>
      <c r="C16" s="163" t="inlineStr">
        <is>
          <t>پرونده‌هایی که مهلت پرداخت‌شان گذشته و هنوز تسویه نشده‌اند (اطلاعی).</t>
        </is>
      </c>
      <c r="D16" s="164">
        <f>COUNTIF(tbl_TX[سرسید سپری شده],"بله")</f>
        <v/>
      </c>
      <c r="E16" s="165" t="n">
        <v>3</v>
      </c>
      <c r="F16" s="166">
        <f>IF($D16&gt;=$E16,"✅","❌")</f>
        <v/>
      </c>
      <c r="G16" s="163" t="inlineStr">
        <is>
          <t>برای پیگیری: ستون Z تراکنش‌ها را فیلتر کنید روی «بله».</t>
        </is>
      </c>
    </row>
    <row r="17" ht="26" customHeight="1">
      <c r="A17" s="22" t="n">
        <v>12</v>
      </c>
      <c r="B17" s="129" t="inlineStr">
        <is>
          <t>پوشش تقویم برای سال گزارش</t>
        </is>
      </c>
      <c r="C17" s="167" t="inlineStr">
        <is>
          <t>سال گزارش باید در جدول تقویم موجود باشد تا محاسبات ماهانه کار کند.</t>
        </is>
      </c>
      <c r="D17" s="168">
        <f>COUNTIF(cal_JYear,p_Year)</f>
        <v/>
      </c>
      <c r="E17" s="169" t="n">
        <v>365</v>
      </c>
      <c r="F17" s="170">
        <f>IF($D17&gt;=365,"✅","❌")</f>
        <v/>
      </c>
      <c r="G17" s="167" t="inlineStr">
        <is>
          <t>بازهٔ تقویم ۲۰۲۳ تا ۲۰۳۶ میلادی است؛ اگر سال گزارش بیرون این بازه است، تقویم را گسترش دهید.</t>
        </is>
      </c>
    </row>
    <row r="19" ht="20" customHeight="1">
      <c r="A19" s="39" t="inlineStr">
        <is>
          <t>آزمون‌ها خواندنی و بدون ماکرو هستند: با هر تغییر در داده‌ها، نتیجه به‌روز می‌شود. آزمون «پروندهٔ دارای سرسید سپری‌شده» اطلاعی است و آستانهٔ آن ۳ مورد در نظر گرفته شده.</t>
        </is>
      </c>
      <c r="B19" s="10" t="n"/>
      <c r="C19" s="10" t="n"/>
      <c r="D19" s="10" t="n"/>
      <c r="E19" s="10" t="n"/>
      <c r="F19" s="10" t="n"/>
      <c r="G19" s="40" t="n"/>
    </row>
  </sheetData>
  <mergeCells count="5">
    <mergeCell ref="A1:G1"/>
    <mergeCell ref="A3:G3"/>
    <mergeCell ref="A4:G4"/>
    <mergeCell ref="A2:G2"/>
    <mergeCell ref="A19:G19"/>
  </mergeCells>
  <conditionalFormatting sqref="F6:F17">
    <cfRule type="expression" priority="1" dxfId="15" stopIfTrue="1">
      <formula>$F6="✅"</formula>
    </cfRule>
    <cfRule type="expression" priority="2" dxfId="16" stopIfTrue="1">
      <formula>$F6="❌"</formula>
    </cfRule>
  </conditionalFormatting>
  <conditionalFormatting sqref="D6:D17">
    <cfRule type="dataBar" priority="3">
      <dataBar showValue="1">
        <cfvo type="num" val="0"/>
        <cfvo type="max"/>
        <color rgb="00B7791F"/>
      </dataBar>
    </cfRule>
  </conditionalFormatting>
  <printOptions horizontalCentered="1"/>
  <pageMargins left="0.75" right="0.75" top="1" bottom="1" header="0.5" footer="0.5"/>
  <pageSetup orientation="landscape" paperSize="9" fitToHeight="0" fitToWidth="1"/>
  <headerFooter>
    <oddHeader/>
    <oddFooter>&amp;C&amp;8 &amp;K64748B&amp;A — صفحهٔ &amp;P از &amp;N</oddFooter>
    <evenHeader/>
    <evenFooter>&amp;C&amp;A — صفحهٔ &amp;P از &amp;N</evenFooter>
    <firstHeader/>
    <firstFooter/>
  </headerFooter>
</worksheet>
</file>

<file path=xl/worksheets/sheet10.xml><?xml version="1.0" encoding="utf-8"?>
<worksheet xmlns="http://schemas.openxmlformats.org/spreadsheetml/2006/main">
  <sheetPr>
    <tabColor rgb="0064748B"/>
    <outlinePr summaryBelow="1" summaryRight="1"/>
    <pageSetUpPr fitToPage="1"/>
  </sheetPr>
  <dimension ref="A1:J5121"/>
  <sheetViews>
    <sheetView showGridLines="0" rightToLeft="1" tabSelected="0" zoomScale="10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9" customWidth="1" min="3" max="3"/>
    <col width="8" customWidth="1" min="4" max="4"/>
    <col width="14" customWidth="1" min="5" max="5"/>
    <col width="11" customWidth="1" min="6" max="6"/>
    <col width="12" customWidth="1" min="7" max="7"/>
    <col width="10" customWidth="1" min="8" max="8"/>
    <col width="12" customWidth="1" min="9" max="9"/>
    <col width="10" customWidth="1" min="10" max="10"/>
  </cols>
  <sheetData>
    <row r="1" ht="36" customHeight="1">
      <c r="A1" s="1" t="inlineStr">
        <is>
          <t>تقویم مرجع شمسی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پل تبدیل تاریخ: هر تاریخ شمسی در این جدول یک ردیف دارد؛ همهٔ محاسبات دوره‌ای کارپوشه به این جدول تکیه می‌کند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5" ht="28" customHeight="1">
      <c r="A5" s="17" t="inlineStr">
        <is>
          <t>تاریخ میلادی</t>
        </is>
      </c>
      <c r="B5" s="17" t="inlineStr">
        <is>
          <t>سری</t>
        </is>
      </c>
      <c r="C5" s="17" t="inlineStr">
        <is>
          <t>سال شمسی</t>
        </is>
      </c>
      <c r="D5" s="17" t="inlineStr">
        <is>
          <t>ماه شمسی</t>
        </is>
      </c>
      <c r="E5" s="17" t="inlineStr">
        <is>
          <t>متن تاریخ شمسی</t>
        </is>
      </c>
      <c r="F5" s="17" t="inlineStr">
        <is>
          <t>کلید سال/ماه</t>
        </is>
      </c>
      <c r="G5" s="17" t="inlineStr">
        <is>
          <t>نام ماه</t>
        </is>
      </c>
      <c r="H5" s="17" t="inlineStr">
        <is>
          <t>فصل</t>
        </is>
      </c>
      <c r="I5" s="17" t="inlineStr">
        <is>
          <t>روز هفته</t>
        </is>
      </c>
      <c r="J5" s="17" t="inlineStr">
        <is>
          <t>روز کاری؟</t>
        </is>
      </c>
    </row>
    <row r="6">
      <c r="A6" s="173" t="n">
        <v>44927</v>
      </c>
      <c r="B6" s="174" t="n">
        <v>44927</v>
      </c>
      <c r="C6" s="174" t="n">
        <v>1401</v>
      </c>
      <c r="D6" s="174" t="n">
        <v>10</v>
      </c>
      <c r="E6" s="175" t="inlineStr">
        <is>
          <t>1401/10/11</t>
        </is>
      </c>
      <c r="F6" s="128" t="inlineStr">
        <is>
          <t>1401/10</t>
        </is>
      </c>
      <c r="G6" s="58" t="inlineStr">
        <is>
          <t>دی</t>
        </is>
      </c>
      <c r="H6" s="128" t="inlineStr">
        <is>
          <t>زمستان</t>
        </is>
      </c>
      <c r="I6" s="128" t="inlineStr">
        <is>
          <t>یکشنبه</t>
        </is>
      </c>
      <c r="J6" s="128" t="inlineStr">
        <is>
          <t>خیر</t>
        </is>
      </c>
    </row>
    <row r="7">
      <c r="A7" s="176" t="n">
        <v>44928</v>
      </c>
      <c r="B7" s="177" t="n">
        <v>44928</v>
      </c>
      <c r="C7" s="177" t="n">
        <v>1401</v>
      </c>
      <c r="D7" s="177" t="n">
        <v>10</v>
      </c>
      <c r="E7" s="178" t="inlineStr">
        <is>
          <t>1401/10/12</t>
        </is>
      </c>
      <c r="F7" s="134" t="inlineStr">
        <is>
          <t>1401/10</t>
        </is>
      </c>
      <c r="G7" s="61" t="inlineStr">
        <is>
          <t>دی</t>
        </is>
      </c>
      <c r="H7" s="134" t="inlineStr">
        <is>
          <t>زمستان</t>
        </is>
      </c>
      <c r="I7" s="134" t="inlineStr">
        <is>
          <t>دوشنبه</t>
        </is>
      </c>
      <c r="J7" s="134" t="inlineStr">
        <is>
          <t>بله</t>
        </is>
      </c>
    </row>
    <row r="8">
      <c r="A8" s="173" t="n">
        <v>44929</v>
      </c>
      <c r="B8" s="174" t="n">
        <v>44929</v>
      </c>
      <c r="C8" s="174" t="n">
        <v>1401</v>
      </c>
      <c r="D8" s="174" t="n">
        <v>10</v>
      </c>
      <c r="E8" s="175" t="inlineStr">
        <is>
          <t>1401/10/13</t>
        </is>
      </c>
      <c r="F8" s="128" t="inlineStr">
        <is>
          <t>1401/10</t>
        </is>
      </c>
      <c r="G8" s="58" t="inlineStr">
        <is>
          <t>دی</t>
        </is>
      </c>
      <c r="H8" s="128" t="inlineStr">
        <is>
          <t>زمستان</t>
        </is>
      </c>
      <c r="I8" s="128" t="inlineStr">
        <is>
          <t>سه‌شنبه</t>
        </is>
      </c>
      <c r="J8" s="128" t="inlineStr">
        <is>
          <t>بله</t>
        </is>
      </c>
    </row>
    <row r="9">
      <c r="A9" s="176" t="n">
        <v>44930</v>
      </c>
      <c r="B9" s="177" t="n">
        <v>44930</v>
      </c>
      <c r="C9" s="177" t="n">
        <v>1401</v>
      </c>
      <c r="D9" s="177" t="n">
        <v>10</v>
      </c>
      <c r="E9" s="178" t="inlineStr">
        <is>
          <t>1401/10/14</t>
        </is>
      </c>
      <c r="F9" s="134" t="inlineStr">
        <is>
          <t>1401/10</t>
        </is>
      </c>
      <c r="G9" s="61" t="inlineStr">
        <is>
          <t>دی</t>
        </is>
      </c>
      <c r="H9" s="134" t="inlineStr">
        <is>
          <t>زمستان</t>
        </is>
      </c>
      <c r="I9" s="134" t="inlineStr">
        <is>
          <t>چهارشنبه</t>
        </is>
      </c>
      <c r="J9" s="134" t="inlineStr">
        <is>
          <t>بله</t>
        </is>
      </c>
    </row>
    <row r="10">
      <c r="A10" s="173" t="n">
        <v>44931</v>
      </c>
      <c r="B10" s="174" t="n">
        <v>44931</v>
      </c>
      <c r="C10" s="174" t="n">
        <v>1401</v>
      </c>
      <c r="D10" s="174" t="n">
        <v>10</v>
      </c>
      <c r="E10" s="175" t="inlineStr">
        <is>
          <t>1401/10/15</t>
        </is>
      </c>
      <c r="F10" s="128" t="inlineStr">
        <is>
          <t>1401/10</t>
        </is>
      </c>
      <c r="G10" s="58" t="inlineStr">
        <is>
          <t>دی</t>
        </is>
      </c>
      <c r="H10" s="128" t="inlineStr">
        <is>
          <t>زمستان</t>
        </is>
      </c>
      <c r="I10" s="128" t="inlineStr">
        <is>
          <t>پنجشنبه</t>
        </is>
      </c>
      <c r="J10" s="128" t="inlineStr">
        <is>
          <t>بله</t>
        </is>
      </c>
    </row>
    <row r="11">
      <c r="A11" s="176" t="n">
        <v>44932</v>
      </c>
      <c r="B11" s="177" t="n">
        <v>44932</v>
      </c>
      <c r="C11" s="177" t="n">
        <v>1401</v>
      </c>
      <c r="D11" s="177" t="n">
        <v>10</v>
      </c>
      <c r="E11" s="178" t="inlineStr">
        <is>
          <t>1401/10/16</t>
        </is>
      </c>
      <c r="F11" s="134" t="inlineStr">
        <is>
          <t>1401/10</t>
        </is>
      </c>
      <c r="G11" s="61" t="inlineStr">
        <is>
          <t>دی</t>
        </is>
      </c>
      <c r="H11" s="134" t="inlineStr">
        <is>
          <t>زمستان</t>
        </is>
      </c>
      <c r="I11" s="134" t="inlineStr">
        <is>
          <t>جمعه</t>
        </is>
      </c>
      <c r="J11" s="134" t="inlineStr">
        <is>
          <t>بله</t>
        </is>
      </c>
    </row>
    <row r="12">
      <c r="A12" s="173" t="n">
        <v>44933</v>
      </c>
      <c r="B12" s="174" t="n">
        <v>44933</v>
      </c>
      <c r="C12" s="174" t="n">
        <v>1401</v>
      </c>
      <c r="D12" s="174" t="n">
        <v>10</v>
      </c>
      <c r="E12" s="175" t="inlineStr">
        <is>
          <t>1401/10/17</t>
        </is>
      </c>
      <c r="F12" s="128" t="inlineStr">
        <is>
          <t>1401/10</t>
        </is>
      </c>
      <c r="G12" s="58" t="inlineStr">
        <is>
          <t>دی</t>
        </is>
      </c>
      <c r="H12" s="128" t="inlineStr">
        <is>
          <t>زمستان</t>
        </is>
      </c>
      <c r="I12" s="128" t="inlineStr">
        <is>
          <t>شنبه</t>
        </is>
      </c>
      <c r="J12" s="128" t="inlineStr">
        <is>
          <t>خیر</t>
        </is>
      </c>
    </row>
    <row r="13">
      <c r="A13" s="176" t="n">
        <v>44934</v>
      </c>
      <c r="B13" s="177" t="n">
        <v>44934</v>
      </c>
      <c r="C13" s="177" t="n">
        <v>1401</v>
      </c>
      <c r="D13" s="177" t="n">
        <v>10</v>
      </c>
      <c r="E13" s="178" t="inlineStr">
        <is>
          <t>1401/10/18</t>
        </is>
      </c>
      <c r="F13" s="134" t="inlineStr">
        <is>
          <t>1401/10</t>
        </is>
      </c>
      <c r="G13" s="61" t="inlineStr">
        <is>
          <t>دی</t>
        </is>
      </c>
      <c r="H13" s="134" t="inlineStr">
        <is>
          <t>زمستان</t>
        </is>
      </c>
      <c r="I13" s="134" t="inlineStr">
        <is>
          <t>یکشنبه</t>
        </is>
      </c>
      <c r="J13" s="134" t="inlineStr">
        <is>
          <t>خیر</t>
        </is>
      </c>
    </row>
    <row r="14">
      <c r="A14" s="173" t="n">
        <v>44935</v>
      </c>
      <c r="B14" s="174" t="n">
        <v>44935</v>
      </c>
      <c r="C14" s="174" t="n">
        <v>1401</v>
      </c>
      <c r="D14" s="174" t="n">
        <v>10</v>
      </c>
      <c r="E14" s="175" t="inlineStr">
        <is>
          <t>1401/10/19</t>
        </is>
      </c>
      <c r="F14" s="128" t="inlineStr">
        <is>
          <t>1401/10</t>
        </is>
      </c>
      <c r="G14" s="58" t="inlineStr">
        <is>
          <t>دی</t>
        </is>
      </c>
      <c r="H14" s="128" t="inlineStr">
        <is>
          <t>زمستان</t>
        </is>
      </c>
      <c r="I14" s="128" t="inlineStr">
        <is>
          <t>دوشنبه</t>
        </is>
      </c>
      <c r="J14" s="128" t="inlineStr">
        <is>
          <t>بله</t>
        </is>
      </c>
    </row>
    <row r="15">
      <c r="A15" s="176" t="n">
        <v>44936</v>
      </c>
      <c r="B15" s="177" t="n">
        <v>44936</v>
      </c>
      <c r="C15" s="177" t="n">
        <v>1401</v>
      </c>
      <c r="D15" s="177" t="n">
        <v>10</v>
      </c>
      <c r="E15" s="178" t="inlineStr">
        <is>
          <t>1401/10/20</t>
        </is>
      </c>
      <c r="F15" s="134" t="inlineStr">
        <is>
          <t>1401/10</t>
        </is>
      </c>
      <c r="G15" s="61" t="inlineStr">
        <is>
          <t>دی</t>
        </is>
      </c>
      <c r="H15" s="134" t="inlineStr">
        <is>
          <t>زمستان</t>
        </is>
      </c>
      <c r="I15" s="134" t="inlineStr">
        <is>
          <t>سه‌شنبه</t>
        </is>
      </c>
      <c r="J15" s="134" t="inlineStr">
        <is>
          <t>بله</t>
        </is>
      </c>
    </row>
    <row r="16">
      <c r="A16" s="173" t="n">
        <v>44937</v>
      </c>
      <c r="B16" s="174" t="n">
        <v>44937</v>
      </c>
      <c r="C16" s="174" t="n">
        <v>1401</v>
      </c>
      <c r="D16" s="174" t="n">
        <v>10</v>
      </c>
      <c r="E16" s="175" t="inlineStr">
        <is>
          <t>1401/10/21</t>
        </is>
      </c>
      <c r="F16" s="128" t="inlineStr">
        <is>
          <t>1401/10</t>
        </is>
      </c>
      <c r="G16" s="58" t="inlineStr">
        <is>
          <t>دی</t>
        </is>
      </c>
      <c r="H16" s="128" t="inlineStr">
        <is>
          <t>زمستان</t>
        </is>
      </c>
      <c r="I16" s="128" t="inlineStr">
        <is>
          <t>چهارشنبه</t>
        </is>
      </c>
      <c r="J16" s="128" t="inlineStr">
        <is>
          <t>بله</t>
        </is>
      </c>
    </row>
    <row r="17">
      <c r="A17" s="176" t="n">
        <v>44938</v>
      </c>
      <c r="B17" s="177" t="n">
        <v>44938</v>
      </c>
      <c r="C17" s="177" t="n">
        <v>1401</v>
      </c>
      <c r="D17" s="177" t="n">
        <v>10</v>
      </c>
      <c r="E17" s="178" t="inlineStr">
        <is>
          <t>1401/10/22</t>
        </is>
      </c>
      <c r="F17" s="134" t="inlineStr">
        <is>
          <t>1401/10</t>
        </is>
      </c>
      <c r="G17" s="61" t="inlineStr">
        <is>
          <t>دی</t>
        </is>
      </c>
      <c r="H17" s="134" t="inlineStr">
        <is>
          <t>زمستان</t>
        </is>
      </c>
      <c r="I17" s="134" t="inlineStr">
        <is>
          <t>پنجشنبه</t>
        </is>
      </c>
      <c r="J17" s="134" t="inlineStr">
        <is>
          <t>بله</t>
        </is>
      </c>
    </row>
    <row r="18">
      <c r="A18" s="173" t="n">
        <v>44939</v>
      </c>
      <c r="B18" s="174" t="n">
        <v>44939</v>
      </c>
      <c r="C18" s="174" t="n">
        <v>1401</v>
      </c>
      <c r="D18" s="174" t="n">
        <v>10</v>
      </c>
      <c r="E18" s="175" t="inlineStr">
        <is>
          <t>1401/10/23</t>
        </is>
      </c>
      <c r="F18" s="128" t="inlineStr">
        <is>
          <t>1401/10</t>
        </is>
      </c>
      <c r="G18" s="58" t="inlineStr">
        <is>
          <t>دی</t>
        </is>
      </c>
      <c r="H18" s="128" t="inlineStr">
        <is>
          <t>زمستان</t>
        </is>
      </c>
      <c r="I18" s="128" t="inlineStr">
        <is>
          <t>جمعه</t>
        </is>
      </c>
      <c r="J18" s="128" t="inlineStr">
        <is>
          <t>بله</t>
        </is>
      </c>
    </row>
    <row r="19">
      <c r="A19" s="176" t="n">
        <v>44940</v>
      </c>
      <c r="B19" s="177" t="n">
        <v>44940</v>
      </c>
      <c r="C19" s="177" t="n">
        <v>1401</v>
      </c>
      <c r="D19" s="177" t="n">
        <v>10</v>
      </c>
      <c r="E19" s="178" t="inlineStr">
        <is>
          <t>1401/10/24</t>
        </is>
      </c>
      <c r="F19" s="134" t="inlineStr">
        <is>
          <t>1401/10</t>
        </is>
      </c>
      <c r="G19" s="61" t="inlineStr">
        <is>
          <t>دی</t>
        </is>
      </c>
      <c r="H19" s="134" t="inlineStr">
        <is>
          <t>زمستان</t>
        </is>
      </c>
      <c r="I19" s="134" t="inlineStr">
        <is>
          <t>شنبه</t>
        </is>
      </c>
      <c r="J19" s="134" t="inlineStr">
        <is>
          <t>خیر</t>
        </is>
      </c>
    </row>
    <row r="20">
      <c r="A20" s="173" t="n">
        <v>44941</v>
      </c>
      <c r="B20" s="174" t="n">
        <v>44941</v>
      </c>
      <c r="C20" s="174" t="n">
        <v>1401</v>
      </c>
      <c r="D20" s="174" t="n">
        <v>10</v>
      </c>
      <c r="E20" s="175" t="inlineStr">
        <is>
          <t>1401/10/25</t>
        </is>
      </c>
      <c r="F20" s="128" t="inlineStr">
        <is>
          <t>1401/10</t>
        </is>
      </c>
      <c r="G20" s="58" t="inlineStr">
        <is>
          <t>دی</t>
        </is>
      </c>
      <c r="H20" s="128" t="inlineStr">
        <is>
          <t>زمستان</t>
        </is>
      </c>
      <c r="I20" s="128" t="inlineStr">
        <is>
          <t>یکشنبه</t>
        </is>
      </c>
      <c r="J20" s="128" t="inlineStr">
        <is>
          <t>خیر</t>
        </is>
      </c>
    </row>
    <row r="21">
      <c r="A21" s="176" t="n">
        <v>44942</v>
      </c>
      <c r="B21" s="177" t="n">
        <v>44942</v>
      </c>
      <c r="C21" s="177" t="n">
        <v>1401</v>
      </c>
      <c r="D21" s="177" t="n">
        <v>10</v>
      </c>
      <c r="E21" s="178" t="inlineStr">
        <is>
          <t>1401/10/26</t>
        </is>
      </c>
      <c r="F21" s="134" t="inlineStr">
        <is>
          <t>1401/10</t>
        </is>
      </c>
      <c r="G21" s="61" t="inlineStr">
        <is>
          <t>دی</t>
        </is>
      </c>
      <c r="H21" s="134" t="inlineStr">
        <is>
          <t>زمستان</t>
        </is>
      </c>
      <c r="I21" s="134" t="inlineStr">
        <is>
          <t>دوشنبه</t>
        </is>
      </c>
      <c r="J21" s="134" t="inlineStr">
        <is>
          <t>بله</t>
        </is>
      </c>
    </row>
    <row r="22">
      <c r="A22" s="173" t="n">
        <v>44943</v>
      </c>
      <c r="B22" s="174" t="n">
        <v>44943</v>
      </c>
      <c r="C22" s="174" t="n">
        <v>1401</v>
      </c>
      <c r="D22" s="174" t="n">
        <v>10</v>
      </c>
      <c r="E22" s="175" t="inlineStr">
        <is>
          <t>1401/10/27</t>
        </is>
      </c>
      <c r="F22" s="128" t="inlineStr">
        <is>
          <t>1401/10</t>
        </is>
      </c>
      <c r="G22" s="58" t="inlineStr">
        <is>
          <t>دی</t>
        </is>
      </c>
      <c r="H22" s="128" t="inlineStr">
        <is>
          <t>زمستان</t>
        </is>
      </c>
      <c r="I22" s="128" t="inlineStr">
        <is>
          <t>سه‌شنبه</t>
        </is>
      </c>
      <c r="J22" s="128" t="inlineStr">
        <is>
          <t>بله</t>
        </is>
      </c>
    </row>
    <row r="23">
      <c r="A23" s="176" t="n">
        <v>44944</v>
      </c>
      <c r="B23" s="177" t="n">
        <v>44944</v>
      </c>
      <c r="C23" s="177" t="n">
        <v>1401</v>
      </c>
      <c r="D23" s="177" t="n">
        <v>10</v>
      </c>
      <c r="E23" s="178" t="inlineStr">
        <is>
          <t>1401/10/28</t>
        </is>
      </c>
      <c r="F23" s="134" t="inlineStr">
        <is>
          <t>1401/10</t>
        </is>
      </c>
      <c r="G23" s="61" t="inlineStr">
        <is>
          <t>دی</t>
        </is>
      </c>
      <c r="H23" s="134" t="inlineStr">
        <is>
          <t>زمستان</t>
        </is>
      </c>
      <c r="I23" s="134" t="inlineStr">
        <is>
          <t>چهارشنبه</t>
        </is>
      </c>
      <c r="J23" s="134" t="inlineStr">
        <is>
          <t>بله</t>
        </is>
      </c>
    </row>
    <row r="24">
      <c r="A24" s="173" t="n">
        <v>44945</v>
      </c>
      <c r="B24" s="174" t="n">
        <v>44945</v>
      </c>
      <c r="C24" s="174" t="n">
        <v>1401</v>
      </c>
      <c r="D24" s="174" t="n">
        <v>10</v>
      </c>
      <c r="E24" s="175" t="inlineStr">
        <is>
          <t>1401/10/29</t>
        </is>
      </c>
      <c r="F24" s="128" t="inlineStr">
        <is>
          <t>1401/10</t>
        </is>
      </c>
      <c r="G24" s="58" t="inlineStr">
        <is>
          <t>دی</t>
        </is>
      </c>
      <c r="H24" s="128" t="inlineStr">
        <is>
          <t>زمستان</t>
        </is>
      </c>
      <c r="I24" s="128" t="inlineStr">
        <is>
          <t>پنجشنبه</t>
        </is>
      </c>
      <c r="J24" s="128" t="inlineStr">
        <is>
          <t>بله</t>
        </is>
      </c>
    </row>
    <row r="25">
      <c r="A25" s="176" t="n">
        <v>44946</v>
      </c>
      <c r="B25" s="177" t="n">
        <v>44946</v>
      </c>
      <c r="C25" s="177" t="n">
        <v>1401</v>
      </c>
      <c r="D25" s="177" t="n">
        <v>10</v>
      </c>
      <c r="E25" s="178" t="inlineStr">
        <is>
          <t>1401/10/30</t>
        </is>
      </c>
      <c r="F25" s="134" t="inlineStr">
        <is>
          <t>1401/10</t>
        </is>
      </c>
      <c r="G25" s="61" t="inlineStr">
        <is>
          <t>دی</t>
        </is>
      </c>
      <c r="H25" s="134" t="inlineStr">
        <is>
          <t>زمستان</t>
        </is>
      </c>
      <c r="I25" s="134" t="inlineStr">
        <is>
          <t>جمعه</t>
        </is>
      </c>
      <c r="J25" s="134" t="inlineStr">
        <is>
          <t>بله</t>
        </is>
      </c>
    </row>
    <row r="26">
      <c r="A26" s="173" t="n">
        <v>44947</v>
      </c>
      <c r="B26" s="174" t="n">
        <v>44947</v>
      </c>
      <c r="C26" s="174" t="n">
        <v>1401</v>
      </c>
      <c r="D26" s="174" t="n">
        <v>11</v>
      </c>
      <c r="E26" s="175" t="inlineStr">
        <is>
          <t>1401/11/01</t>
        </is>
      </c>
      <c r="F26" s="128" t="inlineStr">
        <is>
          <t>1401/11</t>
        </is>
      </c>
      <c r="G26" s="58" t="inlineStr">
        <is>
          <t>بهمن</t>
        </is>
      </c>
      <c r="H26" s="128" t="inlineStr">
        <is>
          <t>زمستان</t>
        </is>
      </c>
      <c r="I26" s="128" t="inlineStr">
        <is>
          <t>شنبه</t>
        </is>
      </c>
      <c r="J26" s="128" t="inlineStr">
        <is>
          <t>خیر</t>
        </is>
      </c>
    </row>
    <row r="27">
      <c r="A27" s="176" t="n">
        <v>44948</v>
      </c>
      <c r="B27" s="177" t="n">
        <v>44948</v>
      </c>
      <c r="C27" s="177" t="n">
        <v>1401</v>
      </c>
      <c r="D27" s="177" t="n">
        <v>11</v>
      </c>
      <c r="E27" s="178" t="inlineStr">
        <is>
          <t>1401/11/02</t>
        </is>
      </c>
      <c r="F27" s="134" t="inlineStr">
        <is>
          <t>1401/11</t>
        </is>
      </c>
      <c r="G27" s="61" t="inlineStr">
        <is>
          <t>بهمن</t>
        </is>
      </c>
      <c r="H27" s="134" t="inlineStr">
        <is>
          <t>زمستان</t>
        </is>
      </c>
      <c r="I27" s="134" t="inlineStr">
        <is>
          <t>یکشنبه</t>
        </is>
      </c>
      <c r="J27" s="134" t="inlineStr">
        <is>
          <t>خیر</t>
        </is>
      </c>
    </row>
    <row r="28">
      <c r="A28" s="173" t="n">
        <v>44949</v>
      </c>
      <c r="B28" s="174" t="n">
        <v>44949</v>
      </c>
      <c r="C28" s="174" t="n">
        <v>1401</v>
      </c>
      <c r="D28" s="174" t="n">
        <v>11</v>
      </c>
      <c r="E28" s="175" t="inlineStr">
        <is>
          <t>1401/11/03</t>
        </is>
      </c>
      <c r="F28" s="128" t="inlineStr">
        <is>
          <t>1401/11</t>
        </is>
      </c>
      <c r="G28" s="58" t="inlineStr">
        <is>
          <t>بهمن</t>
        </is>
      </c>
      <c r="H28" s="128" t="inlineStr">
        <is>
          <t>زمستان</t>
        </is>
      </c>
      <c r="I28" s="128" t="inlineStr">
        <is>
          <t>دوشنبه</t>
        </is>
      </c>
      <c r="J28" s="128" t="inlineStr">
        <is>
          <t>بله</t>
        </is>
      </c>
    </row>
    <row r="29">
      <c r="A29" s="176" t="n">
        <v>44950</v>
      </c>
      <c r="B29" s="177" t="n">
        <v>44950</v>
      </c>
      <c r="C29" s="177" t="n">
        <v>1401</v>
      </c>
      <c r="D29" s="177" t="n">
        <v>11</v>
      </c>
      <c r="E29" s="178" t="inlineStr">
        <is>
          <t>1401/11/04</t>
        </is>
      </c>
      <c r="F29" s="134" t="inlineStr">
        <is>
          <t>1401/11</t>
        </is>
      </c>
      <c r="G29" s="61" t="inlineStr">
        <is>
          <t>بهمن</t>
        </is>
      </c>
      <c r="H29" s="134" t="inlineStr">
        <is>
          <t>زمستان</t>
        </is>
      </c>
      <c r="I29" s="134" t="inlineStr">
        <is>
          <t>سه‌شنبه</t>
        </is>
      </c>
      <c r="J29" s="134" t="inlineStr">
        <is>
          <t>بله</t>
        </is>
      </c>
    </row>
    <row r="30">
      <c r="A30" s="173" t="n">
        <v>44951</v>
      </c>
      <c r="B30" s="174" t="n">
        <v>44951</v>
      </c>
      <c r="C30" s="174" t="n">
        <v>1401</v>
      </c>
      <c r="D30" s="174" t="n">
        <v>11</v>
      </c>
      <c r="E30" s="175" t="inlineStr">
        <is>
          <t>1401/11/05</t>
        </is>
      </c>
      <c r="F30" s="128" t="inlineStr">
        <is>
          <t>1401/11</t>
        </is>
      </c>
      <c r="G30" s="58" t="inlineStr">
        <is>
          <t>بهمن</t>
        </is>
      </c>
      <c r="H30" s="128" t="inlineStr">
        <is>
          <t>زمستان</t>
        </is>
      </c>
      <c r="I30" s="128" t="inlineStr">
        <is>
          <t>چهارشنبه</t>
        </is>
      </c>
      <c r="J30" s="128" t="inlineStr">
        <is>
          <t>بله</t>
        </is>
      </c>
    </row>
    <row r="31">
      <c r="A31" s="176" t="n">
        <v>44952</v>
      </c>
      <c r="B31" s="177" t="n">
        <v>44952</v>
      </c>
      <c r="C31" s="177" t="n">
        <v>1401</v>
      </c>
      <c r="D31" s="177" t="n">
        <v>11</v>
      </c>
      <c r="E31" s="178" t="inlineStr">
        <is>
          <t>1401/11/06</t>
        </is>
      </c>
      <c r="F31" s="134" t="inlineStr">
        <is>
          <t>1401/11</t>
        </is>
      </c>
      <c r="G31" s="61" t="inlineStr">
        <is>
          <t>بهمن</t>
        </is>
      </c>
      <c r="H31" s="134" t="inlineStr">
        <is>
          <t>زمستان</t>
        </is>
      </c>
      <c r="I31" s="134" t="inlineStr">
        <is>
          <t>پنجشنبه</t>
        </is>
      </c>
      <c r="J31" s="134" t="inlineStr">
        <is>
          <t>بله</t>
        </is>
      </c>
    </row>
    <row r="32">
      <c r="A32" s="173" t="n">
        <v>44953</v>
      </c>
      <c r="B32" s="174" t="n">
        <v>44953</v>
      </c>
      <c r="C32" s="174" t="n">
        <v>1401</v>
      </c>
      <c r="D32" s="174" t="n">
        <v>11</v>
      </c>
      <c r="E32" s="175" t="inlineStr">
        <is>
          <t>1401/11/07</t>
        </is>
      </c>
      <c r="F32" s="128" t="inlineStr">
        <is>
          <t>1401/11</t>
        </is>
      </c>
      <c r="G32" s="58" t="inlineStr">
        <is>
          <t>بهمن</t>
        </is>
      </c>
      <c r="H32" s="128" t="inlineStr">
        <is>
          <t>زمستان</t>
        </is>
      </c>
      <c r="I32" s="128" t="inlineStr">
        <is>
          <t>جمعه</t>
        </is>
      </c>
      <c r="J32" s="128" t="inlineStr">
        <is>
          <t>بله</t>
        </is>
      </c>
    </row>
    <row r="33">
      <c r="A33" s="176" t="n">
        <v>44954</v>
      </c>
      <c r="B33" s="177" t="n">
        <v>44954</v>
      </c>
      <c r="C33" s="177" t="n">
        <v>1401</v>
      </c>
      <c r="D33" s="177" t="n">
        <v>11</v>
      </c>
      <c r="E33" s="178" t="inlineStr">
        <is>
          <t>1401/11/08</t>
        </is>
      </c>
      <c r="F33" s="134" t="inlineStr">
        <is>
          <t>1401/11</t>
        </is>
      </c>
      <c r="G33" s="61" t="inlineStr">
        <is>
          <t>بهمن</t>
        </is>
      </c>
      <c r="H33" s="134" t="inlineStr">
        <is>
          <t>زمستان</t>
        </is>
      </c>
      <c r="I33" s="134" t="inlineStr">
        <is>
          <t>شنبه</t>
        </is>
      </c>
      <c r="J33" s="134" t="inlineStr">
        <is>
          <t>خیر</t>
        </is>
      </c>
    </row>
    <row r="34">
      <c r="A34" s="173" t="n">
        <v>44955</v>
      </c>
      <c r="B34" s="174" t="n">
        <v>44955</v>
      </c>
      <c r="C34" s="174" t="n">
        <v>1401</v>
      </c>
      <c r="D34" s="174" t="n">
        <v>11</v>
      </c>
      <c r="E34" s="175" t="inlineStr">
        <is>
          <t>1401/11/09</t>
        </is>
      </c>
      <c r="F34" s="128" t="inlineStr">
        <is>
          <t>1401/11</t>
        </is>
      </c>
      <c r="G34" s="58" t="inlineStr">
        <is>
          <t>بهمن</t>
        </is>
      </c>
      <c r="H34" s="128" t="inlineStr">
        <is>
          <t>زمستان</t>
        </is>
      </c>
      <c r="I34" s="128" t="inlineStr">
        <is>
          <t>یکشنبه</t>
        </is>
      </c>
      <c r="J34" s="128" t="inlineStr">
        <is>
          <t>خیر</t>
        </is>
      </c>
    </row>
    <row r="35">
      <c r="A35" s="176" t="n">
        <v>44956</v>
      </c>
      <c r="B35" s="177" t="n">
        <v>44956</v>
      </c>
      <c r="C35" s="177" t="n">
        <v>1401</v>
      </c>
      <c r="D35" s="177" t="n">
        <v>11</v>
      </c>
      <c r="E35" s="178" t="inlineStr">
        <is>
          <t>1401/11/10</t>
        </is>
      </c>
      <c r="F35" s="134" t="inlineStr">
        <is>
          <t>1401/11</t>
        </is>
      </c>
      <c r="G35" s="61" t="inlineStr">
        <is>
          <t>بهمن</t>
        </is>
      </c>
      <c r="H35" s="134" t="inlineStr">
        <is>
          <t>زمستان</t>
        </is>
      </c>
      <c r="I35" s="134" t="inlineStr">
        <is>
          <t>دوشنبه</t>
        </is>
      </c>
      <c r="J35" s="134" t="inlineStr">
        <is>
          <t>بله</t>
        </is>
      </c>
    </row>
    <row r="36">
      <c r="A36" s="173" t="n">
        <v>44957</v>
      </c>
      <c r="B36" s="174" t="n">
        <v>44957</v>
      </c>
      <c r="C36" s="174" t="n">
        <v>1401</v>
      </c>
      <c r="D36" s="174" t="n">
        <v>11</v>
      </c>
      <c r="E36" s="175" t="inlineStr">
        <is>
          <t>1401/11/11</t>
        </is>
      </c>
      <c r="F36" s="128" t="inlineStr">
        <is>
          <t>1401/11</t>
        </is>
      </c>
      <c r="G36" s="58" t="inlineStr">
        <is>
          <t>بهمن</t>
        </is>
      </c>
      <c r="H36" s="128" t="inlineStr">
        <is>
          <t>زمستان</t>
        </is>
      </c>
      <c r="I36" s="128" t="inlineStr">
        <is>
          <t>سه‌شنبه</t>
        </is>
      </c>
      <c r="J36" s="128" t="inlineStr">
        <is>
          <t>بله</t>
        </is>
      </c>
    </row>
    <row r="37">
      <c r="A37" s="176" t="n">
        <v>44958</v>
      </c>
      <c r="B37" s="177" t="n">
        <v>44958</v>
      </c>
      <c r="C37" s="177" t="n">
        <v>1401</v>
      </c>
      <c r="D37" s="177" t="n">
        <v>11</v>
      </c>
      <c r="E37" s="178" t="inlineStr">
        <is>
          <t>1401/11/12</t>
        </is>
      </c>
      <c r="F37" s="134" t="inlineStr">
        <is>
          <t>1401/11</t>
        </is>
      </c>
      <c r="G37" s="61" t="inlineStr">
        <is>
          <t>بهمن</t>
        </is>
      </c>
      <c r="H37" s="134" t="inlineStr">
        <is>
          <t>زمستان</t>
        </is>
      </c>
      <c r="I37" s="134" t="inlineStr">
        <is>
          <t>چهارشنبه</t>
        </is>
      </c>
      <c r="J37" s="134" t="inlineStr">
        <is>
          <t>بله</t>
        </is>
      </c>
    </row>
    <row r="38">
      <c r="A38" s="173" t="n">
        <v>44959</v>
      </c>
      <c r="B38" s="174" t="n">
        <v>44959</v>
      </c>
      <c r="C38" s="174" t="n">
        <v>1401</v>
      </c>
      <c r="D38" s="174" t="n">
        <v>11</v>
      </c>
      <c r="E38" s="175" t="inlineStr">
        <is>
          <t>1401/11/13</t>
        </is>
      </c>
      <c r="F38" s="128" t="inlineStr">
        <is>
          <t>1401/11</t>
        </is>
      </c>
      <c r="G38" s="58" t="inlineStr">
        <is>
          <t>بهمن</t>
        </is>
      </c>
      <c r="H38" s="128" t="inlineStr">
        <is>
          <t>زمستان</t>
        </is>
      </c>
      <c r="I38" s="128" t="inlineStr">
        <is>
          <t>پنجشنبه</t>
        </is>
      </c>
      <c r="J38" s="128" t="inlineStr">
        <is>
          <t>بله</t>
        </is>
      </c>
    </row>
    <row r="39">
      <c r="A39" s="176" t="n">
        <v>44960</v>
      </c>
      <c r="B39" s="177" t="n">
        <v>44960</v>
      </c>
      <c r="C39" s="177" t="n">
        <v>1401</v>
      </c>
      <c r="D39" s="177" t="n">
        <v>11</v>
      </c>
      <c r="E39" s="178" t="inlineStr">
        <is>
          <t>1401/11/14</t>
        </is>
      </c>
      <c r="F39" s="134" t="inlineStr">
        <is>
          <t>1401/11</t>
        </is>
      </c>
      <c r="G39" s="61" t="inlineStr">
        <is>
          <t>بهمن</t>
        </is>
      </c>
      <c r="H39" s="134" t="inlineStr">
        <is>
          <t>زمستان</t>
        </is>
      </c>
      <c r="I39" s="134" t="inlineStr">
        <is>
          <t>جمعه</t>
        </is>
      </c>
      <c r="J39" s="134" t="inlineStr">
        <is>
          <t>بله</t>
        </is>
      </c>
    </row>
    <row r="40">
      <c r="A40" s="173" t="n">
        <v>44961</v>
      </c>
      <c r="B40" s="174" t="n">
        <v>44961</v>
      </c>
      <c r="C40" s="174" t="n">
        <v>1401</v>
      </c>
      <c r="D40" s="174" t="n">
        <v>11</v>
      </c>
      <c r="E40" s="175" t="inlineStr">
        <is>
          <t>1401/11/15</t>
        </is>
      </c>
      <c r="F40" s="128" t="inlineStr">
        <is>
          <t>1401/11</t>
        </is>
      </c>
      <c r="G40" s="58" t="inlineStr">
        <is>
          <t>بهمن</t>
        </is>
      </c>
      <c r="H40" s="128" t="inlineStr">
        <is>
          <t>زمستان</t>
        </is>
      </c>
      <c r="I40" s="128" t="inlineStr">
        <is>
          <t>شنبه</t>
        </is>
      </c>
      <c r="J40" s="128" t="inlineStr">
        <is>
          <t>خیر</t>
        </is>
      </c>
    </row>
    <row r="41">
      <c r="A41" s="176" t="n">
        <v>44962</v>
      </c>
      <c r="B41" s="177" t="n">
        <v>44962</v>
      </c>
      <c r="C41" s="177" t="n">
        <v>1401</v>
      </c>
      <c r="D41" s="177" t="n">
        <v>11</v>
      </c>
      <c r="E41" s="178" t="inlineStr">
        <is>
          <t>1401/11/16</t>
        </is>
      </c>
      <c r="F41" s="134" t="inlineStr">
        <is>
          <t>1401/11</t>
        </is>
      </c>
      <c r="G41" s="61" t="inlineStr">
        <is>
          <t>بهمن</t>
        </is>
      </c>
      <c r="H41" s="134" t="inlineStr">
        <is>
          <t>زمستان</t>
        </is>
      </c>
      <c r="I41" s="134" t="inlineStr">
        <is>
          <t>یکشنبه</t>
        </is>
      </c>
      <c r="J41" s="134" t="inlineStr">
        <is>
          <t>خیر</t>
        </is>
      </c>
    </row>
    <row r="42">
      <c r="A42" s="173" t="n">
        <v>44963</v>
      </c>
      <c r="B42" s="174" t="n">
        <v>44963</v>
      </c>
      <c r="C42" s="174" t="n">
        <v>1401</v>
      </c>
      <c r="D42" s="174" t="n">
        <v>11</v>
      </c>
      <c r="E42" s="175" t="inlineStr">
        <is>
          <t>1401/11/17</t>
        </is>
      </c>
      <c r="F42" s="128" t="inlineStr">
        <is>
          <t>1401/11</t>
        </is>
      </c>
      <c r="G42" s="58" t="inlineStr">
        <is>
          <t>بهمن</t>
        </is>
      </c>
      <c r="H42" s="128" t="inlineStr">
        <is>
          <t>زمستان</t>
        </is>
      </c>
      <c r="I42" s="128" t="inlineStr">
        <is>
          <t>دوشنبه</t>
        </is>
      </c>
      <c r="J42" s="128" t="inlineStr">
        <is>
          <t>بله</t>
        </is>
      </c>
    </row>
    <row r="43">
      <c r="A43" s="176" t="n">
        <v>44964</v>
      </c>
      <c r="B43" s="177" t="n">
        <v>44964</v>
      </c>
      <c r="C43" s="177" t="n">
        <v>1401</v>
      </c>
      <c r="D43" s="177" t="n">
        <v>11</v>
      </c>
      <c r="E43" s="178" t="inlineStr">
        <is>
          <t>1401/11/18</t>
        </is>
      </c>
      <c r="F43" s="134" t="inlineStr">
        <is>
          <t>1401/11</t>
        </is>
      </c>
      <c r="G43" s="61" t="inlineStr">
        <is>
          <t>بهمن</t>
        </is>
      </c>
      <c r="H43" s="134" t="inlineStr">
        <is>
          <t>زمستان</t>
        </is>
      </c>
      <c r="I43" s="134" t="inlineStr">
        <is>
          <t>سه‌شنبه</t>
        </is>
      </c>
      <c r="J43" s="134" t="inlineStr">
        <is>
          <t>بله</t>
        </is>
      </c>
    </row>
    <row r="44">
      <c r="A44" s="173" t="n">
        <v>44965</v>
      </c>
      <c r="B44" s="174" t="n">
        <v>44965</v>
      </c>
      <c r="C44" s="174" t="n">
        <v>1401</v>
      </c>
      <c r="D44" s="174" t="n">
        <v>11</v>
      </c>
      <c r="E44" s="175" t="inlineStr">
        <is>
          <t>1401/11/19</t>
        </is>
      </c>
      <c r="F44" s="128" t="inlineStr">
        <is>
          <t>1401/11</t>
        </is>
      </c>
      <c r="G44" s="58" t="inlineStr">
        <is>
          <t>بهمن</t>
        </is>
      </c>
      <c r="H44" s="128" t="inlineStr">
        <is>
          <t>زمستان</t>
        </is>
      </c>
      <c r="I44" s="128" t="inlineStr">
        <is>
          <t>چهارشنبه</t>
        </is>
      </c>
      <c r="J44" s="128" t="inlineStr">
        <is>
          <t>بله</t>
        </is>
      </c>
    </row>
    <row r="45">
      <c r="A45" s="176" t="n">
        <v>44966</v>
      </c>
      <c r="B45" s="177" t="n">
        <v>44966</v>
      </c>
      <c r="C45" s="177" t="n">
        <v>1401</v>
      </c>
      <c r="D45" s="177" t="n">
        <v>11</v>
      </c>
      <c r="E45" s="178" t="inlineStr">
        <is>
          <t>1401/11/20</t>
        </is>
      </c>
      <c r="F45" s="134" t="inlineStr">
        <is>
          <t>1401/11</t>
        </is>
      </c>
      <c r="G45" s="61" t="inlineStr">
        <is>
          <t>بهمن</t>
        </is>
      </c>
      <c r="H45" s="134" t="inlineStr">
        <is>
          <t>زمستان</t>
        </is>
      </c>
      <c r="I45" s="134" t="inlineStr">
        <is>
          <t>پنجشنبه</t>
        </is>
      </c>
      <c r="J45" s="134" t="inlineStr">
        <is>
          <t>بله</t>
        </is>
      </c>
    </row>
    <row r="46">
      <c r="A46" s="173" t="n">
        <v>44967</v>
      </c>
      <c r="B46" s="174" t="n">
        <v>44967</v>
      </c>
      <c r="C46" s="174" t="n">
        <v>1401</v>
      </c>
      <c r="D46" s="174" t="n">
        <v>11</v>
      </c>
      <c r="E46" s="175" t="inlineStr">
        <is>
          <t>1401/11/21</t>
        </is>
      </c>
      <c r="F46" s="128" t="inlineStr">
        <is>
          <t>1401/11</t>
        </is>
      </c>
      <c r="G46" s="58" t="inlineStr">
        <is>
          <t>بهمن</t>
        </is>
      </c>
      <c r="H46" s="128" t="inlineStr">
        <is>
          <t>زمستان</t>
        </is>
      </c>
      <c r="I46" s="128" t="inlineStr">
        <is>
          <t>جمعه</t>
        </is>
      </c>
      <c r="J46" s="128" t="inlineStr">
        <is>
          <t>بله</t>
        </is>
      </c>
    </row>
    <row r="47">
      <c r="A47" s="176" t="n">
        <v>44968</v>
      </c>
      <c r="B47" s="177" t="n">
        <v>44968</v>
      </c>
      <c r="C47" s="177" t="n">
        <v>1401</v>
      </c>
      <c r="D47" s="177" t="n">
        <v>11</v>
      </c>
      <c r="E47" s="178" t="inlineStr">
        <is>
          <t>1401/11/22</t>
        </is>
      </c>
      <c r="F47" s="134" t="inlineStr">
        <is>
          <t>1401/11</t>
        </is>
      </c>
      <c r="G47" s="61" t="inlineStr">
        <is>
          <t>بهمن</t>
        </is>
      </c>
      <c r="H47" s="134" t="inlineStr">
        <is>
          <t>زمستان</t>
        </is>
      </c>
      <c r="I47" s="134" t="inlineStr">
        <is>
          <t>شنبه</t>
        </is>
      </c>
      <c r="J47" s="134" t="inlineStr">
        <is>
          <t>خیر</t>
        </is>
      </c>
    </row>
    <row r="48">
      <c r="A48" s="173" t="n">
        <v>44969</v>
      </c>
      <c r="B48" s="174" t="n">
        <v>44969</v>
      </c>
      <c r="C48" s="174" t="n">
        <v>1401</v>
      </c>
      <c r="D48" s="174" t="n">
        <v>11</v>
      </c>
      <c r="E48" s="175" t="inlineStr">
        <is>
          <t>1401/11/23</t>
        </is>
      </c>
      <c r="F48" s="128" t="inlineStr">
        <is>
          <t>1401/11</t>
        </is>
      </c>
      <c r="G48" s="58" t="inlineStr">
        <is>
          <t>بهمن</t>
        </is>
      </c>
      <c r="H48" s="128" t="inlineStr">
        <is>
          <t>زمستان</t>
        </is>
      </c>
      <c r="I48" s="128" t="inlineStr">
        <is>
          <t>یکشنبه</t>
        </is>
      </c>
      <c r="J48" s="128" t="inlineStr">
        <is>
          <t>خیر</t>
        </is>
      </c>
    </row>
    <row r="49">
      <c r="A49" s="176" t="n">
        <v>44970</v>
      </c>
      <c r="B49" s="177" t="n">
        <v>44970</v>
      </c>
      <c r="C49" s="177" t="n">
        <v>1401</v>
      </c>
      <c r="D49" s="177" t="n">
        <v>11</v>
      </c>
      <c r="E49" s="178" t="inlineStr">
        <is>
          <t>1401/11/24</t>
        </is>
      </c>
      <c r="F49" s="134" t="inlineStr">
        <is>
          <t>1401/11</t>
        </is>
      </c>
      <c r="G49" s="61" t="inlineStr">
        <is>
          <t>بهمن</t>
        </is>
      </c>
      <c r="H49" s="134" t="inlineStr">
        <is>
          <t>زمستان</t>
        </is>
      </c>
      <c r="I49" s="134" t="inlineStr">
        <is>
          <t>دوشنبه</t>
        </is>
      </c>
      <c r="J49" s="134" t="inlineStr">
        <is>
          <t>بله</t>
        </is>
      </c>
    </row>
    <row r="50">
      <c r="A50" s="173" t="n">
        <v>44971</v>
      </c>
      <c r="B50" s="174" t="n">
        <v>44971</v>
      </c>
      <c r="C50" s="174" t="n">
        <v>1401</v>
      </c>
      <c r="D50" s="174" t="n">
        <v>11</v>
      </c>
      <c r="E50" s="175" t="inlineStr">
        <is>
          <t>1401/11/25</t>
        </is>
      </c>
      <c r="F50" s="128" t="inlineStr">
        <is>
          <t>1401/11</t>
        </is>
      </c>
      <c r="G50" s="58" t="inlineStr">
        <is>
          <t>بهمن</t>
        </is>
      </c>
      <c r="H50" s="128" t="inlineStr">
        <is>
          <t>زمستان</t>
        </is>
      </c>
      <c r="I50" s="128" t="inlineStr">
        <is>
          <t>سه‌شنبه</t>
        </is>
      </c>
      <c r="J50" s="128" t="inlineStr">
        <is>
          <t>بله</t>
        </is>
      </c>
    </row>
    <row r="51">
      <c r="A51" s="176" t="n">
        <v>44972</v>
      </c>
      <c r="B51" s="177" t="n">
        <v>44972</v>
      </c>
      <c r="C51" s="177" t="n">
        <v>1401</v>
      </c>
      <c r="D51" s="177" t="n">
        <v>11</v>
      </c>
      <c r="E51" s="178" t="inlineStr">
        <is>
          <t>1401/11/26</t>
        </is>
      </c>
      <c r="F51" s="134" t="inlineStr">
        <is>
          <t>1401/11</t>
        </is>
      </c>
      <c r="G51" s="61" t="inlineStr">
        <is>
          <t>بهمن</t>
        </is>
      </c>
      <c r="H51" s="134" t="inlineStr">
        <is>
          <t>زمستان</t>
        </is>
      </c>
      <c r="I51" s="134" t="inlineStr">
        <is>
          <t>چهارشنبه</t>
        </is>
      </c>
      <c r="J51" s="134" t="inlineStr">
        <is>
          <t>بله</t>
        </is>
      </c>
    </row>
    <row r="52">
      <c r="A52" s="173" t="n">
        <v>44973</v>
      </c>
      <c r="B52" s="174" t="n">
        <v>44973</v>
      </c>
      <c r="C52" s="174" t="n">
        <v>1401</v>
      </c>
      <c r="D52" s="174" t="n">
        <v>11</v>
      </c>
      <c r="E52" s="175" t="inlineStr">
        <is>
          <t>1401/11/27</t>
        </is>
      </c>
      <c r="F52" s="128" t="inlineStr">
        <is>
          <t>1401/11</t>
        </is>
      </c>
      <c r="G52" s="58" t="inlineStr">
        <is>
          <t>بهمن</t>
        </is>
      </c>
      <c r="H52" s="128" t="inlineStr">
        <is>
          <t>زمستان</t>
        </is>
      </c>
      <c r="I52" s="128" t="inlineStr">
        <is>
          <t>پنجشنبه</t>
        </is>
      </c>
      <c r="J52" s="128" t="inlineStr">
        <is>
          <t>بله</t>
        </is>
      </c>
    </row>
    <row r="53">
      <c r="A53" s="176" t="n">
        <v>44974</v>
      </c>
      <c r="B53" s="177" t="n">
        <v>44974</v>
      </c>
      <c r="C53" s="177" t="n">
        <v>1401</v>
      </c>
      <c r="D53" s="177" t="n">
        <v>11</v>
      </c>
      <c r="E53" s="178" t="inlineStr">
        <is>
          <t>1401/11/28</t>
        </is>
      </c>
      <c r="F53" s="134" t="inlineStr">
        <is>
          <t>1401/11</t>
        </is>
      </c>
      <c r="G53" s="61" t="inlineStr">
        <is>
          <t>بهمن</t>
        </is>
      </c>
      <c r="H53" s="134" t="inlineStr">
        <is>
          <t>زمستان</t>
        </is>
      </c>
      <c r="I53" s="134" t="inlineStr">
        <is>
          <t>جمعه</t>
        </is>
      </c>
      <c r="J53" s="134" t="inlineStr">
        <is>
          <t>بله</t>
        </is>
      </c>
    </row>
    <row r="54">
      <c r="A54" s="173" t="n">
        <v>44975</v>
      </c>
      <c r="B54" s="174" t="n">
        <v>44975</v>
      </c>
      <c r="C54" s="174" t="n">
        <v>1401</v>
      </c>
      <c r="D54" s="174" t="n">
        <v>11</v>
      </c>
      <c r="E54" s="175" t="inlineStr">
        <is>
          <t>1401/11/29</t>
        </is>
      </c>
      <c r="F54" s="128" t="inlineStr">
        <is>
          <t>1401/11</t>
        </is>
      </c>
      <c r="G54" s="58" t="inlineStr">
        <is>
          <t>بهمن</t>
        </is>
      </c>
      <c r="H54" s="128" t="inlineStr">
        <is>
          <t>زمستان</t>
        </is>
      </c>
      <c r="I54" s="128" t="inlineStr">
        <is>
          <t>شنبه</t>
        </is>
      </c>
      <c r="J54" s="128" t="inlineStr">
        <is>
          <t>خیر</t>
        </is>
      </c>
    </row>
    <row r="55">
      <c r="A55" s="176" t="n">
        <v>44976</v>
      </c>
      <c r="B55" s="177" t="n">
        <v>44976</v>
      </c>
      <c r="C55" s="177" t="n">
        <v>1401</v>
      </c>
      <c r="D55" s="177" t="n">
        <v>11</v>
      </c>
      <c r="E55" s="178" t="inlineStr">
        <is>
          <t>1401/11/30</t>
        </is>
      </c>
      <c r="F55" s="134" t="inlineStr">
        <is>
          <t>1401/11</t>
        </is>
      </c>
      <c r="G55" s="61" t="inlineStr">
        <is>
          <t>بهمن</t>
        </is>
      </c>
      <c r="H55" s="134" t="inlineStr">
        <is>
          <t>زمستان</t>
        </is>
      </c>
      <c r="I55" s="134" t="inlineStr">
        <is>
          <t>یکشنبه</t>
        </is>
      </c>
      <c r="J55" s="134" t="inlineStr">
        <is>
          <t>خیر</t>
        </is>
      </c>
    </row>
    <row r="56">
      <c r="A56" s="173" t="n">
        <v>44977</v>
      </c>
      <c r="B56" s="174" t="n">
        <v>44977</v>
      </c>
      <c r="C56" s="174" t="n">
        <v>1401</v>
      </c>
      <c r="D56" s="174" t="n">
        <v>12</v>
      </c>
      <c r="E56" s="175" t="inlineStr">
        <is>
          <t>1401/12/01</t>
        </is>
      </c>
      <c r="F56" s="128" t="inlineStr">
        <is>
          <t>1401/12</t>
        </is>
      </c>
      <c r="G56" s="58" t="inlineStr">
        <is>
          <t>اسفند</t>
        </is>
      </c>
      <c r="H56" s="128" t="inlineStr">
        <is>
          <t>زمستان</t>
        </is>
      </c>
      <c r="I56" s="128" t="inlineStr">
        <is>
          <t>دوشنبه</t>
        </is>
      </c>
      <c r="J56" s="128" t="inlineStr">
        <is>
          <t>بله</t>
        </is>
      </c>
    </row>
    <row r="57">
      <c r="A57" s="176" t="n">
        <v>44978</v>
      </c>
      <c r="B57" s="177" t="n">
        <v>44978</v>
      </c>
      <c r="C57" s="177" t="n">
        <v>1401</v>
      </c>
      <c r="D57" s="177" t="n">
        <v>12</v>
      </c>
      <c r="E57" s="178" t="inlineStr">
        <is>
          <t>1401/12/02</t>
        </is>
      </c>
      <c r="F57" s="134" t="inlineStr">
        <is>
          <t>1401/12</t>
        </is>
      </c>
      <c r="G57" s="61" t="inlineStr">
        <is>
          <t>اسفند</t>
        </is>
      </c>
      <c r="H57" s="134" t="inlineStr">
        <is>
          <t>زمستان</t>
        </is>
      </c>
      <c r="I57" s="134" t="inlineStr">
        <is>
          <t>سه‌شنبه</t>
        </is>
      </c>
      <c r="J57" s="134" t="inlineStr">
        <is>
          <t>بله</t>
        </is>
      </c>
    </row>
    <row r="58">
      <c r="A58" s="173" t="n">
        <v>44979</v>
      </c>
      <c r="B58" s="174" t="n">
        <v>44979</v>
      </c>
      <c r="C58" s="174" t="n">
        <v>1401</v>
      </c>
      <c r="D58" s="174" t="n">
        <v>12</v>
      </c>
      <c r="E58" s="175" t="inlineStr">
        <is>
          <t>1401/12/03</t>
        </is>
      </c>
      <c r="F58" s="128" t="inlineStr">
        <is>
          <t>1401/12</t>
        </is>
      </c>
      <c r="G58" s="58" t="inlineStr">
        <is>
          <t>اسفند</t>
        </is>
      </c>
      <c r="H58" s="128" t="inlineStr">
        <is>
          <t>زمستان</t>
        </is>
      </c>
      <c r="I58" s="128" t="inlineStr">
        <is>
          <t>چهارشنبه</t>
        </is>
      </c>
      <c r="J58" s="128" t="inlineStr">
        <is>
          <t>بله</t>
        </is>
      </c>
    </row>
    <row r="59">
      <c r="A59" s="176" t="n">
        <v>44980</v>
      </c>
      <c r="B59" s="177" t="n">
        <v>44980</v>
      </c>
      <c r="C59" s="177" t="n">
        <v>1401</v>
      </c>
      <c r="D59" s="177" t="n">
        <v>12</v>
      </c>
      <c r="E59" s="178" t="inlineStr">
        <is>
          <t>1401/12/04</t>
        </is>
      </c>
      <c r="F59" s="134" t="inlineStr">
        <is>
          <t>1401/12</t>
        </is>
      </c>
      <c r="G59" s="61" t="inlineStr">
        <is>
          <t>اسفند</t>
        </is>
      </c>
      <c r="H59" s="134" t="inlineStr">
        <is>
          <t>زمستان</t>
        </is>
      </c>
      <c r="I59" s="134" t="inlineStr">
        <is>
          <t>پنجشنبه</t>
        </is>
      </c>
      <c r="J59" s="134" t="inlineStr">
        <is>
          <t>بله</t>
        </is>
      </c>
    </row>
    <row r="60">
      <c r="A60" s="173" t="n">
        <v>44981</v>
      </c>
      <c r="B60" s="174" t="n">
        <v>44981</v>
      </c>
      <c r="C60" s="174" t="n">
        <v>1401</v>
      </c>
      <c r="D60" s="174" t="n">
        <v>12</v>
      </c>
      <c r="E60" s="175" t="inlineStr">
        <is>
          <t>1401/12/05</t>
        </is>
      </c>
      <c r="F60" s="128" t="inlineStr">
        <is>
          <t>1401/12</t>
        </is>
      </c>
      <c r="G60" s="58" t="inlineStr">
        <is>
          <t>اسفند</t>
        </is>
      </c>
      <c r="H60" s="128" t="inlineStr">
        <is>
          <t>زمستان</t>
        </is>
      </c>
      <c r="I60" s="128" t="inlineStr">
        <is>
          <t>جمعه</t>
        </is>
      </c>
      <c r="J60" s="128" t="inlineStr">
        <is>
          <t>بله</t>
        </is>
      </c>
    </row>
    <row r="61">
      <c r="A61" s="176" t="n">
        <v>44982</v>
      </c>
      <c r="B61" s="177" t="n">
        <v>44982</v>
      </c>
      <c r="C61" s="177" t="n">
        <v>1401</v>
      </c>
      <c r="D61" s="177" t="n">
        <v>12</v>
      </c>
      <c r="E61" s="178" t="inlineStr">
        <is>
          <t>1401/12/06</t>
        </is>
      </c>
      <c r="F61" s="134" t="inlineStr">
        <is>
          <t>1401/12</t>
        </is>
      </c>
      <c r="G61" s="61" t="inlineStr">
        <is>
          <t>اسفند</t>
        </is>
      </c>
      <c r="H61" s="134" t="inlineStr">
        <is>
          <t>زمستان</t>
        </is>
      </c>
      <c r="I61" s="134" t="inlineStr">
        <is>
          <t>شنبه</t>
        </is>
      </c>
      <c r="J61" s="134" t="inlineStr">
        <is>
          <t>خیر</t>
        </is>
      </c>
    </row>
    <row r="62">
      <c r="A62" s="173" t="n">
        <v>44983</v>
      </c>
      <c r="B62" s="174" t="n">
        <v>44983</v>
      </c>
      <c r="C62" s="174" t="n">
        <v>1401</v>
      </c>
      <c r="D62" s="174" t="n">
        <v>12</v>
      </c>
      <c r="E62" s="175" t="inlineStr">
        <is>
          <t>1401/12/07</t>
        </is>
      </c>
      <c r="F62" s="128" t="inlineStr">
        <is>
          <t>1401/12</t>
        </is>
      </c>
      <c r="G62" s="58" t="inlineStr">
        <is>
          <t>اسفند</t>
        </is>
      </c>
      <c r="H62" s="128" t="inlineStr">
        <is>
          <t>زمستان</t>
        </is>
      </c>
      <c r="I62" s="128" t="inlineStr">
        <is>
          <t>یکشنبه</t>
        </is>
      </c>
      <c r="J62" s="128" t="inlineStr">
        <is>
          <t>خیر</t>
        </is>
      </c>
    </row>
    <row r="63">
      <c r="A63" s="176" t="n">
        <v>44984</v>
      </c>
      <c r="B63" s="177" t="n">
        <v>44984</v>
      </c>
      <c r="C63" s="177" t="n">
        <v>1401</v>
      </c>
      <c r="D63" s="177" t="n">
        <v>12</v>
      </c>
      <c r="E63" s="178" t="inlineStr">
        <is>
          <t>1401/12/08</t>
        </is>
      </c>
      <c r="F63" s="134" t="inlineStr">
        <is>
          <t>1401/12</t>
        </is>
      </c>
      <c r="G63" s="61" t="inlineStr">
        <is>
          <t>اسفند</t>
        </is>
      </c>
      <c r="H63" s="134" t="inlineStr">
        <is>
          <t>زمستان</t>
        </is>
      </c>
      <c r="I63" s="134" t="inlineStr">
        <is>
          <t>دوشنبه</t>
        </is>
      </c>
      <c r="J63" s="134" t="inlineStr">
        <is>
          <t>بله</t>
        </is>
      </c>
    </row>
    <row r="64">
      <c r="A64" s="173" t="n">
        <v>44985</v>
      </c>
      <c r="B64" s="174" t="n">
        <v>44985</v>
      </c>
      <c r="C64" s="174" t="n">
        <v>1401</v>
      </c>
      <c r="D64" s="174" t="n">
        <v>12</v>
      </c>
      <c r="E64" s="175" t="inlineStr">
        <is>
          <t>1401/12/09</t>
        </is>
      </c>
      <c r="F64" s="128" t="inlineStr">
        <is>
          <t>1401/12</t>
        </is>
      </c>
      <c r="G64" s="58" t="inlineStr">
        <is>
          <t>اسفند</t>
        </is>
      </c>
      <c r="H64" s="128" t="inlineStr">
        <is>
          <t>زمستان</t>
        </is>
      </c>
      <c r="I64" s="128" t="inlineStr">
        <is>
          <t>سه‌شنبه</t>
        </is>
      </c>
      <c r="J64" s="128" t="inlineStr">
        <is>
          <t>بله</t>
        </is>
      </c>
    </row>
    <row r="65">
      <c r="A65" s="176" t="n">
        <v>44986</v>
      </c>
      <c r="B65" s="177" t="n">
        <v>44986</v>
      </c>
      <c r="C65" s="177" t="n">
        <v>1401</v>
      </c>
      <c r="D65" s="177" t="n">
        <v>12</v>
      </c>
      <c r="E65" s="178" t="inlineStr">
        <is>
          <t>1401/12/10</t>
        </is>
      </c>
      <c r="F65" s="134" t="inlineStr">
        <is>
          <t>1401/12</t>
        </is>
      </c>
      <c r="G65" s="61" t="inlineStr">
        <is>
          <t>اسفند</t>
        </is>
      </c>
      <c r="H65" s="134" t="inlineStr">
        <is>
          <t>زمستان</t>
        </is>
      </c>
      <c r="I65" s="134" t="inlineStr">
        <is>
          <t>چهارشنبه</t>
        </is>
      </c>
      <c r="J65" s="134" t="inlineStr">
        <is>
          <t>بله</t>
        </is>
      </c>
    </row>
    <row r="66">
      <c r="A66" s="173" t="n">
        <v>44987</v>
      </c>
      <c r="B66" s="174" t="n">
        <v>44987</v>
      </c>
      <c r="C66" s="174" t="n">
        <v>1401</v>
      </c>
      <c r="D66" s="174" t="n">
        <v>12</v>
      </c>
      <c r="E66" s="175" t="inlineStr">
        <is>
          <t>1401/12/11</t>
        </is>
      </c>
      <c r="F66" s="128" t="inlineStr">
        <is>
          <t>1401/12</t>
        </is>
      </c>
      <c r="G66" s="58" t="inlineStr">
        <is>
          <t>اسفند</t>
        </is>
      </c>
      <c r="H66" s="128" t="inlineStr">
        <is>
          <t>زمستان</t>
        </is>
      </c>
      <c r="I66" s="128" t="inlineStr">
        <is>
          <t>پنجشنبه</t>
        </is>
      </c>
      <c r="J66" s="128" t="inlineStr">
        <is>
          <t>بله</t>
        </is>
      </c>
    </row>
    <row r="67">
      <c r="A67" s="176" t="n">
        <v>44988</v>
      </c>
      <c r="B67" s="177" t="n">
        <v>44988</v>
      </c>
      <c r="C67" s="177" t="n">
        <v>1401</v>
      </c>
      <c r="D67" s="177" t="n">
        <v>12</v>
      </c>
      <c r="E67" s="178" t="inlineStr">
        <is>
          <t>1401/12/12</t>
        </is>
      </c>
      <c r="F67" s="134" t="inlineStr">
        <is>
          <t>1401/12</t>
        </is>
      </c>
      <c r="G67" s="61" t="inlineStr">
        <is>
          <t>اسفند</t>
        </is>
      </c>
      <c r="H67" s="134" t="inlineStr">
        <is>
          <t>زمستان</t>
        </is>
      </c>
      <c r="I67" s="134" t="inlineStr">
        <is>
          <t>جمعه</t>
        </is>
      </c>
      <c r="J67" s="134" t="inlineStr">
        <is>
          <t>بله</t>
        </is>
      </c>
    </row>
    <row r="68">
      <c r="A68" s="173" t="n">
        <v>44989</v>
      </c>
      <c r="B68" s="174" t="n">
        <v>44989</v>
      </c>
      <c r="C68" s="174" t="n">
        <v>1401</v>
      </c>
      <c r="D68" s="174" t="n">
        <v>12</v>
      </c>
      <c r="E68" s="175" t="inlineStr">
        <is>
          <t>1401/12/13</t>
        </is>
      </c>
      <c r="F68" s="128" t="inlineStr">
        <is>
          <t>1401/12</t>
        </is>
      </c>
      <c r="G68" s="58" t="inlineStr">
        <is>
          <t>اسفند</t>
        </is>
      </c>
      <c r="H68" s="128" t="inlineStr">
        <is>
          <t>زمستان</t>
        </is>
      </c>
      <c r="I68" s="128" t="inlineStr">
        <is>
          <t>شنبه</t>
        </is>
      </c>
      <c r="J68" s="128" t="inlineStr">
        <is>
          <t>خیر</t>
        </is>
      </c>
    </row>
    <row r="69">
      <c r="A69" s="176" t="n">
        <v>44990</v>
      </c>
      <c r="B69" s="177" t="n">
        <v>44990</v>
      </c>
      <c r="C69" s="177" t="n">
        <v>1401</v>
      </c>
      <c r="D69" s="177" t="n">
        <v>12</v>
      </c>
      <c r="E69" s="178" t="inlineStr">
        <is>
          <t>1401/12/14</t>
        </is>
      </c>
      <c r="F69" s="134" t="inlineStr">
        <is>
          <t>1401/12</t>
        </is>
      </c>
      <c r="G69" s="61" t="inlineStr">
        <is>
          <t>اسفند</t>
        </is>
      </c>
      <c r="H69" s="134" t="inlineStr">
        <is>
          <t>زمستان</t>
        </is>
      </c>
      <c r="I69" s="134" t="inlineStr">
        <is>
          <t>یکشنبه</t>
        </is>
      </c>
      <c r="J69" s="134" t="inlineStr">
        <is>
          <t>خیر</t>
        </is>
      </c>
    </row>
    <row r="70">
      <c r="A70" s="173" t="n">
        <v>44991</v>
      </c>
      <c r="B70" s="174" t="n">
        <v>44991</v>
      </c>
      <c r="C70" s="174" t="n">
        <v>1401</v>
      </c>
      <c r="D70" s="174" t="n">
        <v>12</v>
      </c>
      <c r="E70" s="175" t="inlineStr">
        <is>
          <t>1401/12/15</t>
        </is>
      </c>
      <c r="F70" s="128" t="inlineStr">
        <is>
          <t>1401/12</t>
        </is>
      </c>
      <c r="G70" s="58" t="inlineStr">
        <is>
          <t>اسفند</t>
        </is>
      </c>
      <c r="H70" s="128" t="inlineStr">
        <is>
          <t>زمستان</t>
        </is>
      </c>
      <c r="I70" s="128" t="inlineStr">
        <is>
          <t>دوشنبه</t>
        </is>
      </c>
      <c r="J70" s="128" t="inlineStr">
        <is>
          <t>بله</t>
        </is>
      </c>
    </row>
    <row r="71">
      <c r="A71" s="176" t="n">
        <v>44992</v>
      </c>
      <c r="B71" s="177" t="n">
        <v>44992</v>
      </c>
      <c r="C71" s="177" t="n">
        <v>1401</v>
      </c>
      <c r="D71" s="177" t="n">
        <v>12</v>
      </c>
      <c r="E71" s="178" t="inlineStr">
        <is>
          <t>1401/12/16</t>
        </is>
      </c>
      <c r="F71" s="134" t="inlineStr">
        <is>
          <t>1401/12</t>
        </is>
      </c>
      <c r="G71" s="61" t="inlineStr">
        <is>
          <t>اسفند</t>
        </is>
      </c>
      <c r="H71" s="134" t="inlineStr">
        <is>
          <t>زمستان</t>
        </is>
      </c>
      <c r="I71" s="134" t="inlineStr">
        <is>
          <t>سه‌شنبه</t>
        </is>
      </c>
      <c r="J71" s="134" t="inlineStr">
        <is>
          <t>بله</t>
        </is>
      </c>
    </row>
    <row r="72">
      <c r="A72" s="173" t="n">
        <v>44993</v>
      </c>
      <c r="B72" s="174" t="n">
        <v>44993</v>
      </c>
      <c r="C72" s="174" t="n">
        <v>1401</v>
      </c>
      <c r="D72" s="174" t="n">
        <v>12</v>
      </c>
      <c r="E72" s="175" t="inlineStr">
        <is>
          <t>1401/12/17</t>
        </is>
      </c>
      <c r="F72" s="128" t="inlineStr">
        <is>
          <t>1401/12</t>
        </is>
      </c>
      <c r="G72" s="58" t="inlineStr">
        <is>
          <t>اسفند</t>
        </is>
      </c>
      <c r="H72" s="128" t="inlineStr">
        <is>
          <t>زمستان</t>
        </is>
      </c>
      <c r="I72" s="128" t="inlineStr">
        <is>
          <t>چهارشنبه</t>
        </is>
      </c>
      <c r="J72" s="128" t="inlineStr">
        <is>
          <t>بله</t>
        </is>
      </c>
    </row>
    <row r="73">
      <c r="A73" s="176" t="n">
        <v>44994</v>
      </c>
      <c r="B73" s="177" t="n">
        <v>44994</v>
      </c>
      <c r="C73" s="177" t="n">
        <v>1401</v>
      </c>
      <c r="D73" s="177" t="n">
        <v>12</v>
      </c>
      <c r="E73" s="178" t="inlineStr">
        <is>
          <t>1401/12/18</t>
        </is>
      </c>
      <c r="F73" s="134" t="inlineStr">
        <is>
          <t>1401/12</t>
        </is>
      </c>
      <c r="G73" s="61" t="inlineStr">
        <is>
          <t>اسفند</t>
        </is>
      </c>
      <c r="H73" s="134" t="inlineStr">
        <is>
          <t>زمستان</t>
        </is>
      </c>
      <c r="I73" s="134" t="inlineStr">
        <is>
          <t>پنجشنبه</t>
        </is>
      </c>
      <c r="J73" s="134" t="inlineStr">
        <is>
          <t>بله</t>
        </is>
      </c>
    </row>
    <row r="74">
      <c r="A74" s="173" t="n">
        <v>44995</v>
      </c>
      <c r="B74" s="174" t="n">
        <v>44995</v>
      </c>
      <c r="C74" s="174" t="n">
        <v>1401</v>
      </c>
      <c r="D74" s="174" t="n">
        <v>12</v>
      </c>
      <c r="E74" s="175" t="inlineStr">
        <is>
          <t>1401/12/19</t>
        </is>
      </c>
      <c r="F74" s="128" t="inlineStr">
        <is>
          <t>1401/12</t>
        </is>
      </c>
      <c r="G74" s="58" t="inlineStr">
        <is>
          <t>اسفند</t>
        </is>
      </c>
      <c r="H74" s="128" t="inlineStr">
        <is>
          <t>زمستان</t>
        </is>
      </c>
      <c r="I74" s="128" t="inlineStr">
        <is>
          <t>جمعه</t>
        </is>
      </c>
      <c r="J74" s="128" t="inlineStr">
        <is>
          <t>بله</t>
        </is>
      </c>
    </row>
    <row r="75">
      <c r="A75" s="176" t="n">
        <v>44996</v>
      </c>
      <c r="B75" s="177" t="n">
        <v>44996</v>
      </c>
      <c r="C75" s="177" t="n">
        <v>1401</v>
      </c>
      <c r="D75" s="177" t="n">
        <v>12</v>
      </c>
      <c r="E75" s="178" t="inlineStr">
        <is>
          <t>1401/12/20</t>
        </is>
      </c>
      <c r="F75" s="134" t="inlineStr">
        <is>
          <t>1401/12</t>
        </is>
      </c>
      <c r="G75" s="61" t="inlineStr">
        <is>
          <t>اسفند</t>
        </is>
      </c>
      <c r="H75" s="134" t="inlineStr">
        <is>
          <t>زمستان</t>
        </is>
      </c>
      <c r="I75" s="134" t="inlineStr">
        <is>
          <t>شنبه</t>
        </is>
      </c>
      <c r="J75" s="134" t="inlineStr">
        <is>
          <t>خیر</t>
        </is>
      </c>
    </row>
    <row r="76">
      <c r="A76" s="173" t="n">
        <v>44997</v>
      </c>
      <c r="B76" s="174" t="n">
        <v>44997</v>
      </c>
      <c r="C76" s="174" t="n">
        <v>1401</v>
      </c>
      <c r="D76" s="174" t="n">
        <v>12</v>
      </c>
      <c r="E76" s="175" t="inlineStr">
        <is>
          <t>1401/12/21</t>
        </is>
      </c>
      <c r="F76" s="128" t="inlineStr">
        <is>
          <t>1401/12</t>
        </is>
      </c>
      <c r="G76" s="58" t="inlineStr">
        <is>
          <t>اسفند</t>
        </is>
      </c>
      <c r="H76" s="128" t="inlineStr">
        <is>
          <t>زمستان</t>
        </is>
      </c>
      <c r="I76" s="128" t="inlineStr">
        <is>
          <t>یکشنبه</t>
        </is>
      </c>
      <c r="J76" s="128" t="inlineStr">
        <is>
          <t>خیر</t>
        </is>
      </c>
    </row>
    <row r="77">
      <c r="A77" s="176" t="n">
        <v>44998</v>
      </c>
      <c r="B77" s="177" t="n">
        <v>44998</v>
      </c>
      <c r="C77" s="177" t="n">
        <v>1401</v>
      </c>
      <c r="D77" s="177" t="n">
        <v>12</v>
      </c>
      <c r="E77" s="178" t="inlineStr">
        <is>
          <t>1401/12/22</t>
        </is>
      </c>
      <c r="F77" s="134" t="inlineStr">
        <is>
          <t>1401/12</t>
        </is>
      </c>
      <c r="G77" s="61" t="inlineStr">
        <is>
          <t>اسفند</t>
        </is>
      </c>
      <c r="H77" s="134" t="inlineStr">
        <is>
          <t>زمستان</t>
        </is>
      </c>
      <c r="I77" s="134" t="inlineStr">
        <is>
          <t>دوشنبه</t>
        </is>
      </c>
      <c r="J77" s="134" t="inlineStr">
        <is>
          <t>بله</t>
        </is>
      </c>
    </row>
    <row r="78">
      <c r="A78" s="173" t="n">
        <v>44999</v>
      </c>
      <c r="B78" s="174" t="n">
        <v>44999</v>
      </c>
      <c r="C78" s="174" t="n">
        <v>1401</v>
      </c>
      <c r="D78" s="174" t="n">
        <v>12</v>
      </c>
      <c r="E78" s="175" t="inlineStr">
        <is>
          <t>1401/12/23</t>
        </is>
      </c>
      <c r="F78" s="128" t="inlineStr">
        <is>
          <t>1401/12</t>
        </is>
      </c>
      <c r="G78" s="58" t="inlineStr">
        <is>
          <t>اسفند</t>
        </is>
      </c>
      <c r="H78" s="128" t="inlineStr">
        <is>
          <t>زمستان</t>
        </is>
      </c>
      <c r="I78" s="128" t="inlineStr">
        <is>
          <t>سه‌شنبه</t>
        </is>
      </c>
      <c r="J78" s="128" t="inlineStr">
        <is>
          <t>بله</t>
        </is>
      </c>
    </row>
    <row r="79">
      <c r="A79" s="176" t="n">
        <v>45000</v>
      </c>
      <c r="B79" s="177" t="n">
        <v>45000</v>
      </c>
      <c r="C79" s="177" t="n">
        <v>1401</v>
      </c>
      <c r="D79" s="177" t="n">
        <v>12</v>
      </c>
      <c r="E79" s="178" t="inlineStr">
        <is>
          <t>1401/12/24</t>
        </is>
      </c>
      <c r="F79" s="134" t="inlineStr">
        <is>
          <t>1401/12</t>
        </is>
      </c>
      <c r="G79" s="61" t="inlineStr">
        <is>
          <t>اسفند</t>
        </is>
      </c>
      <c r="H79" s="134" t="inlineStr">
        <is>
          <t>زمستان</t>
        </is>
      </c>
      <c r="I79" s="134" t="inlineStr">
        <is>
          <t>چهارشنبه</t>
        </is>
      </c>
      <c r="J79" s="134" t="inlineStr">
        <is>
          <t>بله</t>
        </is>
      </c>
    </row>
    <row r="80">
      <c r="A80" s="173" t="n">
        <v>45001</v>
      </c>
      <c r="B80" s="174" t="n">
        <v>45001</v>
      </c>
      <c r="C80" s="174" t="n">
        <v>1401</v>
      </c>
      <c r="D80" s="174" t="n">
        <v>12</v>
      </c>
      <c r="E80" s="175" t="inlineStr">
        <is>
          <t>1401/12/25</t>
        </is>
      </c>
      <c r="F80" s="128" t="inlineStr">
        <is>
          <t>1401/12</t>
        </is>
      </c>
      <c r="G80" s="58" t="inlineStr">
        <is>
          <t>اسفند</t>
        </is>
      </c>
      <c r="H80" s="128" t="inlineStr">
        <is>
          <t>زمستان</t>
        </is>
      </c>
      <c r="I80" s="128" t="inlineStr">
        <is>
          <t>پنجشنبه</t>
        </is>
      </c>
      <c r="J80" s="128" t="inlineStr">
        <is>
          <t>بله</t>
        </is>
      </c>
    </row>
    <row r="81">
      <c r="A81" s="176" t="n">
        <v>45002</v>
      </c>
      <c r="B81" s="177" t="n">
        <v>45002</v>
      </c>
      <c r="C81" s="177" t="n">
        <v>1401</v>
      </c>
      <c r="D81" s="177" t="n">
        <v>12</v>
      </c>
      <c r="E81" s="178" t="inlineStr">
        <is>
          <t>1401/12/26</t>
        </is>
      </c>
      <c r="F81" s="134" t="inlineStr">
        <is>
          <t>1401/12</t>
        </is>
      </c>
      <c r="G81" s="61" t="inlineStr">
        <is>
          <t>اسفند</t>
        </is>
      </c>
      <c r="H81" s="134" t="inlineStr">
        <is>
          <t>زمستان</t>
        </is>
      </c>
      <c r="I81" s="134" t="inlineStr">
        <is>
          <t>جمعه</t>
        </is>
      </c>
      <c r="J81" s="134" t="inlineStr">
        <is>
          <t>بله</t>
        </is>
      </c>
    </row>
    <row r="82">
      <c r="A82" s="173" t="n">
        <v>45003</v>
      </c>
      <c r="B82" s="174" t="n">
        <v>45003</v>
      </c>
      <c r="C82" s="174" t="n">
        <v>1401</v>
      </c>
      <c r="D82" s="174" t="n">
        <v>12</v>
      </c>
      <c r="E82" s="175" t="inlineStr">
        <is>
          <t>1401/12/27</t>
        </is>
      </c>
      <c r="F82" s="128" t="inlineStr">
        <is>
          <t>1401/12</t>
        </is>
      </c>
      <c r="G82" s="58" t="inlineStr">
        <is>
          <t>اسفند</t>
        </is>
      </c>
      <c r="H82" s="128" t="inlineStr">
        <is>
          <t>زمستان</t>
        </is>
      </c>
      <c r="I82" s="128" t="inlineStr">
        <is>
          <t>شنبه</t>
        </is>
      </c>
      <c r="J82" s="128" t="inlineStr">
        <is>
          <t>خیر</t>
        </is>
      </c>
    </row>
    <row r="83">
      <c r="A83" s="176" t="n">
        <v>45004</v>
      </c>
      <c r="B83" s="177" t="n">
        <v>45004</v>
      </c>
      <c r="C83" s="177" t="n">
        <v>1401</v>
      </c>
      <c r="D83" s="177" t="n">
        <v>12</v>
      </c>
      <c r="E83" s="178" t="inlineStr">
        <is>
          <t>1401/12/28</t>
        </is>
      </c>
      <c r="F83" s="134" t="inlineStr">
        <is>
          <t>1401/12</t>
        </is>
      </c>
      <c r="G83" s="61" t="inlineStr">
        <is>
          <t>اسفند</t>
        </is>
      </c>
      <c r="H83" s="134" t="inlineStr">
        <is>
          <t>زمستان</t>
        </is>
      </c>
      <c r="I83" s="134" t="inlineStr">
        <is>
          <t>یکشنبه</t>
        </is>
      </c>
      <c r="J83" s="134" t="inlineStr">
        <is>
          <t>خیر</t>
        </is>
      </c>
    </row>
    <row r="84">
      <c r="A84" s="173" t="n">
        <v>45005</v>
      </c>
      <c r="B84" s="174" t="n">
        <v>45005</v>
      </c>
      <c r="C84" s="174" t="n">
        <v>1401</v>
      </c>
      <c r="D84" s="174" t="n">
        <v>12</v>
      </c>
      <c r="E84" s="175" t="inlineStr">
        <is>
          <t>1401/12/29</t>
        </is>
      </c>
      <c r="F84" s="128" t="inlineStr">
        <is>
          <t>1401/12</t>
        </is>
      </c>
      <c r="G84" s="58" t="inlineStr">
        <is>
          <t>اسفند</t>
        </is>
      </c>
      <c r="H84" s="128" t="inlineStr">
        <is>
          <t>زمستان</t>
        </is>
      </c>
      <c r="I84" s="128" t="inlineStr">
        <is>
          <t>دوشنبه</t>
        </is>
      </c>
      <c r="J84" s="128" t="inlineStr">
        <is>
          <t>بله</t>
        </is>
      </c>
    </row>
    <row r="85">
      <c r="A85" s="176" t="n">
        <v>45006</v>
      </c>
      <c r="B85" s="177" t="n">
        <v>45006</v>
      </c>
      <c r="C85" s="177" t="n">
        <v>1402</v>
      </c>
      <c r="D85" s="177" t="n">
        <v>1</v>
      </c>
      <c r="E85" s="178" t="inlineStr">
        <is>
          <t>1402/01/01</t>
        </is>
      </c>
      <c r="F85" s="134" t="inlineStr">
        <is>
          <t>1402/01</t>
        </is>
      </c>
      <c r="G85" s="61" t="inlineStr">
        <is>
          <t>فروردین</t>
        </is>
      </c>
      <c r="H85" s="134" t="inlineStr">
        <is>
          <t>بهار</t>
        </is>
      </c>
      <c r="I85" s="134" t="inlineStr">
        <is>
          <t>سه‌شنبه</t>
        </is>
      </c>
      <c r="J85" s="134" t="inlineStr">
        <is>
          <t>بله</t>
        </is>
      </c>
    </row>
    <row r="86">
      <c r="A86" s="173" t="n">
        <v>45007</v>
      </c>
      <c r="B86" s="174" t="n">
        <v>45007</v>
      </c>
      <c r="C86" s="174" t="n">
        <v>1402</v>
      </c>
      <c r="D86" s="174" t="n">
        <v>1</v>
      </c>
      <c r="E86" s="175" t="inlineStr">
        <is>
          <t>1402/01/02</t>
        </is>
      </c>
      <c r="F86" s="128" t="inlineStr">
        <is>
          <t>1402/01</t>
        </is>
      </c>
      <c r="G86" s="58" t="inlineStr">
        <is>
          <t>فروردین</t>
        </is>
      </c>
      <c r="H86" s="128" t="inlineStr">
        <is>
          <t>بهار</t>
        </is>
      </c>
      <c r="I86" s="128" t="inlineStr">
        <is>
          <t>چهارشنبه</t>
        </is>
      </c>
      <c r="J86" s="128" t="inlineStr">
        <is>
          <t>بله</t>
        </is>
      </c>
    </row>
    <row r="87">
      <c r="A87" s="176" t="n">
        <v>45008</v>
      </c>
      <c r="B87" s="177" t="n">
        <v>45008</v>
      </c>
      <c r="C87" s="177" t="n">
        <v>1402</v>
      </c>
      <c r="D87" s="177" t="n">
        <v>1</v>
      </c>
      <c r="E87" s="178" t="inlineStr">
        <is>
          <t>1402/01/03</t>
        </is>
      </c>
      <c r="F87" s="134" t="inlineStr">
        <is>
          <t>1402/01</t>
        </is>
      </c>
      <c r="G87" s="61" t="inlineStr">
        <is>
          <t>فروردین</t>
        </is>
      </c>
      <c r="H87" s="134" t="inlineStr">
        <is>
          <t>بهار</t>
        </is>
      </c>
      <c r="I87" s="134" t="inlineStr">
        <is>
          <t>پنجشنبه</t>
        </is>
      </c>
      <c r="J87" s="134" t="inlineStr">
        <is>
          <t>بله</t>
        </is>
      </c>
    </row>
    <row r="88">
      <c r="A88" s="173" t="n">
        <v>45009</v>
      </c>
      <c r="B88" s="174" t="n">
        <v>45009</v>
      </c>
      <c r="C88" s="174" t="n">
        <v>1402</v>
      </c>
      <c r="D88" s="174" t="n">
        <v>1</v>
      </c>
      <c r="E88" s="175" t="inlineStr">
        <is>
          <t>1402/01/04</t>
        </is>
      </c>
      <c r="F88" s="128" t="inlineStr">
        <is>
          <t>1402/01</t>
        </is>
      </c>
      <c r="G88" s="58" t="inlineStr">
        <is>
          <t>فروردین</t>
        </is>
      </c>
      <c r="H88" s="128" t="inlineStr">
        <is>
          <t>بهار</t>
        </is>
      </c>
      <c r="I88" s="128" t="inlineStr">
        <is>
          <t>جمعه</t>
        </is>
      </c>
      <c r="J88" s="128" t="inlineStr">
        <is>
          <t>بله</t>
        </is>
      </c>
    </row>
    <row r="89">
      <c r="A89" s="176" t="n">
        <v>45010</v>
      </c>
      <c r="B89" s="177" t="n">
        <v>45010</v>
      </c>
      <c r="C89" s="177" t="n">
        <v>1402</v>
      </c>
      <c r="D89" s="177" t="n">
        <v>1</v>
      </c>
      <c r="E89" s="178" t="inlineStr">
        <is>
          <t>1402/01/05</t>
        </is>
      </c>
      <c r="F89" s="134" t="inlineStr">
        <is>
          <t>1402/01</t>
        </is>
      </c>
      <c r="G89" s="61" t="inlineStr">
        <is>
          <t>فروردین</t>
        </is>
      </c>
      <c r="H89" s="134" t="inlineStr">
        <is>
          <t>بهار</t>
        </is>
      </c>
      <c r="I89" s="134" t="inlineStr">
        <is>
          <t>شنبه</t>
        </is>
      </c>
      <c r="J89" s="134" t="inlineStr">
        <is>
          <t>خیر</t>
        </is>
      </c>
    </row>
    <row r="90">
      <c r="A90" s="173" t="n">
        <v>45011</v>
      </c>
      <c r="B90" s="174" t="n">
        <v>45011</v>
      </c>
      <c r="C90" s="174" t="n">
        <v>1402</v>
      </c>
      <c r="D90" s="174" t="n">
        <v>1</v>
      </c>
      <c r="E90" s="175" t="inlineStr">
        <is>
          <t>1402/01/06</t>
        </is>
      </c>
      <c r="F90" s="128" t="inlineStr">
        <is>
          <t>1402/01</t>
        </is>
      </c>
      <c r="G90" s="58" t="inlineStr">
        <is>
          <t>فروردین</t>
        </is>
      </c>
      <c r="H90" s="128" t="inlineStr">
        <is>
          <t>بهار</t>
        </is>
      </c>
      <c r="I90" s="128" t="inlineStr">
        <is>
          <t>یکشنبه</t>
        </is>
      </c>
      <c r="J90" s="128" t="inlineStr">
        <is>
          <t>خیر</t>
        </is>
      </c>
    </row>
    <row r="91">
      <c r="A91" s="176" t="n">
        <v>45012</v>
      </c>
      <c r="B91" s="177" t="n">
        <v>45012</v>
      </c>
      <c r="C91" s="177" t="n">
        <v>1402</v>
      </c>
      <c r="D91" s="177" t="n">
        <v>1</v>
      </c>
      <c r="E91" s="178" t="inlineStr">
        <is>
          <t>1402/01/07</t>
        </is>
      </c>
      <c r="F91" s="134" t="inlineStr">
        <is>
          <t>1402/01</t>
        </is>
      </c>
      <c r="G91" s="61" t="inlineStr">
        <is>
          <t>فروردین</t>
        </is>
      </c>
      <c r="H91" s="134" t="inlineStr">
        <is>
          <t>بهار</t>
        </is>
      </c>
      <c r="I91" s="134" t="inlineStr">
        <is>
          <t>دوشنبه</t>
        </is>
      </c>
      <c r="J91" s="134" t="inlineStr">
        <is>
          <t>بله</t>
        </is>
      </c>
    </row>
    <row r="92">
      <c r="A92" s="173" t="n">
        <v>45013</v>
      </c>
      <c r="B92" s="174" t="n">
        <v>45013</v>
      </c>
      <c r="C92" s="174" t="n">
        <v>1402</v>
      </c>
      <c r="D92" s="174" t="n">
        <v>1</v>
      </c>
      <c r="E92" s="175" t="inlineStr">
        <is>
          <t>1402/01/08</t>
        </is>
      </c>
      <c r="F92" s="128" t="inlineStr">
        <is>
          <t>1402/01</t>
        </is>
      </c>
      <c r="G92" s="58" t="inlineStr">
        <is>
          <t>فروردین</t>
        </is>
      </c>
      <c r="H92" s="128" t="inlineStr">
        <is>
          <t>بهار</t>
        </is>
      </c>
      <c r="I92" s="128" t="inlineStr">
        <is>
          <t>سه‌شنبه</t>
        </is>
      </c>
      <c r="J92" s="128" t="inlineStr">
        <is>
          <t>بله</t>
        </is>
      </c>
    </row>
    <row r="93">
      <c r="A93" s="176" t="n">
        <v>45014</v>
      </c>
      <c r="B93" s="177" t="n">
        <v>45014</v>
      </c>
      <c r="C93" s="177" t="n">
        <v>1402</v>
      </c>
      <c r="D93" s="177" t="n">
        <v>1</v>
      </c>
      <c r="E93" s="178" t="inlineStr">
        <is>
          <t>1402/01/09</t>
        </is>
      </c>
      <c r="F93" s="134" t="inlineStr">
        <is>
          <t>1402/01</t>
        </is>
      </c>
      <c r="G93" s="61" t="inlineStr">
        <is>
          <t>فروردین</t>
        </is>
      </c>
      <c r="H93" s="134" t="inlineStr">
        <is>
          <t>بهار</t>
        </is>
      </c>
      <c r="I93" s="134" t="inlineStr">
        <is>
          <t>چهارشنبه</t>
        </is>
      </c>
      <c r="J93" s="134" t="inlineStr">
        <is>
          <t>بله</t>
        </is>
      </c>
    </row>
    <row r="94">
      <c r="A94" s="173" t="n">
        <v>45015</v>
      </c>
      <c r="B94" s="174" t="n">
        <v>45015</v>
      </c>
      <c r="C94" s="174" t="n">
        <v>1402</v>
      </c>
      <c r="D94" s="174" t="n">
        <v>1</v>
      </c>
      <c r="E94" s="175" t="inlineStr">
        <is>
          <t>1402/01/10</t>
        </is>
      </c>
      <c r="F94" s="128" t="inlineStr">
        <is>
          <t>1402/01</t>
        </is>
      </c>
      <c r="G94" s="58" t="inlineStr">
        <is>
          <t>فروردین</t>
        </is>
      </c>
      <c r="H94" s="128" t="inlineStr">
        <is>
          <t>بهار</t>
        </is>
      </c>
      <c r="I94" s="128" t="inlineStr">
        <is>
          <t>پنجشنبه</t>
        </is>
      </c>
      <c r="J94" s="128" t="inlineStr">
        <is>
          <t>بله</t>
        </is>
      </c>
    </row>
    <row r="95">
      <c r="A95" s="176" t="n">
        <v>45016</v>
      </c>
      <c r="B95" s="177" t="n">
        <v>45016</v>
      </c>
      <c r="C95" s="177" t="n">
        <v>1402</v>
      </c>
      <c r="D95" s="177" t="n">
        <v>1</v>
      </c>
      <c r="E95" s="178" t="inlineStr">
        <is>
          <t>1402/01/11</t>
        </is>
      </c>
      <c r="F95" s="134" t="inlineStr">
        <is>
          <t>1402/01</t>
        </is>
      </c>
      <c r="G95" s="61" t="inlineStr">
        <is>
          <t>فروردین</t>
        </is>
      </c>
      <c r="H95" s="134" t="inlineStr">
        <is>
          <t>بهار</t>
        </is>
      </c>
      <c r="I95" s="134" t="inlineStr">
        <is>
          <t>جمعه</t>
        </is>
      </c>
      <c r="J95" s="134" t="inlineStr">
        <is>
          <t>بله</t>
        </is>
      </c>
    </row>
    <row r="96">
      <c r="A96" s="173" t="n">
        <v>45017</v>
      </c>
      <c r="B96" s="174" t="n">
        <v>45017</v>
      </c>
      <c r="C96" s="174" t="n">
        <v>1402</v>
      </c>
      <c r="D96" s="174" t="n">
        <v>1</v>
      </c>
      <c r="E96" s="175" t="inlineStr">
        <is>
          <t>1402/01/12</t>
        </is>
      </c>
      <c r="F96" s="128" t="inlineStr">
        <is>
          <t>1402/01</t>
        </is>
      </c>
      <c r="G96" s="58" t="inlineStr">
        <is>
          <t>فروردین</t>
        </is>
      </c>
      <c r="H96" s="128" t="inlineStr">
        <is>
          <t>بهار</t>
        </is>
      </c>
      <c r="I96" s="128" t="inlineStr">
        <is>
          <t>شنبه</t>
        </is>
      </c>
      <c r="J96" s="128" t="inlineStr">
        <is>
          <t>خیر</t>
        </is>
      </c>
    </row>
    <row r="97">
      <c r="A97" s="176" t="n">
        <v>45018</v>
      </c>
      <c r="B97" s="177" t="n">
        <v>45018</v>
      </c>
      <c r="C97" s="177" t="n">
        <v>1402</v>
      </c>
      <c r="D97" s="177" t="n">
        <v>1</v>
      </c>
      <c r="E97" s="178" t="inlineStr">
        <is>
          <t>1402/01/13</t>
        </is>
      </c>
      <c r="F97" s="134" t="inlineStr">
        <is>
          <t>1402/01</t>
        </is>
      </c>
      <c r="G97" s="61" t="inlineStr">
        <is>
          <t>فروردین</t>
        </is>
      </c>
      <c r="H97" s="134" t="inlineStr">
        <is>
          <t>بهار</t>
        </is>
      </c>
      <c r="I97" s="134" t="inlineStr">
        <is>
          <t>یکشنبه</t>
        </is>
      </c>
      <c r="J97" s="134" t="inlineStr">
        <is>
          <t>خیر</t>
        </is>
      </c>
    </row>
    <row r="98">
      <c r="A98" s="173" t="n">
        <v>45019</v>
      </c>
      <c r="B98" s="174" t="n">
        <v>45019</v>
      </c>
      <c r="C98" s="174" t="n">
        <v>1402</v>
      </c>
      <c r="D98" s="174" t="n">
        <v>1</v>
      </c>
      <c r="E98" s="175" t="inlineStr">
        <is>
          <t>1402/01/14</t>
        </is>
      </c>
      <c r="F98" s="128" t="inlineStr">
        <is>
          <t>1402/01</t>
        </is>
      </c>
      <c r="G98" s="58" t="inlineStr">
        <is>
          <t>فروردین</t>
        </is>
      </c>
      <c r="H98" s="128" t="inlineStr">
        <is>
          <t>بهار</t>
        </is>
      </c>
      <c r="I98" s="128" t="inlineStr">
        <is>
          <t>دوشنبه</t>
        </is>
      </c>
      <c r="J98" s="128" t="inlineStr">
        <is>
          <t>بله</t>
        </is>
      </c>
    </row>
    <row r="99">
      <c r="A99" s="176" t="n">
        <v>45020</v>
      </c>
      <c r="B99" s="177" t="n">
        <v>45020</v>
      </c>
      <c r="C99" s="177" t="n">
        <v>1402</v>
      </c>
      <c r="D99" s="177" t="n">
        <v>1</v>
      </c>
      <c r="E99" s="178" t="inlineStr">
        <is>
          <t>1402/01/15</t>
        </is>
      </c>
      <c r="F99" s="134" t="inlineStr">
        <is>
          <t>1402/01</t>
        </is>
      </c>
      <c r="G99" s="61" t="inlineStr">
        <is>
          <t>فروردین</t>
        </is>
      </c>
      <c r="H99" s="134" t="inlineStr">
        <is>
          <t>بهار</t>
        </is>
      </c>
      <c r="I99" s="134" t="inlineStr">
        <is>
          <t>سه‌شنبه</t>
        </is>
      </c>
      <c r="J99" s="134" t="inlineStr">
        <is>
          <t>بله</t>
        </is>
      </c>
    </row>
    <row r="100">
      <c r="A100" s="173" t="n">
        <v>45021</v>
      </c>
      <c r="B100" s="174" t="n">
        <v>45021</v>
      </c>
      <c r="C100" s="174" t="n">
        <v>1402</v>
      </c>
      <c r="D100" s="174" t="n">
        <v>1</v>
      </c>
      <c r="E100" s="175" t="inlineStr">
        <is>
          <t>1402/01/16</t>
        </is>
      </c>
      <c r="F100" s="128" t="inlineStr">
        <is>
          <t>1402/01</t>
        </is>
      </c>
      <c r="G100" s="58" t="inlineStr">
        <is>
          <t>فروردین</t>
        </is>
      </c>
      <c r="H100" s="128" t="inlineStr">
        <is>
          <t>بهار</t>
        </is>
      </c>
      <c r="I100" s="128" t="inlineStr">
        <is>
          <t>چهارشنبه</t>
        </is>
      </c>
      <c r="J100" s="128" t="inlineStr">
        <is>
          <t>بله</t>
        </is>
      </c>
    </row>
    <row r="101">
      <c r="A101" s="176" t="n">
        <v>45022</v>
      </c>
      <c r="B101" s="177" t="n">
        <v>45022</v>
      </c>
      <c r="C101" s="177" t="n">
        <v>1402</v>
      </c>
      <c r="D101" s="177" t="n">
        <v>1</v>
      </c>
      <c r="E101" s="178" t="inlineStr">
        <is>
          <t>1402/01/17</t>
        </is>
      </c>
      <c r="F101" s="134" t="inlineStr">
        <is>
          <t>1402/01</t>
        </is>
      </c>
      <c r="G101" s="61" t="inlineStr">
        <is>
          <t>فروردین</t>
        </is>
      </c>
      <c r="H101" s="134" t="inlineStr">
        <is>
          <t>بهار</t>
        </is>
      </c>
      <c r="I101" s="134" t="inlineStr">
        <is>
          <t>پنجشنبه</t>
        </is>
      </c>
      <c r="J101" s="134" t="inlineStr">
        <is>
          <t>بله</t>
        </is>
      </c>
    </row>
    <row r="102">
      <c r="A102" s="173" t="n">
        <v>45023</v>
      </c>
      <c r="B102" s="174" t="n">
        <v>45023</v>
      </c>
      <c r="C102" s="174" t="n">
        <v>1402</v>
      </c>
      <c r="D102" s="174" t="n">
        <v>1</v>
      </c>
      <c r="E102" s="175" t="inlineStr">
        <is>
          <t>1402/01/18</t>
        </is>
      </c>
      <c r="F102" s="128" t="inlineStr">
        <is>
          <t>1402/01</t>
        </is>
      </c>
      <c r="G102" s="58" t="inlineStr">
        <is>
          <t>فروردین</t>
        </is>
      </c>
      <c r="H102" s="128" t="inlineStr">
        <is>
          <t>بهار</t>
        </is>
      </c>
      <c r="I102" s="128" t="inlineStr">
        <is>
          <t>جمعه</t>
        </is>
      </c>
      <c r="J102" s="128" t="inlineStr">
        <is>
          <t>بله</t>
        </is>
      </c>
    </row>
    <row r="103">
      <c r="A103" s="176" t="n">
        <v>45024</v>
      </c>
      <c r="B103" s="177" t="n">
        <v>45024</v>
      </c>
      <c r="C103" s="177" t="n">
        <v>1402</v>
      </c>
      <c r="D103" s="177" t="n">
        <v>1</v>
      </c>
      <c r="E103" s="178" t="inlineStr">
        <is>
          <t>1402/01/19</t>
        </is>
      </c>
      <c r="F103" s="134" t="inlineStr">
        <is>
          <t>1402/01</t>
        </is>
      </c>
      <c r="G103" s="61" t="inlineStr">
        <is>
          <t>فروردین</t>
        </is>
      </c>
      <c r="H103" s="134" t="inlineStr">
        <is>
          <t>بهار</t>
        </is>
      </c>
      <c r="I103" s="134" t="inlineStr">
        <is>
          <t>شنبه</t>
        </is>
      </c>
      <c r="J103" s="134" t="inlineStr">
        <is>
          <t>خیر</t>
        </is>
      </c>
    </row>
    <row r="104">
      <c r="A104" s="173" t="n">
        <v>45025</v>
      </c>
      <c r="B104" s="174" t="n">
        <v>45025</v>
      </c>
      <c r="C104" s="174" t="n">
        <v>1402</v>
      </c>
      <c r="D104" s="174" t="n">
        <v>1</v>
      </c>
      <c r="E104" s="175" t="inlineStr">
        <is>
          <t>1402/01/20</t>
        </is>
      </c>
      <c r="F104" s="128" t="inlineStr">
        <is>
          <t>1402/01</t>
        </is>
      </c>
      <c r="G104" s="58" t="inlineStr">
        <is>
          <t>فروردین</t>
        </is>
      </c>
      <c r="H104" s="128" t="inlineStr">
        <is>
          <t>بهار</t>
        </is>
      </c>
      <c r="I104" s="128" t="inlineStr">
        <is>
          <t>یکشنبه</t>
        </is>
      </c>
      <c r="J104" s="128" t="inlineStr">
        <is>
          <t>خیر</t>
        </is>
      </c>
    </row>
    <row r="105">
      <c r="A105" s="176" t="n">
        <v>45026</v>
      </c>
      <c r="B105" s="177" t="n">
        <v>45026</v>
      </c>
      <c r="C105" s="177" t="n">
        <v>1402</v>
      </c>
      <c r="D105" s="177" t="n">
        <v>1</v>
      </c>
      <c r="E105" s="178" t="inlineStr">
        <is>
          <t>1402/01/21</t>
        </is>
      </c>
      <c r="F105" s="134" t="inlineStr">
        <is>
          <t>1402/01</t>
        </is>
      </c>
      <c r="G105" s="61" t="inlineStr">
        <is>
          <t>فروردین</t>
        </is>
      </c>
      <c r="H105" s="134" t="inlineStr">
        <is>
          <t>بهار</t>
        </is>
      </c>
      <c r="I105" s="134" t="inlineStr">
        <is>
          <t>دوشنبه</t>
        </is>
      </c>
      <c r="J105" s="134" t="inlineStr">
        <is>
          <t>بله</t>
        </is>
      </c>
    </row>
    <row r="106">
      <c r="A106" s="173" t="n">
        <v>45027</v>
      </c>
      <c r="B106" s="174" t="n">
        <v>45027</v>
      </c>
      <c r="C106" s="174" t="n">
        <v>1402</v>
      </c>
      <c r="D106" s="174" t="n">
        <v>1</v>
      </c>
      <c r="E106" s="175" t="inlineStr">
        <is>
          <t>1402/01/22</t>
        </is>
      </c>
      <c r="F106" s="128" t="inlineStr">
        <is>
          <t>1402/01</t>
        </is>
      </c>
      <c r="G106" s="58" t="inlineStr">
        <is>
          <t>فروردین</t>
        </is>
      </c>
      <c r="H106" s="128" t="inlineStr">
        <is>
          <t>بهار</t>
        </is>
      </c>
      <c r="I106" s="128" t="inlineStr">
        <is>
          <t>سه‌شنبه</t>
        </is>
      </c>
      <c r="J106" s="128" t="inlineStr">
        <is>
          <t>بله</t>
        </is>
      </c>
    </row>
    <row r="107">
      <c r="A107" s="176" t="n">
        <v>45028</v>
      </c>
      <c r="B107" s="177" t="n">
        <v>45028</v>
      </c>
      <c r="C107" s="177" t="n">
        <v>1402</v>
      </c>
      <c r="D107" s="177" t="n">
        <v>1</v>
      </c>
      <c r="E107" s="178" t="inlineStr">
        <is>
          <t>1402/01/23</t>
        </is>
      </c>
      <c r="F107" s="134" t="inlineStr">
        <is>
          <t>1402/01</t>
        </is>
      </c>
      <c r="G107" s="61" t="inlineStr">
        <is>
          <t>فروردین</t>
        </is>
      </c>
      <c r="H107" s="134" t="inlineStr">
        <is>
          <t>بهار</t>
        </is>
      </c>
      <c r="I107" s="134" t="inlineStr">
        <is>
          <t>چهارشنبه</t>
        </is>
      </c>
      <c r="J107" s="134" t="inlineStr">
        <is>
          <t>بله</t>
        </is>
      </c>
    </row>
    <row r="108">
      <c r="A108" s="173" t="n">
        <v>45029</v>
      </c>
      <c r="B108" s="174" t="n">
        <v>45029</v>
      </c>
      <c r="C108" s="174" t="n">
        <v>1402</v>
      </c>
      <c r="D108" s="174" t="n">
        <v>1</v>
      </c>
      <c r="E108" s="175" t="inlineStr">
        <is>
          <t>1402/01/24</t>
        </is>
      </c>
      <c r="F108" s="128" t="inlineStr">
        <is>
          <t>1402/01</t>
        </is>
      </c>
      <c r="G108" s="58" t="inlineStr">
        <is>
          <t>فروردین</t>
        </is>
      </c>
      <c r="H108" s="128" t="inlineStr">
        <is>
          <t>بهار</t>
        </is>
      </c>
      <c r="I108" s="128" t="inlineStr">
        <is>
          <t>پنجشنبه</t>
        </is>
      </c>
      <c r="J108" s="128" t="inlineStr">
        <is>
          <t>بله</t>
        </is>
      </c>
    </row>
    <row r="109">
      <c r="A109" s="176" t="n">
        <v>45030</v>
      </c>
      <c r="B109" s="177" t="n">
        <v>45030</v>
      </c>
      <c r="C109" s="177" t="n">
        <v>1402</v>
      </c>
      <c r="D109" s="177" t="n">
        <v>1</v>
      </c>
      <c r="E109" s="178" t="inlineStr">
        <is>
          <t>1402/01/25</t>
        </is>
      </c>
      <c r="F109" s="134" t="inlineStr">
        <is>
          <t>1402/01</t>
        </is>
      </c>
      <c r="G109" s="61" t="inlineStr">
        <is>
          <t>فروردین</t>
        </is>
      </c>
      <c r="H109" s="134" t="inlineStr">
        <is>
          <t>بهار</t>
        </is>
      </c>
      <c r="I109" s="134" t="inlineStr">
        <is>
          <t>جمعه</t>
        </is>
      </c>
      <c r="J109" s="134" t="inlineStr">
        <is>
          <t>بله</t>
        </is>
      </c>
    </row>
    <row r="110">
      <c r="A110" s="173" t="n">
        <v>45031</v>
      </c>
      <c r="B110" s="174" t="n">
        <v>45031</v>
      </c>
      <c r="C110" s="174" t="n">
        <v>1402</v>
      </c>
      <c r="D110" s="174" t="n">
        <v>1</v>
      </c>
      <c r="E110" s="175" t="inlineStr">
        <is>
          <t>1402/01/26</t>
        </is>
      </c>
      <c r="F110" s="128" t="inlineStr">
        <is>
          <t>1402/01</t>
        </is>
      </c>
      <c r="G110" s="58" t="inlineStr">
        <is>
          <t>فروردین</t>
        </is>
      </c>
      <c r="H110" s="128" t="inlineStr">
        <is>
          <t>بهار</t>
        </is>
      </c>
      <c r="I110" s="128" t="inlineStr">
        <is>
          <t>شنبه</t>
        </is>
      </c>
      <c r="J110" s="128" t="inlineStr">
        <is>
          <t>خیر</t>
        </is>
      </c>
    </row>
    <row r="111">
      <c r="A111" s="176" t="n">
        <v>45032</v>
      </c>
      <c r="B111" s="177" t="n">
        <v>45032</v>
      </c>
      <c r="C111" s="177" t="n">
        <v>1402</v>
      </c>
      <c r="D111" s="177" t="n">
        <v>1</v>
      </c>
      <c r="E111" s="178" t="inlineStr">
        <is>
          <t>1402/01/27</t>
        </is>
      </c>
      <c r="F111" s="134" t="inlineStr">
        <is>
          <t>1402/01</t>
        </is>
      </c>
      <c r="G111" s="61" t="inlineStr">
        <is>
          <t>فروردین</t>
        </is>
      </c>
      <c r="H111" s="134" t="inlineStr">
        <is>
          <t>بهار</t>
        </is>
      </c>
      <c r="I111" s="134" t="inlineStr">
        <is>
          <t>یکشنبه</t>
        </is>
      </c>
      <c r="J111" s="134" t="inlineStr">
        <is>
          <t>خیر</t>
        </is>
      </c>
    </row>
    <row r="112">
      <c r="A112" s="173" t="n">
        <v>45033</v>
      </c>
      <c r="B112" s="174" t="n">
        <v>45033</v>
      </c>
      <c r="C112" s="174" t="n">
        <v>1402</v>
      </c>
      <c r="D112" s="174" t="n">
        <v>1</v>
      </c>
      <c r="E112" s="175" t="inlineStr">
        <is>
          <t>1402/01/28</t>
        </is>
      </c>
      <c r="F112" s="128" t="inlineStr">
        <is>
          <t>1402/01</t>
        </is>
      </c>
      <c r="G112" s="58" t="inlineStr">
        <is>
          <t>فروردین</t>
        </is>
      </c>
      <c r="H112" s="128" t="inlineStr">
        <is>
          <t>بهار</t>
        </is>
      </c>
      <c r="I112" s="128" t="inlineStr">
        <is>
          <t>دوشنبه</t>
        </is>
      </c>
      <c r="J112" s="128" t="inlineStr">
        <is>
          <t>بله</t>
        </is>
      </c>
    </row>
    <row r="113">
      <c r="A113" s="176" t="n">
        <v>45034</v>
      </c>
      <c r="B113" s="177" t="n">
        <v>45034</v>
      </c>
      <c r="C113" s="177" t="n">
        <v>1402</v>
      </c>
      <c r="D113" s="177" t="n">
        <v>1</v>
      </c>
      <c r="E113" s="178" t="inlineStr">
        <is>
          <t>1402/01/29</t>
        </is>
      </c>
      <c r="F113" s="134" t="inlineStr">
        <is>
          <t>1402/01</t>
        </is>
      </c>
      <c r="G113" s="61" t="inlineStr">
        <is>
          <t>فروردین</t>
        </is>
      </c>
      <c r="H113" s="134" t="inlineStr">
        <is>
          <t>بهار</t>
        </is>
      </c>
      <c r="I113" s="134" t="inlineStr">
        <is>
          <t>سه‌شنبه</t>
        </is>
      </c>
      <c r="J113" s="134" t="inlineStr">
        <is>
          <t>بله</t>
        </is>
      </c>
    </row>
    <row r="114">
      <c r="A114" s="173" t="n">
        <v>45035</v>
      </c>
      <c r="B114" s="174" t="n">
        <v>45035</v>
      </c>
      <c r="C114" s="174" t="n">
        <v>1402</v>
      </c>
      <c r="D114" s="174" t="n">
        <v>1</v>
      </c>
      <c r="E114" s="175" t="inlineStr">
        <is>
          <t>1402/01/30</t>
        </is>
      </c>
      <c r="F114" s="128" t="inlineStr">
        <is>
          <t>1402/01</t>
        </is>
      </c>
      <c r="G114" s="58" t="inlineStr">
        <is>
          <t>فروردین</t>
        </is>
      </c>
      <c r="H114" s="128" t="inlineStr">
        <is>
          <t>بهار</t>
        </is>
      </c>
      <c r="I114" s="128" t="inlineStr">
        <is>
          <t>چهارشنبه</t>
        </is>
      </c>
      <c r="J114" s="128" t="inlineStr">
        <is>
          <t>بله</t>
        </is>
      </c>
    </row>
    <row r="115">
      <c r="A115" s="176" t="n">
        <v>45036</v>
      </c>
      <c r="B115" s="177" t="n">
        <v>45036</v>
      </c>
      <c r="C115" s="177" t="n">
        <v>1402</v>
      </c>
      <c r="D115" s="177" t="n">
        <v>1</v>
      </c>
      <c r="E115" s="178" t="inlineStr">
        <is>
          <t>1402/01/31</t>
        </is>
      </c>
      <c r="F115" s="134" t="inlineStr">
        <is>
          <t>1402/01</t>
        </is>
      </c>
      <c r="G115" s="61" t="inlineStr">
        <is>
          <t>فروردین</t>
        </is>
      </c>
      <c r="H115" s="134" t="inlineStr">
        <is>
          <t>بهار</t>
        </is>
      </c>
      <c r="I115" s="134" t="inlineStr">
        <is>
          <t>پنجشنبه</t>
        </is>
      </c>
      <c r="J115" s="134" t="inlineStr">
        <is>
          <t>بله</t>
        </is>
      </c>
    </row>
    <row r="116">
      <c r="A116" s="173" t="n">
        <v>45037</v>
      </c>
      <c r="B116" s="174" t="n">
        <v>45037</v>
      </c>
      <c r="C116" s="174" t="n">
        <v>1402</v>
      </c>
      <c r="D116" s="174" t="n">
        <v>2</v>
      </c>
      <c r="E116" s="175" t="inlineStr">
        <is>
          <t>1402/02/01</t>
        </is>
      </c>
      <c r="F116" s="128" t="inlineStr">
        <is>
          <t>1402/02</t>
        </is>
      </c>
      <c r="G116" s="58" t="inlineStr">
        <is>
          <t>اردیبهشت</t>
        </is>
      </c>
      <c r="H116" s="128" t="inlineStr">
        <is>
          <t>بهار</t>
        </is>
      </c>
      <c r="I116" s="128" t="inlineStr">
        <is>
          <t>جمعه</t>
        </is>
      </c>
      <c r="J116" s="128" t="inlineStr">
        <is>
          <t>بله</t>
        </is>
      </c>
    </row>
    <row r="117">
      <c r="A117" s="176" t="n">
        <v>45038</v>
      </c>
      <c r="B117" s="177" t="n">
        <v>45038</v>
      </c>
      <c r="C117" s="177" t="n">
        <v>1402</v>
      </c>
      <c r="D117" s="177" t="n">
        <v>2</v>
      </c>
      <c r="E117" s="178" t="inlineStr">
        <is>
          <t>1402/02/02</t>
        </is>
      </c>
      <c r="F117" s="134" t="inlineStr">
        <is>
          <t>1402/02</t>
        </is>
      </c>
      <c r="G117" s="61" t="inlineStr">
        <is>
          <t>اردیبهشت</t>
        </is>
      </c>
      <c r="H117" s="134" t="inlineStr">
        <is>
          <t>بهار</t>
        </is>
      </c>
      <c r="I117" s="134" t="inlineStr">
        <is>
          <t>شنبه</t>
        </is>
      </c>
      <c r="J117" s="134" t="inlineStr">
        <is>
          <t>خیر</t>
        </is>
      </c>
    </row>
    <row r="118">
      <c r="A118" s="173" t="n">
        <v>45039</v>
      </c>
      <c r="B118" s="174" t="n">
        <v>45039</v>
      </c>
      <c r="C118" s="174" t="n">
        <v>1402</v>
      </c>
      <c r="D118" s="174" t="n">
        <v>2</v>
      </c>
      <c r="E118" s="175" t="inlineStr">
        <is>
          <t>1402/02/03</t>
        </is>
      </c>
      <c r="F118" s="128" t="inlineStr">
        <is>
          <t>1402/02</t>
        </is>
      </c>
      <c r="G118" s="58" t="inlineStr">
        <is>
          <t>اردیبهشت</t>
        </is>
      </c>
      <c r="H118" s="128" t="inlineStr">
        <is>
          <t>بهار</t>
        </is>
      </c>
      <c r="I118" s="128" t="inlineStr">
        <is>
          <t>یکشنبه</t>
        </is>
      </c>
      <c r="J118" s="128" t="inlineStr">
        <is>
          <t>خیر</t>
        </is>
      </c>
    </row>
    <row r="119">
      <c r="A119" s="176" t="n">
        <v>45040</v>
      </c>
      <c r="B119" s="177" t="n">
        <v>45040</v>
      </c>
      <c r="C119" s="177" t="n">
        <v>1402</v>
      </c>
      <c r="D119" s="177" t="n">
        <v>2</v>
      </c>
      <c r="E119" s="178" t="inlineStr">
        <is>
          <t>1402/02/04</t>
        </is>
      </c>
      <c r="F119" s="134" t="inlineStr">
        <is>
          <t>1402/02</t>
        </is>
      </c>
      <c r="G119" s="61" t="inlineStr">
        <is>
          <t>اردیبهشت</t>
        </is>
      </c>
      <c r="H119" s="134" t="inlineStr">
        <is>
          <t>بهار</t>
        </is>
      </c>
      <c r="I119" s="134" t="inlineStr">
        <is>
          <t>دوشنبه</t>
        </is>
      </c>
      <c r="J119" s="134" t="inlineStr">
        <is>
          <t>بله</t>
        </is>
      </c>
    </row>
    <row r="120">
      <c r="A120" s="173" t="n">
        <v>45041</v>
      </c>
      <c r="B120" s="174" t="n">
        <v>45041</v>
      </c>
      <c r="C120" s="174" t="n">
        <v>1402</v>
      </c>
      <c r="D120" s="174" t="n">
        <v>2</v>
      </c>
      <c r="E120" s="175" t="inlineStr">
        <is>
          <t>1402/02/05</t>
        </is>
      </c>
      <c r="F120" s="128" t="inlineStr">
        <is>
          <t>1402/02</t>
        </is>
      </c>
      <c r="G120" s="58" t="inlineStr">
        <is>
          <t>اردیبهشت</t>
        </is>
      </c>
      <c r="H120" s="128" t="inlineStr">
        <is>
          <t>بهار</t>
        </is>
      </c>
      <c r="I120" s="128" t="inlineStr">
        <is>
          <t>سه‌شنبه</t>
        </is>
      </c>
      <c r="J120" s="128" t="inlineStr">
        <is>
          <t>بله</t>
        </is>
      </c>
    </row>
    <row r="121">
      <c r="A121" s="176" t="n">
        <v>45042</v>
      </c>
      <c r="B121" s="177" t="n">
        <v>45042</v>
      </c>
      <c r="C121" s="177" t="n">
        <v>1402</v>
      </c>
      <c r="D121" s="177" t="n">
        <v>2</v>
      </c>
      <c r="E121" s="178" t="inlineStr">
        <is>
          <t>1402/02/06</t>
        </is>
      </c>
      <c r="F121" s="134" t="inlineStr">
        <is>
          <t>1402/02</t>
        </is>
      </c>
      <c r="G121" s="61" t="inlineStr">
        <is>
          <t>اردیبهشت</t>
        </is>
      </c>
      <c r="H121" s="134" t="inlineStr">
        <is>
          <t>بهار</t>
        </is>
      </c>
      <c r="I121" s="134" t="inlineStr">
        <is>
          <t>چهارشنبه</t>
        </is>
      </c>
      <c r="J121" s="134" t="inlineStr">
        <is>
          <t>بله</t>
        </is>
      </c>
    </row>
    <row r="122">
      <c r="A122" s="173" t="n">
        <v>45043</v>
      </c>
      <c r="B122" s="174" t="n">
        <v>45043</v>
      </c>
      <c r="C122" s="174" t="n">
        <v>1402</v>
      </c>
      <c r="D122" s="174" t="n">
        <v>2</v>
      </c>
      <c r="E122" s="175" t="inlineStr">
        <is>
          <t>1402/02/07</t>
        </is>
      </c>
      <c r="F122" s="128" t="inlineStr">
        <is>
          <t>1402/02</t>
        </is>
      </c>
      <c r="G122" s="58" t="inlineStr">
        <is>
          <t>اردیبهشت</t>
        </is>
      </c>
      <c r="H122" s="128" t="inlineStr">
        <is>
          <t>بهار</t>
        </is>
      </c>
      <c r="I122" s="128" t="inlineStr">
        <is>
          <t>پنجشنبه</t>
        </is>
      </c>
      <c r="J122" s="128" t="inlineStr">
        <is>
          <t>بله</t>
        </is>
      </c>
    </row>
    <row r="123">
      <c r="A123" s="176" t="n">
        <v>45044</v>
      </c>
      <c r="B123" s="177" t="n">
        <v>45044</v>
      </c>
      <c r="C123" s="177" t="n">
        <v>1402</v>
      </c>
      <c r="D123" s="177" t="n">
        <v>2</v>
      </c>
      <c r="E123" s="178" t="inlineStr">
        <is>
          <t>1402/02/08</t>
        </is>
      </c>
      <c r="F123" s="134" t="inlineStr">
        <is>
          <t>1402/02</t>
        </is>
      </c>
      <c r="G123" s="61" t="inlineStr">
        <is>
          <t>اردیبهشت</t>
        </is>
      </c>
      <c r="H123" s="134" t="inlineStr">
        <is>
          <t>بهار</t>
        </is>
      </c>
      <c r="I123" s="134" t="inlineStr">
        <is>
          <t>جمعه</t>
        </is>
      </c>
      <c r="J123" s="134" t="inlineStr">
        <is>
          <t>بله</t>
        </is>
      </c>
    </row>
    <row r="124">
      <c r="A124" s="173" t="n">
        <v>45045</v>
      </c>
      <c r="B124" s="174" t="n">
        <v>45045</v>
      </c>
      <c r="C124" s="174" t="n">
        <v>1402</v>
      </c>
      <c r="D124" s="174" t="n">
        <v>2</v>
      </c>
      <c r="E124" s="175" t="inlineStr">
        <is>
          <t>1402/02/09</t>
        </is>
      </c>
      <c r="F124" s="128" t="inlineStr">
        <is>
          <t>1402/02</t>
        </is>
      </c>
      <c r="G124" s="58" t="inlineStr">
        <is>
          <t>اردیبهشت</t>
        </is>
      </c>
      <c r="H124" s="128" t="inlineStr">
        <is>
          <t>بهار</t>
        </is>
      </c>
      <c r="I124" s="128" t="inlineStr">
        <is>
          <t>شنبه</t>
        </is>
      </c>
      <c r="J124" s="128" t="inlineStr">
        <is>
          <t>خیر</t>
        </is>
      </c>
    </row>
    <row r="125">
      <c r="A125" s="176" t="n">
        <v>45046</v>
      </c>
      <c r="B125" s="177" t="n">
        <v>45046</v>
      </c>
      <c r="C125" s="177" t="n">
        <v>1402</v>
      </c>
      <c r="D125" s="177" t="n">
        <v>2</v>
      </c>
      <c r="E125" s="178" t="inlineStr">
        <is>
          <t>1402/02/10</t>
        </is>
      </c>
      <c r="F125" s="134" t="inlineStr">
        <is>
          <t>1402/02</t>
        </is>
      </c>
      <c r="G125" s="61" t="inlineStr">
        <is>
          <t>اردیبهشت</t>
        </is>
      </c>
      <c r="H125" s="134" t="inlineStr">
        <is>
          <t>بهار</t>
        </is>
      </c>
      <c r="I125" s="134" t="inlineStr">
        <is>
          <t>یکشنبه</t>
        </is>
      </c>
      <c r="J125" s="134" t="inlineStr">
        <is>
          <t>خیر</t>
        </is>
      </c>
    </row>
    <row r="126">
      <c r="A126" s="173" t="n">
        <v>45047</v>
      </c>
      <c r="B126" s="174" t="n">
        <v>45047</v>
      </c>
      <c r="C126" s="174" t="n">
        <v>1402</v>
      </c>
      <c r="D126" s="174" t="n">
        <v>2</v>
      </c>
      <c r="E126" s="175" t="inlineStr">
        <is>
          <t>1402/02/11</t>
        </is>
      </c>
      <c r="F126" s="128" t="inlineStr">
        <is>
          <t>1402/02</t>
        </is>
      </c>
      <c r="G126" s="58" t="inlineStr">
        <is>
          <t>اردیبهشت</t>
        </is>
      </c>
      <c r="H126" s="128" t="inlineStr">
        <is>
          <t>بهار</t>
        </is>
      </c>
      <c r="I126" s="128" t="inlineStr">
        <is>
          <t>دوشنبه</t>
        </is>
      </c>
      <c r="J126" s="128" t="inlineStr">
        <is>
          <t>بله</t>
        </is>
      </c>
    </row>
    <row r="127">
      <c r="A127" s="176" t="n">
        <v>45048</v>
      </c>
      <c r="B127" s="177" t="n">
        <v>45048</v>
      </c>
      <c r="C127" s="177" t="n">
        <v>1402</v>
      </c>
      <c r="D127" s="177" t="n">
        <v>2</v>
      </c>
      <c r="E127" s="178" t="inlineStr">
        <is>
          <t>1402/02/12</t>
        </is>
      </c>
      <c r="F127" s="134" t="inlineStr">
        <is>
          <t>1402/02</t>
        </is>
      </c>
      <c r="G127" s="61" t="inlineStr">
        <is>
          <t>اردیبهشت</t>
        </is>
      </c>
      <c r="H127" s="134" t="inlineStr">
        <is>
          <t>بهار</t>
        </is>
      </c>
      <c r="I127" s="134" t="inlineStr">
        <is>
          <t>سه‌شنبه</t>
        </is>
      </c>
      <c r="J127" s="134" t="inlineStr">
        <is>
          <t>بله</t>
        </is>
      </c>
    </row>
    <row r="128">
      <c r="A128" s="173" t="n">
        <v>45049</v>
      </c>
      <c r="B128" s="174" t="n">
        <v>45049</v>
      </c>
      <c r="C128" s="174" t="n">
        <v>1402</v>
      </c>
      <c r="D128" s="174" t="n">
        <v>2</v>
      </c>
      <c r="E128" s="175" t="inlineStr">
        <is>
          <t>1402/02/13</t>
        </is>
      </c>
      <c r="F128" s="128" t="inlineStr">
        <is>
          <t>1402/02</t>
        </is>
      </c>
      <c r="G128" s="58" t="inlineStr">
        <is>
          <t>اردیبهشت</t>
        </is>
      </c>
      <c r="H128" s="128" t="inlineStr">
        <is>
          <t>بهار</t>
        </is>
      </c>
      <c r="I128" s="128" t="inlineStr">
        <is>
          <t>چهارشنبه</t>
        </is>
      </c>
      <c r="J128" s="128" t="inlineStr">
        <is>
          <t>بله</t>
        </is>
      </c>
    </row>
    <row r="129">
      <c r="A129" s="176" t="n">
        <v>45050</v>
      </c>
      <c r="B129" s="177" t="n">
        <v>45050</v>
      </c>
      <c r="C129" s="177" t="n">
        <v>1402</v>
      </c>
      <c r="D129" s="177" t="n">
        <v>2</v>
      </c>
      <c r="E129" s="178" t="inlineStr">
        <is>
          <t>1402/02/14</t>
        </is>
      </c>
      <c r="F129" s="134" t="inlineStr">
        <is>
          <t>1402/02</t>
        </is>
      </c>
      <c r="G129" s="61" t="inlineStr">
        <is>
          <t>اردیبهشت</t>
        </is>
      </c>
      <c r="H129" s="134" t="inlineStr">
        <is>
          <t>بهار</t>
        </is>
      </c>
      <c r="I129" s="134" t="inlineStr">
        <is>
          <t>پنجشنبه</t>
        </is>
      </c>
      <c r="J129" s="134" t="inlineStr">
        <is>
          <t>بله</t>
        </is>
      </c>
    </row>
    <row r="130">
      <c r="A130" s="173" t="n">
        <v>45051</v>
      </c>
      <c r="B130" s="174" t="n">
        <v>45051</v>
      </c>
      <c r="C130" s="174" t="n">
        <v>1402</v>
      </c>
      <c r="D130" s="174" t="n">
        <v>2</v>
      </c>
      <c r="E130" s="175" t="inlineStr">
        <is>
          <t>1402/02/15</t>
        </is>
      </c>
      <c r="F130" s="128" t="inlineStr">
        <is>
          <t>1402/02</t>
        </is>
      </c>
      <c r="G130" s="58" t="inlineStr">
        <is>
          <t>اردیبهشت</t>
        </is>
      </c>
      <c r="H130" s="128" t="inlineStr">
        <is>
          <t>بهار</t>
        </is>
      </c>
      <c r="I130" s="128" t="inlineStr">
        <is>
          <t>جمعه</t>
        </is>
      </c>
      <c r="J130" s="128" t="inlineStr">
        <is>
          <t>بله</t>
        </is>
      </c>
    </row>
    <row r="131">
      <c r="A131" s="176" t="n">
        <v>45052</v>
      </c>
      <c r="B131" s="177" t="n">
        <v>45052</v>
      </c>
      <c r="C131" s="177" t="n">
        <v>1402</v>
      </c>
      <c r="D131" s="177" t="n">
        <v>2</v>
      </c>
      <c r="E131" s="178" t="inlineStr">
        <is>
          <t>1402/02/16</t>
        </is>
      </c>
      <c r="F131" s="134" t="inlineStr">
        <is>
          <t>1402/02</t>
        </is>
      </c>
      <c r="G131" s="61" t="inlineStr">
        <is>
          <t>اردیبهشت</t>
        </is>
      </c>
      <c r="H131" s="134" t="inlineStr">
        <is>
          <t>بهار</t>
        </is>
      </c>
      <c r="I131" s="134" t="inlineStr">
        <is>
          <t>شنبه</t>
        </is>
      </c>
      <c r="J131" s="134" t="inlineStr">
        <is>
          <t>خیر</t>
        </is>
      </c>
    </row>
    <row r="132">
      <c r="A132" s="173" t="n">
        <v>45053</v>
      </c>
      <c r="B132" s="174" t="n">
        <v>45053</v>
      </c>
      <c r="C132" s="174" t="n">
        <v>1402</v>
      </c>
      <c r="D132" s="174" t="n">
        <v>2</v>
      </c>
      <c r="E132" s="175" t="inlineStr">
        <is>
          <t>1402/02/17</t>
        </is>
      </c>
      <c r="F132" s="128" t="inlineStr">
        <is>
          <t>1402/02</t>
        </is>
      </c>
      <c r="G132" s="58" t="inlineStr">
        <is>
          <t>اردیبهشت</t>
        </is>
      </c>
      <c r="H132" s="128" t="inlineStr">
        <is>
          <t>بهار</t>
        </is>
      </c>
      <c r="I132" s="128" t="inlineStr">
        <is>
          <t>یکشنبه</t>
        </is>
      </c>
      <c r="J132" s="128" t="inlineStr">
        <is>
          <t>خیر</t>
        </is>
      </c>
    </row>
    <row r="133">
      <c r="A133" s="176" t="n">
        <v>45054</v>
      </c>
      <c r="B133" s="177" t="n">
        <v>45054</v>
      </c>
      <c r="C133" s="177" t="n">
        <v>1402</v>
      </c>
      <c r="D133" s="177" t="n">
        <v>2</v>
      </c>
      <c r="E133" s="178" t="inlineStr">
        <is>
          <t>1402/02/18</t>
        </is>
      </c>
      <c r="F133" s="134" t="inlineStr">
        <is>
          <t>1402/02</t>
        </is>
      </c>
      <c r="G133" s="61" t="inlineStr">
        <is>
          <t>اردیبهشت</t>
        </is>
      </c>
      <c r="H133" s="134" t="inlineStr">
        <is>
          <t>بهار</t>
        </is>
      </c>
      <c r="I133" s="134" t="inlineStr">
        <is>
          <t>دوشنبه</t>
        </is>
      </c>
      <c r="J133" s="134" t="inlineStr">
        <is>
          <t>بله</t>
        </is>
      </c>
    </row>
    <row r="134">
      <c r="A134" s="173" t="n">
        <v>45055</v>
      </c>
      <c r="B134" s="174" t="n">
        <v>45055</v>
      </c>
      <c r="C134" s="174" t="n">
        <v>1402</v>
      </c>
      <c r="D134" s="174" t="n">
        <v>2</v>
      </c>
      <c r="E134" s="175" t="inlineStr">
        <is>
          <t>1402/02/19</t>
        </is>
      </c>
      <c r="F134" s="128" t="inlineStr">
        <is>
          <t>1402/02</t>
        </is>
      </c>
      <c r="G134" s="58" t="inlineStr">
        <is>
          <t>اردیبهشت</t>
        </is>
      </c>
      <c r="H134" s="128" t="inlineStr">
        <is>
          <t>بهار</t>
        </is>
      </c>
      <c r="I134" s="128" t="inlineStr">
        <is>
          <t>سه‌شنبه</t>
        </is>
      </c>
      <c r="J134" s="128" t="inlineStr">
        <is>
          <t>بله</t>
        </is>
      </c>
    </row>
    <row r="135">
      <c r="A135" s="176" t="n">
        <v>45056</v>
      </c>
      <c r="B135" s="177" t="n">
        <v>45056</v>
      </c>
      <c r="C135" s="177" t="n">
        <v>1402</v>
      </c>
      <c r="D135" s="177" t="n">
        <v>2</v>
      </c>
      <c r="E135" s="178" t="inlineStr">
        <is>
          <t>1402/02/20</t>
        </is>
      </c>
      <c r="F135" s="134" t="inlineStr">
        <is>
          <t>1402/02</t>
        </is>
      </c>
      <c r="G135" s="61" t="inlineStr">
        <is>
          <t>اردیبهشت</t>
        </is>
      </c>
      <c r="H135" s="134" t="inlineStr">
        <is>
          <t>بهار</t>
        </is>
      </c>
      <c r="I135" s="134" t="inlineStr">
        <is>
          <t>چهارشنبه</t>
        </is>
      </c>
      <c r="J135" s="134" t="inlineStr">
        <is>
          <t>بله</t>
        </is>
      </c>
    </row>
    <row r="136">
      <c r="A136" s="173" t="n">
        <v>45057</v>
      </c>
      <c r="B136" s="174" t="n">
        <v>45057</v>
      </c>
      <c r="C136" s="174" t="n">
        <v>1402</v>
      </c>
      <c r="D136" s="174" t="n">
        <v>2</v>
      </c>
      <c r="E136" s="175" t="inlineStr">
        <is>
          <t>1402/02/21</t>
        </is>
      </c>
      <c r="F136" s="128" t="inlineStr">
        <is>
          <t>1402/02</t>
        </is>
      </c>
      <c r="G136" s="58" t="inlineStr">
        <is>
          <t>اردیبهشت</t>
        </is>
      </c>
      <c r="H136" s="128" t="inlineStr">
        <is>
          <t>بهار</t>
        </is>
      </c>
      <c r="I136" s="128" t="inlineStr">
        <is>
          <t>پنجشنبه</t>
        </is>
      </c>
      <c r="J136" s="128" t="inlineStr">
        <is>
          <t>بله</t>
        </is>
      </c>
    </row>
    <row r="137">
      <c r="A137" s="176" t="n">
        <v>45058</v>
      </c>
      <c r="B137" s="177" t="n">
        <v>45058</v>
      </c>
      <c r="C137" s="177" t="n">
        <v>1402</v>
      </c>
      <c r="D137" s="177" t="n">
        <v>2</v>
      </c>
      <c r="E137" s="178" t="inlineStr">
        <is>
          <t>1402/02/22</t>
        </is>
      </c>
      <c r="F137" s="134" t="inlineStr">
        <is>
          <t>1402/02</t>
        </is>
      </c>
      <c r="G137" s="61" t="inlineStr">
        <is>
          <t>اردیبهشت</t>
        </is>
      </c>
      <c r="H137" s="134" t="inlineStr">
        <is>
          <t>بهار</t>
        </is>
      </c>
      <c r="I137" s="134" t="inlineStr">
        <is>
          <t>جمعه</t>
        </is>
      </c>
      <c r="J137" s="134" t="inlineStr">
        <is>
          <t>بله</t>
        </is>
      </c>
    </row>
    <row r="138">
      <c r="A138" s="173" t="n">
        <v>45059</v>
      </c>
      <c r="B138" s="174" t="n">
        <v>45059</v>
      </c>
      <c r="C138" s="174" t="n">
        <v>1402</v>
      </c>
      <c r="D138" s="174" t="n">
        <v>2</v>
      </c>
      <c r="E138" s="175" t="inlineStr">
        <is>
          <t>1402/02/23</t>
        </is>
      </c>
      <c r="F138" s="128" t="inlineStr">
        <is>
          <t>1402/02</t>
        </is>
      </c>
      <c r="G138" s="58" t="inlineStr">
        <is>
          <t>اردیبهشت</t>
        </is>
      </c>
      <c r="H138" s="128" t="inlineStr">
        <is>
          <t>بهار</t>
        </is>
      </c>
      <c r="I138" s="128" t="inlineStr">
        <is>
          <t>شنبه</t>
        </is>
      </c>
      <c r="J138" s="128" t="inlineStr">
        <is>
          <t>خیر</t>
        </is>
      </c>
    </row>
    <row r="139">
      <c r="A139" s="176" t="n">
        <v>45060</v>
      </c>
      <c r="B139" s="177" t="n">
        <v>45060</v>
      </c>
      <c r="C139" s="177" t="n">
        <v>1402</v>
      </c>
      <c r="D139" s="177" t="n">
        <v>2</v>
      </c>
      <c r="E139" s="178" t="inlineStr">
        <is>
          <t>1402/02/24</t>
        </is>
      </c>
      <c r="F139" s="134" t="inlineStr">
        <is>
          <t>1402/02</t>
        </is>
      </c>
      <c r="G139" s="61" t="inlineStr">
        <is>
          <t>اردیبهشت</t>
        </is>
      </c>
      <c r="H139" s="134" t="inlineStr">
        <is>
          <t>بهار</t>
        </is>
      </c>
      <c r="I139" s="134" t="inlineStr">
        <is>
          <t>یکشنبه</t>
        </is>
      </c>
      <c r="J139" s="134" t="inlineStr">
        <is>
          <t>خیر</t>
        </is>
      </c>
    </row>
    <row r="140">
      <c r="A140" s="173" t="n">
        <v>45061</v>
      </c>
      <c r="B140" s="174" t="n">
        <v>45061</v>
      </c>
      <c r="C140" s="174" t="n">
        <v>1402</v>
      </c>
      <c r="D140" s="174" t="n">
        <v>2</v>
      </c>
      <c r="E140" s="175" t="inlineStr">
        <is>
          <t>1402/02/25</t>
        </is>
      </c>
      <c r="F140" s="128" t="inlineStr">
        <is>
          <t>1402/02</t>
        </is>
      </c>
      <c r="G140" s="58" t="inlineStr">
        <is>
          <t>اردیبهشت</t>
        </is>
      </c>
      <c r="H140" s="128" t="inlineStr">
        <is>
          <t>بهار</t>
        </is>
      </c>
      <c r="I140" s="128" t="inlineStr">
        <is>
          <t>دوشنبه</t>
        </is>
      </c>
      <c r="J140" s="128" t="inlineStr">
        <is>
          <t>بله</t>
        </is>
      </c>
    </row>
    <row r="141">
      <c r="A141" s="176" t="n">
        <v>45062</v>
      </c>
      <c r="B141" s="177" t="n">
        <v>45062</v>
      </c>
      <c r="C141" s="177" t="n">
        <v>1402</v>
      </c>
      <c r="D141" s="177" t="n">
        <v>2</v>
      </c>
      <c r="E141" s="178" t="inlineStr">
        <is>
          <t>1402/02/26</t>
        </is>
      </c>
      <c r="F141" s="134" t="inlineStr">
        <is>
          <t>1402/02</t>
        </is>
      </c>
      <c r="G141" s="61" t="inlineStr">
        <is>
          <t>اردیبهشت</t>
        </is>
      </c>
      <c r="H141" s="134" t="inlineStr">
        <is>
          <t>بهار</t>
        </is>
      </c>
      <c r="I141" s="134" t="inlineStr">
        <is>
          <t>سه‌شنبه</t>
        </is>
      </c>
      <c r="J141" s="134" t="inlineStr">
        <is>
          <t>بله</t>
        </is>
      </c>
    </row>
    <row r="142">
      <c r="A142" s="173" t="n">
        <v>45063</v>
      </c>
      <c r="B142" s="174" t="n">
        <v>45063</v>
      </c>
      <c r="C142" s="174" t="n">
        <v>1402</v>
      </c>
      <c r="D142" s="174" t="n">
        <v>2</v>
      </c>
      <c r="E142" s="175" t="inlineStr">
        <is>
          <t>1402/02/27</t>
        </is>
      </c>
      <c r="F142" s="128" t="inlineStr">
        <is>
          <t>1402/02</t>
        </is>
      </c>
      <c r="G142" s="58" t="inlineStr">
        <is>
          <t>اردیبهشت</t>
        </is>
      </c>
      <c r="H142" s="128" t="inlineStr">
        <is>
          <t>بهار</t>
        </is>
      </c>
      <c r="I142" s="128" t="inlineStr">
        <is>
          <t>چهارشنبه</t>
        </is>
      </c>
      <c r="J142" s="128" t="inlineStr">
        <is>
          <t>بله</t>
        </is>
      </c>
    </row>
    <row r="143">
      <c r="A143" s="176" t="n">
        <v>45064</v>
      </c>
      <c r="B143" s="177" t="n">
        <v>45064</v>
      </c>
      <c r="C143" s="177" t="n">
        <v>1402</v>
      </c>
      <c r="D143" s="177" t="n">
        <v>2</v>
      </c>
      <c r="E143" s="178" t="inlineStr">
        <is>
          <t>1402/02/28</t>
        </is>
      </c>
      <c r="F143" s="134" t="inlineStr">
        <is>
          <t>1402/02</t>
        </is>
      </c>
      <c r="G143" s="61" t="inlineStr">
        <is>
          <t>اردیبهشت</t>
        </is>
      </c>
      <c r="H143" s="134" t="inlineStr">
        <is>
          <t>بهار</t>
        </is>
      </c>
      <c r="I143" s="134" t="inlineStr">
        <is>
          <t>پنجشنبه</t>
        </is>
      </c>
      <c r="J143" s="134" t="inlineStr">
        <is>
          <t>بله</t>
        </is>
      </c>
    </row>
    <row r="144">
      <c r="A144" s="173" t="n">
        <v>45065</v>
      </c>
      <c r="B144" s="174" t="n">
        <v>45065</v>
      </c>
      <c r="C144" s="174" t="n">
        <v>1402</v>
      </c>
      <c r="D144" s="174" t="n">
        <v>2</v>
      </c>
      <c r="E144" s="175" t="inlineStr">
        <is>
          <t>1402/02/29</t>
        </is>
      </c>
      <c r="F144" s="128" t="inlineStr">
        <is>
          <t>1402/02</t>
        </is>
      </c>
      <c r="G144" s="58" t="inlineStr">
        <is>
          <t>اردیبهشت</t>
        </is>
      </c>
      <c r="H144" s="128" t="inlineStr">
        <is>
          <t>بهار</t>
        </is>
      </c>
      <c r="I144" s="128" t="inlineStr">
        <is>
          <t>جمعه</t>
        </is>
      </c>
      <c r="J144" s="128" t="inlineStr">
        <is>
          <t>بله</t>
        </is>
      </c>
    </row>
    <row r="145">
      <c r="A145" s="176" t="n">
        <v>45066</v>
      </c>
      <c r="B145" s="177" t="n">
        <v>45066</v>
      </c>
      <c r="C145" s="177" t="n">
        <v>1402</v>
      </c>
      <c r="D145" s="177" t="n">
        <v>2</v>
      </c>
      <c r="E145" s="178" t="inlineStr">
        <is>
          <t>1402/02/30</t>
        </is>
      </c>
      <c r="F145" s="134" t="inlineStr">
        <is>
          <t>1402/02</t>
        </is>
      </c>
      <c r="G145" s="61" t="inlineStr">
        <is>
          <t>اردیبهشت</t>
        </is>
      </c>
      <c r="H145" s="134" t="inlineStr">
        <is>
          <t>بهار</t>
        </is>
      </c>
      <c r="I145" s="134" t="inlineStr">
        <is>
          <t>شنبه</t>
        </is>
      </c>
      <c r="J145" s="134" t="inlineStr">
        <is>
          <t>خیر</t>
        </is>
      </c>
    </row>
    <row r="146">
      <c r="A146" s="173" t="n">
        <v>45067</v>
      </c>
      <c r="B146" s="174" t="n">
        <v>45067</v>
      </c>
      <c r="C146" s="174" t="n">
        <v>1402</v>
      </c>
      <c r="D146" s="174" t="n">
        <v>2</v>
      </c>
      <c r="E146" s="175" t="inlineStr">
        <is>
          <t>1402/02/31</t>
        </is>
      </c>
      <c r="F146" s="128" t="inlineStr">
        <is>
          <t>1402/02</t>
        </is>
      </c>
      <c r="G146" s="58" t="inlineStr">
        <is>
          <t>اردیبهشت</t>
        </is>
      </c>
      <c r="H146" s="128" t="inlineStr">
        <is>
          <t>بهار</t>
        </is>
      </c>
      <c r="I146" s="128" t="inlineStr">
        <is>
          <t>یکشنبه</t>
        </is>
      </c>
      <c r="J146" s="128" t="inlineStr">
        <is>
          <t>خیر</t>
        </is>
      </c>
    </row>
    <row r="147">
      <c r="A147" s="176" t="n">
        <v>45068</v>
      </c>
      <c r="B147" s="177" t="n">
        <v>45068</v>
      </c>
      <c r="C147" s="177" t="n">
        <v>1402</v>
      </c>
      <c r="D147" s="177" t="n">
        <v>3</v>
      </c>
      <c r="E147" s="178" t="inlineStr">
        <is>
          <t>1402/03/01</t>
        </is>
      </c>
      <c r="F147" s="134" t="inlineStr">
        <is>
          <t>1402/03</t>
        </is>
      </c>
      <c r="G147" s="61" t="inlineStr">
        <is>
          <t>خرداد</t>
        </is>
      </c>
      <c r="H147" s="134" t="inlineStr">
        <is>
          <t>بهار</t>
        </is>
      </c>
      <c r="I147" s="134" t="inlineStr">
        <is>
          <t>دوشنبه</t>
        </is>
      </c>
      <c r="J147" s="134" t="inlineStr">
        <is>
          <t>بله</t>
        </is>
      </c>
    </row>
    <row r="148">
      <c r="A148" s="173" t="n">
        <v>45069</v>
      </c>
      <c r="B148" s="174" t="n">
        <v>45069</v>
      </c>
      <c r="C148" s="174" t="n">
        <v>1402</v>
      </c>
      <c r="D148" s="174" t="n">
        <v>3</v>
      </c>
      <c r="E148" s="175" t="inlineStr">
        <is>
          <t>1402/03/02</t>
        </is>
      </c>
      <c r="F148" s="128" t="inlineStr">
        <is>
          <t>1402/03</t>
        </is>
      </c>
      <c r="G148" s="58" t="inlineStr">
        <is>
          <t>خرداد</t>
        </is>
      </c>
      <c r="H148" s="128" t="inlineStr">
        <is>
          <t>بهار</t>
        </is>
      </c>
      <c r="I148" s="128" t="inlineStr">
        <is>
          <t>سه‌شنبه</t>
        </is>
      </c>
      <c r="J148" s="128" t="inlineStr">
        <is>
          <t>بله</t>
        </is>
      </c>
    </row>
    <row r="149">
      <c r="A149" s="176" t="n">
        <v>45070</v>
      </c>
      <c r="B149" s="177" t="n">
        <v>45070</v>
      </c>
      <c r="C149" s="177" t="n">
        <v>1402</v>
      </c>
      <c r="D149" s="177" t="n">
        <v>3</v>
      </c>
      <c r="E149" s="178" t="inlineStr">
        <is>
          <t>1402/03/03</t>
        </is>
      </c>
      <c r="F149" s="134" t="inlineStr">
        <is>
          <t>1402/03</t>
        </is>
      </c>
      <c r="G149" s="61" t="inlineStr">
        <is>
          <t>خرداد</t>
        </is>
      </c>
      <c r="H149" s="134" t="inlineStr">
        <is>
          <t>بهار</t>
        </is>
      </c>
      <c r="I149" s="134" t="inlineStr">
        <is>
          <t>چهارشنبه</t>
        </is>
      </c>
      <c r="J149" s="134" t="inlineStr">
        <is>
          <t>بله</t>
        </is>
      </c>
    </row>
    <row r="150">
      <c r="A150" s="173" t="n">
        <v>45071</v>
      </c>
      <c r="B150" s="174" t="n">
        <v>45071</v>
      </c>
      <c r="C150" s="174" t="n">
        <v>1402</v>
      </c>
      <c r="D150" s="174" t="n">
        <v>3</v>
      </c>
      <c r="E150" s="175" t="inlineStr">
        <is>
          <t>1402/03/04</t>
        </is>
      </c>
      <c r="F150" s="128" t="inlineStr">
        <is>
          <t>1402/03</t>
        </is>
      </c>
      <c r="G150" s="58" t="inlineStr">
        <is>
          <t>خرداد</t>
        </is>
      </c>
      <c r="H150" s="128" t="inlineStr">
        <is>
          <t>بهار</t>
        </is>
      </c>
      <c r="I150" s="128" t="inlineStr">
        <is>
          <t>پنجشنبه</t>
        </is>
      </c>
      <c r="J150" s="128" t="inlineStr">
        <is>
          <t>بله</t>
        </is>
      </c>
    </row>
    <row r="151">
      <c r="A151" s="176" t="n">
        <v>45072</v>
      </c>
      <c r="B151" s="177" t="n">
        <v>45072</v>
      </c>
      <c r="C151" s="177" t="n">
        <v>1402</v>
      </c>
      <c r="D151" s="177" t="n">
        <v>3</v>
      </c>
      <c r="E151" s="178" t="inlineStr">
        <is>
          <t>1402/03/05</t>
        </is>
      </c>
      <c r="F151" s="134" t="inlineStr">
        <is>
          <t>1402/03</t>
        </is>
      </c>
      <c r="G151" s="61" t="inlineStr">
        <is>
          <t>خرداد</t>
        </is>
      </c>
      <c r="H151" s="134" t="inlineStr">
        <is>
          <t>بهار</t>
        </is>
      </c>
      <c r="I151" s="134" t="inlineStr">
        <is>
          <t>جمعه</t>
        </is>
      </c>
      <c r="J151" s="134" t="inlineStr">
        <is>
          <t>بله</t>
        </is>
      </c>
    </row>
    <row r="152">
      <c r="A152" s="173" t="n">
        <v>45073</v>
      </c>
      <c r="B152" s="174" t="n">
        <v>45073</v>
      </c>
      <c r="C152" s="174" t="n">
        <v>1402</v>
      </c>
      <c r="D152" s="174" t="n">
        <v>3</v>
      </c>
      <c r="E152" s="175" t="inlineStr">
        <is>
          <t>1402/03/06</t>
        </is>
      </c>
      <c r="F152" s="128" t="inlineStr">
        <is>
          <t>1402/03</t>
        </is>
      </c>
      <c r="G152" s="58" t="inlineStr">
        <is>
          <t>خرداد</t>
        </is>
      </c>
      <c r="H152" s="128" t="inlineStr">
        <is>
          <t>بهار</t>
        </is>
      </c>
      <c r="I152" s="128" t="inlineStr">
        <is>
          <t>شنبه</t>
        </is>
      </c>
      <c r="J152" s="128" t="inlineStr">
        <is>
          <t>خیر</t>
        </is>
      </c>
    </row>
    <row r="153">
      <c r="A153" s="176" t="n">
        <v>45074</v>
      </c>
      <c r="B153" s="177" t="n">
        <v>45074</v>
      </c>
      <c r="C153" s="177" t="n">
        <v>1402</v>
      </c>
      <c r="D153" s="177" t="n">
        <v>3</v>
      </c>
      <c r="E153" s="178" t="inlineStr">
        <is>
          <t>1402/03/07</t>
        </is>
      </c>
      <c r="F153" s="134" t="inlineStr">
        <is>
          <t>1402/03</t>
        </is>
      </c>
      <c r="G153" s="61" t="inlineStr">
        <is>
          <t>خرداد</t>
        </is>
      </c>
      <c r="H153" s="134" t="inlineStr">
        <is>
          <t>بهار</t>
        </is>
      </c>
      <c r="I153" s="134" t="inlineStr">
        <is>
          <t>یکشنبه</t>
        </is>
      </c>
      <c r="J153" s="134" t="inlineStr">
        <is>
          <t>خیر</t>
        </is>
      </c>
    </row>
    <row r="154">
      <c r="A154" s="173" t="n">
        <v>45075</v>
      </c>
      <c r="B154" s="174" t="n">
        <v>45075</v>
      </c>
      <c r="C154" s="174" t="n">
        <v>1402</v>
      </c>
      <c r="D154" s="174" t="n">
        <v>3</v>
      </c>
      <c r="E154" s="175" t="inlineStr">
        <is>
          <t>1402/03/08</t>
        </is>
      </c>
      <c r="F154" s="128" t="inlineStr">
        <is>
          <t>1402/03</t>
        </is>
      </c>
      <c r="G154" s="58" t="inlineStr">
        <is>
          <t>خرداد</t>
        </is>
      </c>
      <c r="H154" s="128" t="inlineStr">
        <is>
          <t>بهار</t>
        </is>
      </c>
      <c r="I154" s="128" t="inlineStr">
        <is>
          <t>دوشنبه</t>
        </is>
      </c>
      <c r="J154" s="128" t="inlineStr">
        <is>
          <t>بله</t>
        </is>
      </c>
    </row>
    <row r="155">
      <c r="A155" s="176" t="n">
        <v>45076</v>
      </c>
      <c r="B155" s="177" t="n">
        <v>45076</v>
      </c>
      <c r="C155" s="177" t="n">
        <v>1402</v>
      </c>
      <c r="D155" s="177" t="n">
        <v>3</v>
      </c>
      <c r="E155" s="178" t="inlineStr">
        <is>
          <t>1402/03/09</t>
        </is>
      </c>
      <c r="F155" s="134" t="inlineStr">
        <is>
          <t>1402/03</t>
        </is>
      </c>
      <c r="G155" s="61" t="inlineStr">
        <is>
          <t>خرداد</t>
        </is>
      </c>
      <c r="H155" s="134" t="inlineStr">
        <is>
          <t>بهار</t>
        </is>
      </c>
      <c r="I155" s="134" t="inlineStr">
        <is>
          <t>سه‌شنبه</t>
        </is>
      </c>
      <c r="J155" s="134" t="inlineStr">
        <is>
          <t>بله</t>
        </is>
      </c>
    </row>
    <row r="156">
      <c r="A156" s="173" t="n">
        <v>45077</v>
      </c>
      <c r="B156" s="174" t="n">
        <v>45077</v>
      </c>
      <c r="C156" s="174" t="n">
        <v>1402</v>
      </c>
      <c r="D156" s="174" t="n">
        <v>3</v>
      </c>
      <c r="E156" s="175" t="inlineStr">
        <is>
          <t>1402/03/10</t>
        </is>
      </c>
      <c r="F156" s="128" t="inlineStr">
        <is>
          <t>1402/03</t>
        </is>
      </c>
      <c r="G156" s="58" t="inlineStr">
        <is>
          <t>خرداد</t>
        </is>
      </c>
      <c r="H156" s="128" t="inlineStr">
        <is>
          <t>بهار</t>
        </is>
      </c>
      <c r="I156" s="128" t="inlineStr">
        <is>
          <t>چهارشنبه</t>
        </is>
      </c>
      <c r="J156" s="128" t="inlineStr">
        <is>
          <t>بله</t>
        </is>
      </c>
    </row>
    <row r="157">
      <c r="A157" s="176" t="n">
        <v>45078</v>
      </c>
      <c r="B157" s="177" t="n">
        <v>45078</v>
      </c>
      <c r="C157" s="177" t="n">
        <v>1402</v>
      </c>
      <c r="D157" s="177" t="n">
        <v>3</v>
      </c>
      <c r="E157" s="178" t="inlineStr">
        <is>
          <t>1402/03/11</t>
        </is>
      </c>
      <c r="F157" s="134" t="inlineStr">
        <is>
          <t>1402/03</t>
        </is>
      </c>
      <c r="G157" s="61" t="inlineStr">
        <is>
          <t>خرداد</t>
        </is>
      </c>
      <c r="H157" s="134" t="inlineStr">
        <is>
          <t>بهار</t>
        </is>
      </c>
      <c r="I157" s="134" t="inlineStr">
        <is>
          <t>پنجشنبه</t>
        </is>
      </c>
      <c r="J157" s="134" t="inlineStr">
        <is>
          <t>بله</t>
        </is>
      </c>
    </row>
    <row r="158">
      <c r="A158" s="173" t="n">
        <v>45079</v>
      </c>
      <c r="B158" s="174" t="n">
        <v>45079</v>
      </c>
      <c r="C158" s="174" t="n">
        <v>1402</v>
      </c>
      <c r="D158" s="174" t="n">
        <v>3</v>
      </c>
      <c r="E158" s="175" t="inlineStr">
        <is>
          <t>1402/03/12</t>
        </is>
      </c>
      <c r="F158" s="128" t="inlineStr">
        <is>
          <t>1402/03</t>
        </is>
      </c>
      <c r="G158" s="58" t="inlineStr">
        <is>
          <t>خرداد</t>
        </is>
      </c>
      <c r="H158" s="128" t="inlineStr">
        <is>
          <t>بهار</t>
        </is>
      </c>
      <c r="I158" s="128" t="inlineStr">
        <is>
          <t>جمعه</t>
        </is>
      </c>
      <c r="J158" s="128" t="inlineStr">
        <is>
          <t>بله</t>
        </is>
      </c>
    </row>
    <row r="159">
      <c r="A159" s="176" t="n">
        <v>45080</v>
      </c>
      <c r="B159" s="177" t="n">
        <v>45080</v>
      </c>
      <c r="C159" s="177" t="n">
        <v>1402</v>
      </c>
      <c r="D159" s="177" t="n">
        <v>3</v>
      </c>
      <c r="E159" s="178" t="inlineStr">
        <is>
          <t>1402/03/13</t>
        </is>
      </c>
      <c r="F159" s="134" t="inlineStr">
        <is>
          <t>1402/03</t>
        </is>
      </c>
      <c r="G159" s="61" t="inlineStr">
        <is>
          <t>خرداد</t>
        </is>
      </c>
      <c r="H159" s="134" t="inlineStr">
        <is>
          <t>بهار</t>
        </is>
      </c>
      <c r="I159" s="134" t="inlineStr">
        <is>
          <t>شنبه</t>
        </is>
      </c>
      <c r="J159" s="134" t="inlineStr">
        <is>
          <t>خیر</t>
        </is>
      </c>
    </row>
    <row r="160">
      <c r="A160" s="173" t="n">
        <v>45081</v>
      </c>
      <c r="B160" s="174" t="n">
        <v>45081</v>
      </c>
      <c r="C160" s="174" t="n">
        <v>1402</v>
      </c>
      <c r="D160" s="174" t="n">
        <v>3</v>
      </c>
      <c r="E160" s="175" t="inlineStr">
        <is>
          <t>1402/03/14</t>
        </is>
      </c>
      <c r="F160" s="128" t="inlineStr">
        <is>
          <t>1402/03</t>
        </is>
      </c>
      <c r="G160" s="58" t="inlineStr">
        <is>
          <t>خرداد</t>
        </is>
      </c>
      <c r="H160" s="128" t="inlineStr">
        <is>
          <t>بهار</t>
        </is>
      </c>
      <c r="I160" s="128" t="inlineStr">
        <is>
          <t>یکشنبه</t>
        </is>
      </c>
      <c r="J160" s="128" t="inlineStr">
        <is>
          <t>خیر</t>
        </is>
      </c>
    </row>
    <row r="161">
      <c r="A161" s="176" t="n">
        <v>45082</v>
      </c>
      <c r="B161" s="177" t="n">
        <v>45082</v>
      </c>
      <c r="C161" s="177" t="n">
        <v>1402</v>
      </c>
      <c r="D161" s="177" t="n">
        <v>3</v>
      </c>
      <c r="E161" s="178" t="inlineStr">
        <is>
          <t>1402/03/15</t>
        </is>
      </c>
      <c r="F161" s="134" t="inlineStr">
        <is>
          <t>1402/03</t>
        </is>
      </c>
      <c r="G161" s="61" t="inlineStr">
        <is>
          <t>خرداد</t>
        </is>
      </c>
      <c r="H161" s="134" t="inlineStr">
        <is>
          <t>بهار</t>
        </is>
      </c>
      <c r="I161" s="134" t="inlineStr">
        <is>
          <t>دوشنبه</t>
        </is>
      </c>
      <c r="J161" s="134" t="inlineStr">
        <is>
          <t>بله</t>
        </is>
      </c>
    </row>
    <row r="162">
      <c r="A162" s="173" t="n">
        <v>45083</v>
      </c>
      <c r="B162" s="174" t="n">
        <v>45083</v>
      </c>
      <c r="C162" s="174" t="n">
        <v>1402</v>
      </c>
      <c r="D162" s="174" t="n">
        <v>3</v>
      </c>
      <c r="E162" s="175" t="inlineStr">
        <is>
          <t>1402/03/16</t>
        </is>
      </c>
      <c r="F162" s="128" t="inlineStr">
        <is>
          <t>1402/03</t>
        </is>
      </c>
      <c r="G162" s="58" t="inlineStr">
        <is>
          <t>خرداد</t>
        </is>
      </c>
      <c r="H162" s="128" t="inlineStr">
        <is>
          <t>بهار</t>
        </is>
      </c>
      <c r="I162" s="128" t="inlineStr">
        <is>
          <t>سه‌شنبه</t>
        </is>
      </c>
      <c r="J162" s="128" t="inlineStr">
        <is>
          <t>بله</t>
        </is>
      </c>
    </row>
    <row r="163">
      <c r="A163" s="176" t="n">
        <v>45084</v>
      </c>
      <c r="B163" s="177" t="n">
        <v>45084</v>
      </c>
      <c r="C163" s="177" t="n">
        <v>1402</v>
      </c>
      <c r="D163" s="177" t="n">
        <v>3</v>
      </c>
      <c r="E163" s="178" t="inlineStr">
        <is>
          <t>1402/03/17</t>
        </is>
      </c>
      <c r="F163" s="134" t="inlineStr">
        <is>
          <t>1402/03</t>
        </is>
      </c>
      <c r="G163" s="61" t="inlineStr">
        <is>
          <t>خرداد</t>
        </is>
      </c>
      <c r="H163" s="134" t="inlineStr">
        <is>
          <t>بهار</t>
        </is>
      </c>
      <c r="I163" s="134" t="inlineStr">
        <is>
          <t>چهارشنبه</t>
        </is>
      </c>
      <c r="J163" s="134" t="inlineStr">
        <is>
          <t>بله</t>
        </is>
      </c>
    </row>
    <row r="164">
      <c r="A164" s="173" t="n">
        <v>45085</v>
      </c>
      <c r="B164" s="174" t="n">
        <v>45085</v>
      </c>
      <c r="C164" s="174" t="n">
        <v>1402</v>
      </c>
      <c r="D164" s="174" t="n">
        <v>3</v>
      </c>
      <c r="E164" s="175" t="inlineStr">
        <is>
          <t>1402/03/18</t>
        </is>
      </c>
      <c r="F164" s="128" t="inlineStr">
        <is>
          <t>1402/03</t>
        </is>
      </c>
      <c r="G164" s="58" t="inlineStr">
        <is>
          <t>خرداد</t>
        </is>
      </c>
      <c r="H164" s="128" t="inlineStr">
        <is>
          <t>بهار</t>
        </is>
      </c>
      <c r="I164" s="128" t="inlineStr">
        <is>
          <t>پنجشنبه</t>
        </is>
      </c>
      <c r="J164" s="128" t="inlineStr">
        <is>
          <t>بله</t>
        </is>
      </c>
    </row>
    <row r="165">
      <c r="A165" s="176" t="n">
        <v>45086</v>
      </c>
      <c r="B165" s="177" t="n">
        <v>45086</v>
      </c>
      <c r="C165" s="177" t="n">
        <v>1402</v>
      </c>
      <c r="D165" s="177" t="n">
        <v>3</v>
      </c>
      <c r="E165" s="178" t="inlineStr">
        <is>
          <t>1402/03/19</t>
        </is>
      </c>
      <c r="F165" s="134" t="inlineStr">
        <is>
          <t>1402/03</t>
        </is>
      </c>
      <c r="G165" s="61" t="inlineStr">
        <is>
          <t>خرداد</t>
        </is>
      </c>
      <c r="H165" s="134" t="inlineStr">
        <is>
          <t>بهار</t>
        </is>
      </c>
      <c r="I165" s="134" t="inlineStr">
        <is>
          <t>جمعه</t>
        </is>
      </c>
      <c r="J165" s="134" t="inlineStr">
        <is>
          <t>بله</t>
        </is>
      </c>
    </row>
    <row r="166">
      <c r="A166" s="173" t="n">
        <v>45087</v>
      </c>
      <c r="B166" s="174" t="n">
        <v>45087</v>
      </c>
      <c r="C166" s="174" t="n">
        <v>1402</v>
      </c>
      <c r="D166" s="174" t="n">
        <v>3</v>
      </c>
      <c r="E166" s="175" t="inlineStr">
        <is>
          <t>1402/03/20</t>
        </is>
      </c>
      <c r="F166" s="128" t="inlineStr">
        <is>
          <t>1402/03</t>
        </is>
      </c>
      <c r="G166" s="58" t="inlineStr">
        <is>
          <t>خرداد</t>
        </is>
      </c>
      <c r="H166" s="128" t="inlineStr">
        <is>
          <t>بهار</t>
        </is>
      </c>
      <c r="I166" s="128" t="inlineStr">
        <is>
          <t>شنبه</t>
        </is>
      </c>
      <c r="J166" s="128" t="inlineStr">
        <is>
          <t>خیر</t>
        </is>
      </c>
    </row>
    <row r="167">
      <c r="A167" s="176" t="n">
        <v>45088</v>
      </c>
      <c r="B167" s="177" t="n">
        <v>45088</v>
      </c>
      <c r="C167" s="177" t="n">
        <v>1402</v>
      </c>
      <c r="D167" s="177" t="n">
        <v>3</v>
      </c>
      <c r="E167" s="178" t="inlineStr">
        <is>
          <t>1402/03/21</t>
        </is>
      </c>
      <c r="F167" s="134" t="inlineStr">
        <is>
          <t>1402/03</t>
        </is>
      </c>
      <c r="G167" s="61" t="inlineStr">
        <is>
          <t>خرداد</t>
        </is>
      </c>
      <c r="H167" s="134" t="inlineStr">
        <is>
          <t>بهار</t>
        </is>
      </c>
      <c r="I167" s="134" t="inlineStr">
        <is>
          <t>یکشنبه</t>
        </is>
      </c>
      <c r="J167" s="134" t="inlineStr">
        <is>
          <t>خیر</t>
        </is>
      </c>
    </row>
    <row r="168">
      <c r="A168" s="173" t="n">
        <v>45089</v>
      </c>
      <c r="B168" s="174" t="n">
        <v>45089</v>
      </c>
      <c r="C168" s="174" t="n">
        <v>1402</v>
      </c>
      <c r="D168" s="174" t="n">
        <v>3</v>
      </c>
      <c r="E168" s="175" t="inlineStr">
        <is>
          <t>1402/03/22</t>
        </is>
      </c>
      <c r="F168" s="128" t="inlineStr">
        <is>
          <t>1402/03</t>
        </is>
      </c>
      <c r="G168" s="58" t="inlineStr">
        <is>
          <t>خرداد</t>
        </is>
      </c>
      <c r="H168" s="128" t="inlineStr">
        <is>
          <t>بهار</t>
        </is>
      </c>
      <c r="I168" s="128" t="inlineStr">
        <is>
          <t>دوشنبه</t>
        </is>
      </c>
      <c r="J168" s="128" t="inlineStr">
        <is>
          <t>بله</t>
        </is>
      </c>
    </row>
    <row r="169">
      <c r="A169" s="176" t="n">
        <v>45090</v>
      </c>
      <c r="B169" s="177" t="n">
        <v>45090</v>
      </c>
      <c r="C169" s="177" t="n">
        <v>1402</v>
      </c>
      <c r="D169" s="177" t="n">
        <v>3</v>
      </c>
      <c r="E169" s="178" t="inlineStr">
        <is>
          <t>1402/03/23</t>
        </is>
      </c>
      <c r="F169" s="134" t="inlineStr">
        <is>
          <t>1402/03</t>
        </is>
      </c>
      <c r="G169" s="61" t="inlineStr">
        <is>
          <t>خرداد</t>
        </is>
      </c>
      <c r="H169" s="134" t="inlineStr">
        <is>
          <t>بهار</t>
        </is>
      </c>
      <c r="I169" s="134" t="inlineStr">
        <is>
          <t>سه‌شنبه</t>
        </is>
      </c>
      <c r="J169" s="134" t="inlineStr">
        <is>
          <t>بله</t>
        </is>
      </c>
    </row>
    <row r="170">
      <c r="A170" s="173" t="n">
        <v>45091</v>
      </c>
      <c r="B170" s="174" t="n">
        <v>45091</v>
      </c>
      <c r="C170" s="174" t="n">
        <v>1402</v>
      </c>
      <c r="D170" s="174" t="n">
        <v>3</v>
      </c>
      <c r="E170" s="175" t="inlineStr">
        <is>
          <t>1402/03/24</t>
        </is>
      </c>
      <c r="F170" s="128" t="inlineStr">
        <is>
          <t>1402/03</t>
        </is>
      </c>
      <c r="G170" s="58" t="inlineStr">
        <is>
          <t>خرداد</t>
        </is>
      </c>
      <c r="H170" s="128" t="inlineStr">
        <is>
          <t>بهار</t>
        </is>
      </c>
      <c r="I170" s="128" t="inlineStr">
        <is>
          <t>چهارشنبه</t>
        </is>
      </c>
      <c r="J170" s="128" t="inlineStr">
        <is>
          <t>بله</t>
        </is>
      </c>
    </row>
    <row r="171">
      <c r="A171" s="176" t="n">
        <v>45092</v>
      </c>
      <c r="B171" s="177" t="n">
        <v>45092</v>
      </c>
      <c r="C171" s="177" t="n">
        <v>1402</v>
      </c>
      <c r="D171" s="177" t="n">
        <v>3</v>
      </c>
      <c r="E171" s="178" t="inlineStr">
        <is>
          <t>1402/03/25</t>
        </is>
      </c>
      <c r="F171" s="134" t="inlineStr">
        <is>
          <t>1402/03</t>
        </is>
      </c>
      <c r="G171" s="61" t="inlineStr">
        <is>
          <t>خرداد</t>
        </is>
      </c>
      <c r="H171" s="134" t="inlineStr">
        <is>
          <t>بهار</t>
        </is>
      </c>
      <c r="I171" s="134" t="inlineStr">
        <is>
          <t>پنجشنبه</t>
        </is>
      </c>
      <c r="J171" s="134" t="inlineStr">
        <is>
          <t>بله</t>
        </is>
      </c>
    </row>
    <row r="172">
      <c r="A172" s="173" t="n">
        <v>45093</v>
      </c>
      <c r="B172" s="174" t="n">
        <v>45093</v>
      </c>
      <c r="C172" s="174" t="n">
        <v>1402</v>
      </c>
      <c r="D172" s="174" t="n">
        <v>3</v>
      </c>
      <c r="E172" s="175" t="inlineStr">
        <is>
          <t>1402/03/26</t>
        </is>
      </c>
      <c r="F172" s="128" t="inlineStr">
        <is>
          <t>1402/03</t>
        </is>
      </c>
      <c r="G172" s="58" t="inlineStr">
        <is>
          <t>خرداد</t>
        </is>
      </c>
      <c r="H172" s="128" t="inlineStr">
        <is>
          <t>بهار</t>
        </is>
      </c>
      <c r="I172" s="128" t="inlineStr">
        <is>
          <t>جمعه</t>
        </is>
      </c>
      <c r="J172" s="128" t="inlineStr">
        <is>
          <t>بله</t>
        </is>
      </c>
    </row>
    <row r="173">
      <c r="A173" s="176" t="n">
        <v>45094</v>
      </c>
      <c r="B173" s="177" t="n">
        <v>45094</v>
      </c>
      <c r="C173" s="177" t="n">
        <v>1402</v>
      </c>
      <c r="D173" s="177" t="n">
        <v>3</v>
      </c>
      <c r="E173" s="178" t="inlineStr">
        <is>
          <t>1402/03/27</t>
        </is>
      </c>
      <c r="F173" s="134" t="inlineStr">
        <is>
          <t>1402/03</t>
        </is>
      </c>
      <c r="G173" s="61" t="inlineStr">
        <is>
          <t>خرداد</t>
        </is>
      </c>
      <c r="H173" s="134" t="inlineStr">
        <is>
          <t>بهار</t>
        </is>
      </c>
      <c r="I173" s="134" t="inlineStr">
        <is>
          <t>شنبه</t>
        </is>
      </c>
      <c r="J173" s="134" t="inlineStr">
        <is>
          <t>خیر</t>
        </is>
      </c>
    </row>
    <row r="174">
      <c r="A174" s="173" t="n">
        <v>45095</v>
      </c>
      <c r="B174" s="174" t="n">
        <v>45095</v>
      </c>
      <c r="C174" s="174" t="n">
        <v>1402</v>
      </c>
      <c r="D174" s="174" t="n">
        <v>3</v>
      </c>
      <c r="E174" s="175" t="inlineStr">
        <is>
          <t>1402/03/28</t>
        </is>
      </c>
      <c r="F174" s="128" t="inlineStr">
        <is>
          <t>1402/03</t>
        </is>
      </c>
      <c r="G174" s="58" t="inlineStr">
        <is>
          <t>خرداد</t>
        </is>
      </c>
      <c r="H174" s="128" t="inlineStr">
        <is>
          <t>بهار</t>
        </is>
      </c>
      <c r="I174" s="128" t="inlineStr">
        <is>
          <t>یکشنبه</t>
        </is>
      </c>
      <c r="J174" s="128" t="inlineStr">
        <is>
          <t>خیر</t>
        </is>
      </c>
    </row>
    <row r="175">
      <c r="A175" s="176" t="n">
        <v>45096</v>
      </c>
      <c r="B175" s="177" t="n">
        <v>45096</v>
      </c>
      <c r="C175" s="177" t="n">
        <v>1402</v>
      </c>
      <c r="D175" s="177" t="n">
        <v>3</v>
      </c>
      <c r="E175" s="178" t="inlineStr">
        <is>
          <t>1402/03/29</t>
        </is>
      </c>
      <c r="F175" s="134" t="inlineStr">
        <is>
          <t>1402/03</t>
        </is>
      </c>
      <c r="G175" s="61" t="inlineStr">
        <is>
          <t>خرداد</t>
        </is>
      </c>
      <c r="H175" s="134" t="inlineStr">
        <is>
          <t>بهار</t>
        </is>
      </c>
      <c r="I175" s="134" t="inlineStr">
        <is>
          <t>دوشنبه</t>
        </is>
      </c>
      <c r="J175" s="134" t="inlineStr">
        <is>
          <t>بله</t>
        </is>
      </c>
    </row>
    <row r="176">
      <c r="A176" s="173" t="n">
        <v>45097</v>
      </c>
      <c r="B176" s="174" t="n">
        <v>45097</v>
      </c>
      <c r="C176" s="174" t="n">
        <v>1402</v>
      </c>
      <c r="D176" s="174" t="n">
        <v>3</v>
      </c>
      <c r="E176" s="175" t="inlineStr">
        <is>
          <t>1402/03/30</t>
        </is>
      </c>
      <c r="F176" s="128" t="inlineStr">
        <is>
          <t>1402/03</t>
        </is>
      </c>
      <c r="G176" s="58" t="inlineStr">
        <is>
          <t>خرداد</t>
        </is>
      </c>
      <c r="H176" s="128" t="inlineStr">
        <is>
          <t>بهار</t>
        </is>
      </c>
      <c r="I176" s="128" t="inlineStr">
        <is>
          <t>سه‌شنبه</t>
        </is>
      </c>
      <c r="J176" s="128" t="inlineStr">
        <is>
          <t>بله</t>
        </is>
      </c>
    </row>
    <row r="177">
      <c r="A177" s="176" t="n">
        <v>45098</v>
      </c>
      <c r="B177" s="177" t="n">
        <v>45098</v>
      </c>
      <c r="C177" s="177" t="n">
        <v>1402</v>
      </c>
      <c r="D177" s="177" t="n">
        <v>3</v>
      </c>
      <c r="E177" s="178" t="inlineStr">
        <is>
          <t>1402/03/31</t>
        </is>
      </c>
      <c r="F177" s="134" t="inlineStr">
        <is>
          <t>1402/03</t>
        </is>
      </c>
      <c r="G177" s="61" t="inlineStr">
        <is>
          <t>خرداد</t>
        </is>
      </c>
      <c r="H177" s="134" t="inlineStr">
        <is>
          <t>بهار</t>
        </is>
      </c>
      <c r="I177" s="134" t="inlineStr">
        <is>
          <t>چهارشنبه</t>
        </is>
      </c>
      <c r="J177" s="134" t="inlineStr">
        <is>
          <t>بله</t>
        </is>
      </c>
    </row>
    <row r="178">
      <c r="A178" s="173" t="n">
        <v>45099</v>
      </c>
      <c r="B178" s="174" t="n">
        <v>45099</v>
      </c>
      <c r="C178" s="174" t="n">
        <v>1402</v>
      </c>
      <c r="D178" s="174" t="n">
        <v>4</v>
      </c>
      <c r="E178" s="175" t="inlineStr">
        <is>
          <t>1402/04/01</t>
        </is>
      </c>
      <c r="F178" s="128" t="inlineStr">
        <is>
          <t>1402/04</t>
        </is>
      </c>
      <c r="G178" s="58" t="inlineStr">
        <is>
          <t>تیر</t>
        </is>
      </c>
      <c r="H178" s="128" t="inlineStr">
        <is>
          <t>تابستان</t>
        </is>
      </c>
      <c r="I178" s="128" t="inlineStr">
        <is>
          <t>پنجشنبه</t>
        </is>
      </c>
      <c r="J178" s="128" t="inlineStr">
        <is>
          <t>بله</t>
        </is>
      </c>
    </row>
    <row r="179">
      <c r="A179" s="176" t="n">
        <v>45100</v>
      </c>
      <c r="B179" s="177" t="n">
        <v>45100</v>
      </c>
      <c r="C179" s="177" t="n">
        <v>1402</v>
      </c>
      <c r="D179" s="177" t="n">
        <v>4</v>
      </c>
      <c r="E179" s="178" t="inlineStr">
        <is>
          <t>1402/04/02</t>
        </is>
      </c>
      <c r="F179" s="134" t="inlineStr">
        <is>
          <t>1402/04</t>
        </is>
      </c>
      <c r="G179" s="61" t="inlineStr">
        <is>
          <t>تیر</t>
        </is>
      </c>
      <c r="H179" s="134" t="inlineStr">
        <is>
          <t>تابستان</t>
        </is>
      </c>
      <c r="I179" s="134" t="inlineStr">
        <is>
          <t>جمعه</t>
        </is>
      </c>
      <c r="J179" s="134" t="inlineStr">
        <is>
          <t>بله</t>
        </is>
      </c>
    </row>
    <row r="180">
      <c r="A180" s="173" t="n">
        <v>45101</v>
      </c>
      <c r="B180" s="174" t="n">
        <v>45101</v>
      </c>
      <c r="C180" s="174" t="n">
        <v>1402</v>
      </c>
      <c r="D180" s="174" t="n">
        <v>4</v>
      </c>
      <c r="E180" s="175" t="inlineStr">
        <is>
          <t>1402/04/03</t>
        </is>
      </c>
      <c r="F180" s="128" t="inlineStr">
        <is>
          <t>1402/04</t>
        </is>
      </c>
      <c r="G180" s="58" t="inlineStr">
        <is>
          <t>تیر</t>
        </is>
      </c>
      <c r="H180" s="128" t="inlineStr">
        <is>
          <t>تابستان</t>
        </is>
      </c>
      <c r="I180" s="128" t="inlineStr">
        <is>
          <t>شنبه</t>
        </is>
      </c>
      <c r="J180" s="128" t="inlineStr">
        <is>
          <t>خیر</t>
        </is>
      </c>
    </row>
    <row r="181">
      <c r="A181" s="176" t="n">
        <v>45102</v>
      </c>
      <c r="B181" s="177" t="n">
        <v>45102</v>
      </c>
      <c r="C181" s="177" t="n">
        <v>1402</v>
      </c>
      <c r="D181" s="177" t="n">
        <v>4</v>
      </c>
      <c r="E181" s="178" t="inlineStr">
        <is>
          <t>1402/04/04</t>
        </is>
      </c>
      <c r="F181" s="134" t="inlineStr">
        <is>
          <t>1402/04</t>
        </is>
      </c>
      <c r="G181" s="61" t="inlineStr">
        <is>
          <t>تیر</t>
        </is>
      </c>
      <c r="H181" s="134" t="inlineStr">
        <is>
          <t>تابستان</t>
        </is>
      </c>
      <c r="I181" s="134" t="inlineStr">
        <is>
          <t>یکشنبه</t>
        </is>
      </c>
      <c r="J181" s="134" t="inlineStr">
        <is>
          <t>خیر</t>
        </is>
      </c>
    </row>
    <row r="182">
      <c r="A182" s="173" t="n">
        <v>45103</v>
      </c>
      <c r="B182" s="174" t="n">
        <v>45103</v>
      </c>
      <c r="C182" s="174" t="n">
        <v>1402</v>
      </c>
      <c r="D182" s="174" t="n">
        <v>4</v>
      </c>
      <c r="E182" s="175" t="inlineStr">
        <is>
          <t>1402/04/05</t>
        </is>
      </c>
      <c r="F182" s="128" t="inlineStr">
        <is>
          <t>1402/04</t>
        </is>
      </c>
      <c r="G182" s="58" t="inlineStr">
        <is>
          <t>تیر</t>
        </is>
      </c>
      <c r="H182" s="128" t="inlineStr">
        <is>
          <t>تابستان</t>
        </is>
      </c>
      <c r="I182" s="128" t="inlineStr">
        <is>
          <t>دوشنبه</t>
        </is>
      </c>
      <c r="J182" s="128" t="inlineStr">
        <is>
          <t>بله</t>
        </is>
      </c>
    </row>
    <row r="183">
      <c r="A183" s="176" t="n">
        <v>45104</v>
      </c>
      <c r="B183" s="177" t="n">
        <v>45104</v>
      </c>
      <c r="C183" s="177" t="n">
        <v>1402</v>
      </c>
      <c r="D183" s="177" t="n">
        <v>4</v>
      </c>
      <c r="E183" s="178" t="inlineStr">
        <is>
          <t>1402/04/06</t>
        </is>
      </c>
      <c r="F183" s="134" t="inlineStr">
        <is>
          <t>1402/04</t>
        </is>
      </c>
      <c r="G183" s="61" t="inlineStr">
        <is>
          <t>تیر</t>
        </is>
      </c>
      <c r="H183" s="134" t="inlineStr">
        <is>
          <t>تابستان</t>
        </is>
      </c>
      <c r="I183" s="134" t="inlineStr">
        <is>
          <t>سه‌شنبه</t>
        </is>
      </c>
      <c r="J183" s="134" t="inlineStr">
        <is>
          <t>بله</t>
        </is>
      </c>
    </row>
    <row r="184">
      <c r="A184" s="173" t="n">
        <v>45105</v>
      </c>
      <c r="B184" s="174" t="n">
        <v>45105</v>
      </c>
      <c r="C184" s="174" t="n">
        <v>1402</v>
      </c>
      <c r="D184" s="174" t="n">
        <v>4</v>
      </c>
      <c r="E184" s="175" t="inlineStr">
        <is>
          <t>1402/04/07</t>
        </is>
      </c>
      <c r="F184" s="128" t="inlineStr">
        <is>
          <t>1402/04</t>
        </is>
      </c>
      <c r="G184" s="58" t="inlineStr">
        <is>
          <t>تیر</t>
        </is>
      </c>
      <c r="H184" s="128" t="inlineStr">
        <is>
          <t>تابستان</t>
        </is>
      </c>
      <c r="I184" s="128" t="inlineStr">
        <is>
          <t>چهارشنبه</t>
        </is>
      </c>
      <c r="J184" s="128" t="inlineStr">
        <is>
          <t>بله</t>
        </is>
      </c>
    </row>
    <row r="185">
      <c r="A185" s="176" t="n">
        <v>45106</v>
      </c>
      <c r="B185" s="177" t="n">
        <v>45106</v>
      </c>
      <c r="C185" s="177" t="n">
        <v>1402</v>
      </c>
      <c r="D185" s="177" t="n">
        <v>4</v>
      </c>
      <c r="E185" s="178" t="inlineStr">
        <is>
          <t>1402/04/08</t>
        </is>
      </c>
      <c r="F185" s="134" t="inlineStr">
        <is>
          <t>1402/04</t>
        </is>
      </c>
      <c r="G185" s="61" t="inlineStr">
        <is>
          <t>تیر</t>
        </is>
      </c>
      <c r="H185" s="134" t="inlineStr">
        <is>
          <t>تابستان</t>
        </is>
      </c>
      <c r="I185" s="134" t="inlineStr">
        <is>
          <t>پنجشنبه</t>
        </is>
      </c>
      <c r="J185" s="134" t="inlineStr">
        <is>
          <t>بله</t>
        </is>
      </c>
    </row>
    <row r="186">
      <c r="A186" s="173" t="n">
        <v>45107</v>
      </c>
      <c r="B186" s="174" t="n">
        <v>45107</v>
      </c>
      <c r="C186" s="174" t="n">
        <v>1402</v>
      </c>
      <c r="D186" s="174" t="n">
        <v>4</v>
      </c>
      <c r="E186" s="175" t="inlineStr">
        <is>
          <t>1402/04/09</t>
        </is>
      </c>
      <c r="F186" s="128" t="inlineStr">
        <is>
          <t>1402/04</t>
        </is>
      </c>
      <c r="G186" s="58" t="inlineStr">
        <is>
          <t>تیر</t>
        </is>
      </c>
      <c r="H186" s="128" t="inlineStr">
        <is>
          <t>تابستان</t>
        </is>
      </c>
      <c r="I186" s="128" t="inlineStr">
        <is>
          <t>جمعه</t>
        </is>
      </c>
      <c r="J186" s="128" t="inlineStr">
        <is>
          <t>بله</t>
        </is>
      </c>
    </row>
    <row r="187">
      <c r="A187" s="176" t="n">
        <v>45108</v>
      </c>
      <c r="B187" s="177" t="n">
        <v>45108</v>
      </c>
      <c r="C187" s="177" t="n">
        <v>1402</v>
      </c>
      <c r="D187" s="177" t="n">
        <v>4</v>
      </c>
      <c r="E187" s="178" t="inlineStr">
        <is>
          <t>1402/04/10</t>
        </is>
      </c>
      <c r="F187" s="134" t="inlineStr">
        <is>
          <t>1402/04</t>
        </is>
      </c>
      <c r="G187" s="61" t="inlineStr">
        <is>
          <t>تیر</t>
        </is>
      </c>
      <c r="H187" s="134" t="inlineStr">
        <is>
          <t>تابستان</t>
        </is>
      </c>
      <c r="I187" s="134" t="inlineStr">
        <is>
          <t>شنبه</t>
        </is>
      </c>
      <c r="J187" s="134" t="inlineStr">
        <is>
          <t>خیر</t>
        </is>
      </c>
    </row>
    <row r="188">
      <c r="A188" s="173" t="n">
        <v>45109</v>
      </c>
      <c r="B188" s="174" t="n">
        <v>45109</v>
      </c>
      <c r="C188" s="174" t="n">
        <v>1402</v>
      </c>
      <c r="D188" s="174" t="n">
        <v>4</v>
      </c>
      <c r="E188" s="175" t="inlineStr">
        <is>
          <t>1402/04/11</t>
        </is>
      </c>
      <c r="F188" s="128" t="inlineStr">
        <is>
          <t>1402/04</t>
        </is>
      </c>
      <c r="G188" s="58" t="inlineStr">
        <is>
          <t>تیر</t>
        </is>
      </c>
      <c r="H188" s="128" t="inlineStr">
        <is>
          <t>تابستان</t>
        </is>
      </c>
      <c r="I188" s="128" t="inlineStr">
        <is>
          <t>یکشنبه</t>
        </is>
      </c>
      <c r="J188" s="128" t="inlineStr">
        <is>
          <t>خیر</t>
        </is>
      </c>
    </row>
    <row r="189">
      <c r="A189" s="176" t="n">
        <v>45110</v>
      </c>
      <c r="B189" s="177" t="n">
        <v>45110</v>
      </c>
      <c r="C189" s="177" t="n">
        <v>1402</v>
      </c>
      <c r="D189" s="177" t="n">
        <v>4</v>
      </c>
      <c r="E189" s="178" t="inlineStr">
        <is>
          <t>1402/04/12</t>
        </is>
      </c>
      <c r="F189" s="134" t="inlineStr">
        <is>
          <t>1402/04</t>
        </is>
      </c>
      <c r="G189" s="61" t="inlineStr">
        <is>
          <t>تیر</t>
        </is>
      </c>
      <c r="H189" s="134" t="inlineStr">
        <is>
          <t>تابستان</t>
        </is>
      </c>
      <c r="I189" s="134" t="inlineStr">
        <is>
          <t>دوشنبه</t>
        </is>
      </c>
      <c r="J189" s="134" t="inlineStr">
        <is>
          <t>بله</t>
        </is>
      </c>
    </row>
    <row r="190">
      <c r="A190" s="173" t="n">
        <v>45111</v>
      </c>
      <c r="B190" s="174" t="n">
        <v>45111</v>
      </c>
      <c r="C190" s="174" t="n">
        <v>1402</v>
      </c>
      <c r="D190" s="174" t="n">
        <v>4</v>
      </c>
      <c r="E190" s="175" t="inlineStr">
        <is>
          <t>1402/04/13</t>
        </is>
      </c>
      <c r="F190" s="128" t="inlineStr">
        <is>
          <t>1402/04</t>
        </is>
      </c>
      <c r="G190" s="58" t="inlineStr">
        <is>
          <t>تیر</t>
        </is>
      </c>
      <c r="H190" s="128" t="inlineStr">
        <is>
          <t>تابستان</t>
        </is>
      </c>
      <c r="I190" s="128" t="inlineStr">
        <is>
          <t>سه‌شنبه</t>
        </is>
      </c>
      <c r="J190" s="128" t="inlineStr">
        <is>
          <t>بله</t>
        </is>
      </c>
    </row>
    <row r="191">
      <c r="A191" s="176" t="n">
        <v>45112</v>
      </c>
      <c r="B191" s="177" t="n">
        <v>45112</v>
      </c>
      <c r="C191" s="177" t="n">
        <v>1402</v>
      </c>
      <c r="D191" s="177" t="n">
        <v>4</v>
      </c>
      <c r="E191" s="178" t="inlineStr">
        <is>
          <t>1402/04/14</t>
        </is>
      </c>
      <c r="F191" s="134" t="inlineStr">
        <is>
          <t>1402/04</t>
        </is>
      </c>
      <c r="G191" s="61" t="inlineStr">
        <is>
          <t>تیر</t>
        </is>
      </c>
      <c r="H191" s="134" t="inlineStr">
        <is>
          <t>تابستان</t>
        </is>
      </c>
      <c r="I191" s="134" t="inlineStr">
        <is>
          <t>چهارشنبه</t>
        </is>
      </c>
      <c r="J191" s="134" t="inlineStr">
        <is>
          <t>بله</t>
        </is>
      </c>
    </row>
    <row r="192">
      <c r="A192" s="173" t="n">
        <v>45113</v>
      </c>
      <c r="B192" s="174" t="n">
        <v>45113</v>
      </c>
      <c r="C192" s="174" t="n">
        <v>1402</v>
      </c>
      <c r="D192" s="174" t="n">
        <v>4</v>
      </c>
      <c r="E192" s="175" t="inlineStr">
        <is>
          <t>1402/04/15</t>
        </is>
      </c>
      <c r="F192" s="128" t="inlineStr">
        <is>
          <t>1402/04</t>
        </is>
      </c>
      <c r="G192" s="58" t="inlineStr">
        <is>
          <t>تیر</t>
        </is>
      </c>
      <c r="H192" s="128" t="inlineStr">
        <is>
          <t>تابستان</t>
        </is>
      </c>
      <c r="I192" s="128" t="inlineStr">
        <is>
          <t>پنجشنبه</t>
        </is>
      </c>
      <c r="J192" s="128" t="inlineStr">
        <is>
          <t>بله</t>
        </is>
      </c>
    </row>
    <row r="193">
      <c r="A193" s="176" t="n">
        <v>45114</v>
      </c>
      <c r="B193" s="177" t="n">
        <v>45114</v>
      </c>
      <c r="C193" s="177" t="n">
        <v>1402</v>
      </c>
      <c r="D193" s="177" t="n">
        <v>4</v>
      </c>
      <c r="E193" s="178" t="inlineStr">
        <is>
          <t>1402/04/16</t>
        </is>
      </c>
      <c r="F193" s="134" t="inlineStr">
        <is>
          <t>1402/04</t>
        </is>
      </c>
      <c r="G193" s="61" t="inlineStr">
        <is>
          <t>تیر</t>
        </is>
      </c>
      <c r="H193" s="134" t="inlineStr">
        <is>
          <t>تابستان</t>
        </is>
      </c>
      <c r="I193" s="134" t="inlineStr">
        <is>
          <t>جمعه</t>
        </is>
      </c>
      <c r="J193" s="134" t="inlineStr">
        <is>
          <t>بله</t>
        </is>
      </c>
    </row>
    <row r="194">
      <c r="A194" s="173" t="n">
        <v>45115</v>
      </c>
      <c r="B194" s="174" t="n">
        <v>45115</v>
      </c>
      <c r="C194" s="174" t="n">
        <v>1402</v>
      </c>
      <c r="D194" s="174" t="n">
        <v>4</v>
      </c>
      <c r="E194" s="175" t="inlineStr">
        <is>
          <t>1402/04/17</t>
        </is>
      </c>
      <c r="F194" s="128" t="inlineStr">
        <is>
          <t>1402/04</t>
        </is>
      </c>
      <c r="G194" s="58" t="inlineStr">
        <is>
          <t>تیر</t>
        </is>
      </c>
      <c r="H194" s="128" t="inlineStr">
        <is>
          <t>تابستان</t>
        </is>
      </c>
      <c r="I194" s="128" t="inlineStr">
        <is>
          <t>شنبه</t>
        </is>
      </c>
      <c r="J194" s="128" t="inlineStr">
        <is>
          <t>خیر</t>
        </is>
      </c>
    </row>
    <row r="195">
      <c r="A195" s="176" t="n">
        <v>45116</v>
      </c>
      <c r="B195" s="177" t="n">
        <v>45116</v>
      </c>
      <c r="C195" s="177" t="n">
        <v>1402</v>
      </c>
      <c r="D195" s="177" t="n">
        <v>4</v>
      </c>
      <c r="E195" s="178" t="inlineStr">
        <is>
          <t>1402/04/18</t>
        </is>
      </c>
      <c r="F195" s="134" t="inlineStr">
        <is>
          <t>1402/04</t>
        </is>
      </c>
      <c r="G195" s="61" t="inlineStr">
        <is>
          <t>تیر</t>
        </is>
      </c>
      <c r="H195" s="134" t="inlineStr">
        <is>
          <t>تابستان</t>
        </is>
      </c>
      <c r="I195" s="134" t="inlineStr">
        <is>
          <t>یکشنبه</t>
        </is>
      </c>
      <c r="J195" s="134" t="inlineStr">
        <is>
          <t>خیر</t>
        </is>
      </c>
    </row>
    <row r="196">
      <c r="A196" s="173" t="n">
        <v>45117</v>
      </c>
      <c r="B196" s="174" t="n">
        <v>45117</v>
      </c>
      <c r="C196" s="174" t="n">
        <v>1402</v>
      </c>
      <c r="D196" s="174" t="n">
        <v>4</v>
      </c>
      <c r="E196" s="175" t="inlineStr">
        <is>
          <t>1402/04/19</t>
        </is>
      </c>
      <c r="F196" s="128" t="inlineStr">
        <is>
          <t>1402/04</t>
        </is>
      </c>
      <c r="G196" s="58" t="inlineStr">
        <is>
          <t>تیر</t>
        </is>
      </c>
      <c r="H196" s="128" t="inlineStr">
        <is>
          <t>تابستان</t>
        </is>
      </c>
      <c r="I196" s="128" t="inlineStr">
        <is>
          <t>دوشنبه</t>
        </is>
      </c>
      <c r="J196" s="128" t="inlineStr">
        <is>
          <t>بله</t>
        </is>
      </c>
    </row>
    <row r="197">
      <c r="A197" s="176" t="n">
        <v>45118</v>
      </c>
      <c r="B197" s="177" t="n">
        <v>45118</v>
      </c>
      <c r="C197" s="177" t="n">
        <v>1402</v>
      </c>
      <c r="D197" s="177" t="n">
        <v>4</v>
      </c>
      <c r="E197" s="178" t="inlineStr">
        <is>
          <t>1402/04/20</t>
        </is>
      </c>
      <c r="F197" s="134" t="inlineStr">
        <is>
          <t>1402/04</t>
        </is>
      </c>
      <c r="G197" s="61" t="inlineStr">
        <is>
          <t>تیر</t>
        </is>
      </c>
      <c r="H197" s="134" t="inlineStr">
        <is>
          <t>تابستان</t>
        </is>
      </c>
      <c r="I197" s="134" t="inlineStr">
        <is>
          <t>سه‌شنبه</t>
        </is>
      </c>
      <c r="J197" s="134" t="inlineStr">
        <is>
          <t>بله</t>
        </is>
      </c>
    </row>
    <row r="198">
      <c r="A198" s="173" t="n">
        <v>45119</v>
      </c>
      <c r="B198" s="174" t="n">
        <v>45119</v>
      </c>
      <c r="C198" s="174" t="n">
        <v>1402</v>
      </c>
      <c r="D198" s="174" t="n">
        <v>4</v>
      </c>
      <c r="E198" s="175" t="inlineStr">
        <is>
          <t>1402/04/21</t>
        </is>
      </c>
      <c r="F198" s="128" t="inlineStr">
        <is>
          <t>1402/04</t>
        </is>
      </c>
      <c r="G198" s="58" t="inlineStr">
        <is>
          <t>تیر</t>
        </is>
      </c>
      <c r="H198" s="128" t="inlineStr">
        <is>
          <t>تابستان</t>
        </is>
      </c>
      <c r="I198" s="128" t="inlineStr">
        <is>
          <t>چهارشنبه</t>
        </is>
      </c>
      <c r="J198" s="128" t="inlineStr">
        <is>
          <t>بله</t>
        </is>
      </c>
    </row>
    <row r="199">
      <c r="A199" s="176" t="n">
        <v>45120</v>
      </c>
      <c r="B199" s="177" t="n">
        <v>45120</v>
      </c>
      <c r="C199" s="177" t="n">
        <v>1402</v>
      </c>
      <c r="D199" s="177" t="n">
        <v>4</v>
      </c>
      <c r="E199" s="178" t="inlineStr">
        <is>
          <t>1402/04/22</t>
        </is>
      </c>
      <c r="F199" s="134" t="inlineStr">
        <is>
          <t>1402/04</t>
        </is>
      </c>
      <c r="G199" s="61" t="inlineStr">
        <is>
          <t>تیر</t>
        </is>
      </c>
      <c r="H199" s="134" t="inlineStr">
        <is>
          <t>تابستان</t>
        </is>
      </c>
      <c r="I199" s="134" t="inlineStr">
        <is>
          <t>پنجشنبه</t>
        </is>
      </c>
      <c r="J199" s="134" t="inlineStr">
        <is>
          <t>بله</t>
        </is>
      </c>
    </row>
    <row r="200">
      <c r="A200" s="173" t="n">
        <v>45121</v>
      </c>
      <c r="B200" s="174" t="n">
        <v>45121</v>
      </c>
      <c r="C200" s="174" t="n">
        <v>1402</v>
      </c>
      <c r="D200" s="174" t="n">
        <v>4</v>
      </c>
      <c r="E200" s="175" t="inlineStr">
        <is>
          <t>1402/04/23</t>
        </is>
      </c>
      <c r="F200" s="128" t="inlineStr">
        <is>
          <t>1402/04</t>
        </is>
      </c>
      <c r="G200" s="58" t="inlineStr">
        <is>
          <t>تیر</t>
        </is>
      </c>
      <c r="H200" s="128" t="inlineStr">
        <is>
          <t>تابستان</t>
        </is>
      </c>
      <c r="I200" s="128" t="inlineStr">
        <is>
          <t>جمعه</t>
        </is>
      </c>
      <c r="J200" s="128" t="inlineStr">
        <is>
          <t>بله</t>
        </is>
      </c>
    </row>
    <row r="201">
      <c r="A201" s="176" t="n">
        <v>45122</v>
      </c>
      <c r="B201" s="177" t="n">
        <v>45122</v>
      </c>
      <c r="C201" s="177" t="n">
        <v>1402</v>
      </c>
      <c r="D201" s="177" t="n">
        <v>4</v>
      </c>
      <c r="E201" s="178" t="inlineStr">
        <is>
          <t>1402/04/24</t>
        </is>
      </c>
      <c r="F201" s="134" t="inlineStr">
        <is>
          <t>1402/04</t>
        </is>
      </c>
      <c r="G201" s="61" t="inlineStr">
        <is>
          <t>تیر</t>
        </is>
      </c>
      <c r="H201" s="134" t="inlineStr">
        <is>
          <t>تابستان</t>
        </is>
      </c>
      <c r="I201" s="134" t="inlineStr">
        <is>
          <t>شنبه</t>
        </is>
      </c>
      <c r="J201" s="134" t="inlineStr">
        <is>
          <t>خیر</t>
        </is>
      </c>
    </row>
    <row r="202">
      <c r="A202" s="173" t="n">
        <v>45123</v>
      </c>
      <c r="B202" s="174" t="n">
        <v>45123</v>
      </c>
      <c r="C202" s="174" t="n">
        <v>1402</v>
      </c>
      <c r="D202" s="174" t="n">
        <v>4</v>
      </c>
      <c r="E202" s="175" t="inlineStr">
        <is>
          <t>1402/04/25</t>
        </is>
      </c>
      <c r="F202" s="128" t="inlineStr">
        <is>
          <t>1402/04</t>
        </is>
      </c>
      <c r="G202" s="58" t="inlineStr">
        <is>
          <t>تیر</t>
        </is>
      </c>
      <c r="H202" s="128" t="inlineStr">
        <is>
          <t>تابستان</t>
        </is>
      </c>
      <c r="I202" s="128" t="inlineStr">
        <is>
          <t>یکشنبه</t>
        </is>
      </c>
      <c r="J202" s="128" t="inlineStr">
        <is>
          <t>خیر</t>
        </is>
      </c>
    </row>
    <row r="203">
      <c r="A203" s="176" t="n">
        <v>45124</v>
      </c>
      <c r="B203" s="177" t="n">
        <v>45124</v>
      </c>
      <c r="C203" s="177" t="n">
        <v>1402</v>
      </c>
      <c r="D203" s="177" t="n">
        <v>4</v>
      </c>
      <c r="E203" s="178" t="inlineStr">
        <is>
          <t>1402/04/26</t>
        </is>
      </c>
      <c r="F203" s="134" t="inlineStr">
        <is>
          <t>1402/04</t>
        </is>
      </c>
      <c r="G203" s="61" t="inlineStr">
        <is>
          <t>تیر</t>
        </is>
      </c>
      <c r="H203" s="134" t="inlineStr">
        <is>
          <t>تابستان</t>
        </is>
      </c>
      <c r="I203" s="134" t="inlineStr">
        <is>
          <t>دوشنبه</t>
        </is>
      </c>
      <c r="J203" s="134" t="inlineStr">
        <is>
          <t>بله</t>
        </is>
      </c>
    </row>
    <row r="204">
      <c r="A204" s="173" t="n">
        <v>45125</v>
      </c>
      <c r="B204" s="174" t="n">
        <v>45125</v>
      </c>
      <c r="C204" s="174" t="n">
        <v>1402</v>
      </c>
      <c r="D204" s="174" t="n">
        <v>4</v>
      </c>
      <c r="E204" s="175" t="inlineStr">
        <is>
          <t>1402/04/27</t>
        </is>
      </c>
      <c r="F204" s="128" t="inlineStr">
        <is>
          <t>1402/04</t>
        </is>
      </c>
      <c r="G204" s="58" t="inlineStr">
        <is>
          <t>تیر</t>
        </is>
      </c>
      <c r="H204" s="128" t="inlineStr">
        <is>
          <t>تابستان</t>
        </is>
      </c>
      <c r="I204" s="128" t="inlineStr">
        <is>
          <t>سه‌شنبه</t>
        </is>
      </c>
      <c r="J204" s="128" t="inlineStr">
        <is>
          <t>بله</t>
        </is>
      </c>
    </row>
    <row r="205">
      <c r="A205" s="176" t="n">
        <v>45126</v>
      </c>
      <c r="B205" s="177" t="n">
        <v>45126</v>
      </c>
      <c r="C205" s="177" t="n">
        <v>1402</v>
      </c>
      <c r="D205" s="177" t="n">
        <v>4</v>
      </c>
      <c r="E205" s="178" t="inlineStr">
        <is>
          <t>1402/04/28</t>
        </is>
      </c>
      <c r="F205" s="134" t="inlineStr">
        <is>
          <t>1402/04</t>
        </is>
      </c>
      <c r="G205" s="61" t="inlineStr">
        <is>
          <t>تیر</t>
        </is>
      </c>
      <c r="H205" s="134" t="inlineStr">
        <is>
          <t>تابستان</t>
        </is>
      </c>
      <c r="I205" s="134" t="inlineStr">
        <is>
          <t>چهارشنبه</t>
        </is>
      </c>
      <c r="J205" s="134" t="inlineStr">
        <is>
          <t>بله</t>
        </is>
      </c>
    </row>
    <row r="206">
      <c r="A206" s="173" t="n">
        <v>45127</v>
      </c>
      <c r="B206" s="174" t="n">
        <v>45127</v>
      </c>
      <c r="C206" s="174" t="n">
        <v>1402</v>
      </c>
      <c r="D206" s="174" t="n">
        <v>4</v>
      </c>
      <c r="E206" s="175" t="inlineStr">
        <is>
          <t>1402/04/29</t>
        </is>
      </c>
      <c r="F206" s="128" t="inlineStr">
        <is>
          <t>1402/04</t>
        </is>
      </c>
      <c r="G206" s="58" t="inlineStr">
        <is>
          <t>تیر</t>
        </is>
      </c>
      <c r="H206" s="128" t="inlineStr">
        <is>
          <t>تابستان</t>
        </is>
      </c>
      <c r="I206" s="128" t="inlineStr">
        <is>
          <t>پنجشنبه</t>
        </is>
      </c>
      <c r="J206" s="128" t="inlineStr">
        <is>
          <t>بله</t>
        </is>
      </c>
    </row>
    <row r="207">
      <c r="A207" s="176" t="n">
        <v>45128</v>
      </c>
      <c r="B207" s="177" t="n">
        <v>45128</v>
      </c>
      <c r="C207" s="177" t="n">
        <v>1402</v>
      </c>
      <c r="D207" s="177" t="n">
        <v>4</v>
      </c>
      <c r="E207" s="178" t="inlineStr">
        <is>
          <t>1402/04/30</t>
        </is>
      </c>
      <c r="F207" s="134" t="inlineStr">
        <is>
          <t>1402/04</t>
        </is>
      </c>
      <c r="G207" s="61" t="inlineStr">
        <is>
          <t>تیر</t>
        </is>
      </c>
      <c r="H207" s="134" t="inlineStr">
        <is>
          <t>تابستان</t>
        </is>
      </c>
      <c r="I207" s="134" t="inlineStr">
        <is>
          <t>جمعه</t>
        </is>
      </c>
      <c r="J207" s="134" t="inlineStr">
        <is>
          <t>بله</t>
        </is>
      </c>
    </row>
    <row r="208">
      <c r="A208" s="173" t="n">
        <v>45129</v>
      </c>
      <c r="B208" s="174" t="n">
        <v>45129</v>
      </c>
      <c r="C208" s="174" t="n">
        <v>1402</v>
      </c>
      <c r="D208" s="174" t="n">
        <v>4</v>
      </c>
      <c r="E208" s="175" t="inlineStr">
        <is>
          <t>1402/04/31</t>
        </is>
      </c>
      <c r="F208" s="128" t="inlineStr">
        <is>
          <t>1402/04</t>
        </is>
      </c>
      <c r="G208" s="58" t="inlineStr">
        <is>
          <t>تیر</t>
        </is>
      </c>
      <c r="H208" s="128" t="inlineStr">
        <is>
          <t>تابستان</t>
        </is>
      </c>
      <c r="I208" s="128" t="inlineStr">
        <is>
          <t>شنبه</t>
        </is>
      </c>
      <c r="J208" s="128" t="inlineStr">
        <is>
          <t>خیر</t>
        </is>
      </c>
    </row>
    <row r="209">
      <c r="A209" s="176" t="n">
        <v>45130</v>
      </c>
      <c r="B209" s="177" t="n">
        <v>45130</v>
      </c>
      <c r="C209" s="177" t="n">
        <v>1402</v>
      </c>
      <c r="D209" s="177" t="n">
        <v>5</v>
      </c>
      <c r="E209" s="178" t="inlineStr">
        <is>
          <t>1402/05/01</t>
        </is>
      </c>
      <c r="F209" s="134" t="inlineStr">
        <is>
          <t>1402/05</t>
        </is>
      </c>
      <c r="G209" s="61" t="inlineStr">
        <is>
          <t>مرداد</t>
        </is>
      </c>
      <c r="H209" s="134" t="inlineStr">
        <is>
          <t>تابستان</t>
        </is>
      </c>
      <c r="I209" s="134" t="inlineStr">
        <is>
          <t>یکشنبه</t>
        </is>
      </c>
      <c r="J209" s="134" t="inlineStr">
        <is>
          <t>خیر</t>
        </is>
      </c>
    </row>
    <row r="210">
      <c r="A210" s="173" t="n">
        <v>45131</v>
      </c>
      <c r="B210" s="174" t="n">
        <v>45131</v>
      </c>
      <c r="C210" s="174" t="n">
        <v>1402</v>
      </c>
      <c r="D210" s="174" t="n">
        <v>5</v>
      </c>
      <c r="E210" s="175" t="inlineStr">
        <is>
          <t>1402/05/02</t>
        </is>
      </c>
      <c r="F210" s="128" t="inlineStr">
        <is>
          <t>1402/05</t>
        </is>
      </c>
      <c r="G210" s="58" t="inlineStr">
        <is>
          <t>مرداد</t>
        </is>
      </c>
      <c r="H210" s="128" t="inlineStr">
        <is>
          <t>تابستان</t>
        </is>
      </c>
      <c r="I210" s="128" t="inlineStr">
        <is>
          <t>دوشنبه</t>
        </is>
      </c>
      <c r="J210" s="128" t="inlineStr">
        <is>
          <t>بله</t>
        </is>
      </c>
    </row>
    <row r="211">
      <c r="A211" s="176" t="n">
        <v>45132</v>
      </c>
      <c r="B211" s="177" t="n">
        <v>45132</v>
      </c>
      <c r="C211" s="177" t="n">
        <v>1402</v>
      </c>
      <c r="D211" s="177" t="n">
        <v>5</v>
      </c>
      <c r="E211" s="178" t="inlineStr">
        <is>
          <t>1402/05/03</t>
        </is>
      </c>
      <c r="F211" s="134" t="inlineStr">
        <is>
          <t>1402/05</t>
        </is>
      </c>
      <c r="G211" s="61" t="inlineStr">
        <is>
          <t>مرداد</t>
        </is>
      </c>
      <c r="H211" s="134" t="inlineStr">
        <is>
          <t>تابستان</t>
        </is>
      </c>
      <c r="I211" s="134" t="inlineStr">
        <is>
          <t>سه‌شنبه</t>
        </is>
      </c>
      <c r="J211" s="134" t="inlineStr">
        <is>
          <t>بله</t>
        </is>
      </c>
    </row>
    <row r="212">
      <c r="A212" s="173" t="n">
        <v>45133</v>
      </c>
      <c r="B212" s="174" t="n">
        <v>45133</v>
      </c>
      <c r="C212" s="174" t="n">
        <v>1402</v>
      </c>
      <c r="D212" s="174" t="n">
        <v>5</v>
      </c>
      <c r="E212" s="175" t="inlineStr">
        <is>
          <t>1402/05/04</t>
        </is>
      </c>
      <c r="F212" s="128" t="inlineStr">
        <is>
          <t>1402/05</t>
        </is>
      </c>
      <c r="G212" s="58" t="inlineStr">
        <is>
          <t>مرداد</t>
        </is>
      </c>
      <c r="H212" s="128" t="inlineStr">
        <is>
          <t>تابستان</t>
        </is>
      </c>
      <c r="I212" s="128" t="inlineStr">
        <is>
          <t>چهارشنبه</t>
        </is>
      </c>
      <c r="J212" s="128" t="inlineStr">
        <is>
          <t>بله</t>
        </is>
      </c>
    </row>
    <row r="213">
      <c r="A213" s="176" t="n">
        <v>45134</v>
      </c>
      <c r="B213" s="177" t="n">
        <v>45134</v>
      </c>
      <c r="C213" s="177" t="n">
        <v>1402</v>
      </c>
      <c r="D213" s="177" t="n">
        <v>5</v>
      </c>
      <c r="E213" s="178" t="inlineStr">
        <is>
          <t>1402/05/05</t>
        </is>
      </c>
      <c r="F213" s="134" t="inlineStr">
        <is>
          <t>1402/05</t>
        </is>
      </c>
      <c r="G213" s="61" t="inlineStr">
        <is>
          <t>مرداد</t>
        </is>
      </c>
      <c r="H213" s="134" t="inlineStr">
        <is>
          <t>تابستان</t>
        </is>
      </c>
      <c r="I213" s="134" t="inlineStr">
        <is>
          <t>پنجشنبه</t>
        </is>
      </c>
      <c r="J213" s="134" t="inlineStr">
        <is>
          <t>بله</t>
        </is>
      </c>
    </row>
    <row r="214">
      <c r="A214" s="173" t="n">
        <v>45135</v>
      </c>
      <c r="B214" s="174" t="n">
        <v>45135</v>
      </c>
      <c r="C214" s="174" t="n">
        <v>1402</v>
      </c>
      <c r="D214" s="174" t="n">
        <v>5</v>
      </c>
      <c r="E214" s="175" t="inlineStr">
        <is>
          <t>1402/05/06</t>
        </is>
      </c>
      <c r="F214" s="128" t="inlineStr">
        <is>
          <t>1402/05</t>
        </is>
      </c>
      <c r="G214" s="58" t="inlineStr">
        <is>
          <t>مرداد</t>
        </is>
      </c>
      <c r="H214" s="128" t="inlineStr">
        <is>
          <t>تابستان</t>
        </is>
      </c>
      <c r="I214" s="128" t="inlineStr">
        <is>
          <t>جمعه</t>
        </is>
      </c>
      <c r="J214" s="128" t="inlineStr">
        <is>
          <t>بله</t>
        </is>
      </c>
    </row>
    <row r="215">
      <c r="A215" s="176" t="n">
        <v>45136</v>
      </c>
      <c r="B215" s="177" t="n">
        <v>45136</v>
      </c>
      <c r="C215" s="177" t="n">
        <v>1402</v>
      </c>
      <c r="D215" s="177" t="n">
        <v>5</v>
      </c>
      <c r="E215" s="178" t="inlineStr">
        <is>
          <t>1402/05/07</t>
        </is>
      </c>
      <c r="F215" s="134" t="inlineStr">
        <is>
          <t>1402/05</t>
        </is>
      </c>
      <c r="G215" s="61" t="inlineStr">
        <is>
          <t>مرداد</t>
        </is>
      </c>
      <c r="H215" s="134" t="inlineStr">
        <is>
          <t>تابستان</t>
        </is>
      </c>
      <c r="I215" s="134" t="inlineStr">
        <is>
          <t>شنبه</t>
        </is>
      </c>
      <c r="J215" s="134" t="inlineStr">
        <is>
          <t>خیر</t>
        </is>
      </c>
    </row>
    <row r="216">
      <c r="A216" s="173" t="n">
        <v>45137</v>
      </c>
      <c r="B216" s="174" t="n">
        <v>45137</v>
      </c>
      <c r="C216" s="174" t="n">
        <v>1402</v>
      </c>
      <c r="D216" s="174" t="n">
        <v>5</v>
      </c>
      <c r="E216" s="175" t="inlineStr">
        <is>
          <t>1402/05/08</t>
        </is>
      </c>
      <c r="F216" s="128" t="inlineStr">
        <is>
          <t>1402/05</t>
        </is>
      </c>
      <c r="G216" s="58" t="inlineStr">
        <is>
          <t>مرداد</t>
        </is>
      </c>
      <c r="H216" s="128" t="inlineStr">
        <is>
          <t>تابستان</t>
        </is>
      </c>
      <c r="I216" s="128" t="inlineStr">
        <is>
          <t>یکشنبه</t>
        </is>
      </c>
      <c r="J216" s="128" t="inlineStr">
        <is>
          <t>خیر</t>
        </is>
      </c>
    </row>
    <row r="217">
      <c r="A217" s="176" t="n">
        <v>45138</v>
      </c>
      <c r="B217" s="177" t="n">
        <v>45138</v>
      </c>
      <c r="C217" s="177" t="n">
        <v>1402</v>
      </c>
      <c r="D217" s="177" t="n">
        <v>5</v>
      </c>
      <c r="E217" s="178" t="inlineStr">
        <is>
          <t>1402/05/09</t>
        </is>
      </c>
      <c r="F217" s="134" t="inlineStr">
        <is>
          <t>1402/05</t>
        </is>
      </c>
      <c r="G217" s="61" t="inlineStr">
        <is>
          <t>مرداد</t>
        </is>
      </c>
      <c r="H217" s="134" t="inlineStr">
        <is>
          <t>تابستان</t>
        </is>
      </c>
      <c r="I217" s="134" t="inlineStr">
        <is>
          <t>دوشنبه</t>
        </is>
      </c>
      <c r="J217" s="134" t="inlineStr">
        <is>
          <t>بله</t>
        </is>
      </c>
    </row>
    <row r="218">
      <c r="A218" s="173" t="n">
        <v>45139</v>
      </c>
      <c r="B218" s="174" t="n">
        <v>45139</v>
      </c>
      <c r="C218" s="174" t="n">
        <v>1402</v>
      </c>
      <c r="D218" s="174" t="n">
        <v>5</v>
      </c>
      <c r="E218" s="175" t="inlineStr">
        <is>
          <t>1402/05/10</t>
        </is>
      </c>
      <c r="F218" s="128" t="inlineStr">
        <is>
          <t>1402/05</t>
        </is>
      </c>
      <c r="G218" s="58" t="inlineStr">
        <is>
          <t>مرداد</t>
        </is>
      </c>
      <c r="H218" s="128" t="inlineStr">
        <is>
          <t>تابستان</t>
        </is>
      </c>
      <c r="I218" s="128" t="inlineStr">
        <is>
          <t>سه‌شنبه</t>
        </is>
      </c>
      <c r="J218" s="128" t="inlineStr">
        <is>
          <t>بله</t>
        </is>
      </c>
    </row>
    <row r="219">
      <c r="A219" s="176" t="n">
        <v>45140</v>
      </c>
      <c r="B219" s="177" t="n">
        <v>45140</v>
      </c>
      <c r="C219" s="177" t="n">
        <v>1402</v>
      </c>
      <c r="D219" s="177" t="n">
        <v>5</v>
      </c>
      <c r="E219" s="178" t="inlineStr">
        <is>
          <t>1402/05/11</t>
        </is>
      </c>
      <c r="F219" s="134" t="inlineStr">
        <is>
          <t>1402/05</t>
        </is>
      </c>
      <c r="G219" s="61" t="inlineStr">
        <is>
          <t>مرداد</t>
        </is>
      </c>
      <c r="H219" s="134" t="inlineStr">
        <is>
          <t>تابستان</t>
        </is>
      </c>
      <c r="I219" s="134" t="inlineStr">
        <is>
          <t>چهارشنبه</t>
        </is>
      </c>
      <c r="J219" s="134" t="inlineStr">
        <is>
          <t>بله</t>
        </is>
      </c>
    </row>
    <row r="220">
      <c r="A220" s="173" t="n">
        <v>45141</v>
      </c>
      <c r="B220" s="174" t="n">
        <v>45141</v>
      </c>
      <c r="C220" s="174" t="n">
        <v>1402</v>
      </c>
      <c r="D220" s="174" t="n">
        <v>5</v>
      </c>
      <c r="E220" s="175" t="inlineStr">
        <is>
          <t>1402/05/12</t>
        </is>
      </c>
      <c r="F220" s="128" t="inlineStr">
        <is>
          <t>1402/05</t>
        </is>
      </c>
      <c r="G220" s="58" t="inlineStr">
        <is>
          <t>مرداد</t>
        </is>
      </c>
      <c r="H220" s="128" t="inlineStr">
        <is>
          <t>تابستان</t>
        </is>
      </c>
      <c r="I220" s="128" t="inlineStr">
        <is>
          <t>پنجشنبه</t>
        </is>
      </c>
      <c r="J220" s="128" t="inlineStr">
        <is>
          <t>بله</t>
        </is>
      </c>
    </row>
    <row r="221">
      <c r="A221" s="176" t="n">
        <v>45142</v>
      </c>
      <c r="B221" s="177" t="n">
        <v>45142</v>
      </c>
      <c r="C221" s="177" t="n">
        <v>1402</v>
      </c>
      <c r="D221" s="177" t="n">
        <v>5</v>
      </c>
      <c r="E221" s="178" t="inlineStr">
        <is>
          <t>1402/05/13</t>
        </is>
      </c>
      <c r="F221" s="134" t="inlineStr">
        <is>
          <t>1402/05</t>
        </is>
      </c>
      <c r="G221" s="61" t="inlineStr">
        <is>
          <t>مرداد</t>
        </is>
      </c>
      <c r="H221" s="134" t="inlineStr">
        <is>
          <t>تابستان</t>
        </is>
      </c>
      <c r="I221" s="134" t="inlineStr">
        <is>
          <t>جمعه</t>
        </is>
      </c>
      <c r="J221" s="134" t="inlineStr">
        <is>
          <t>بله</t>
        </is>
      </c>
    </row>
    <row r="222">
      <c r="A222" s="173" t="n">
        <v>45143</v>
      </c>
      <c r="B222" s="174" t="n">
        <v>45143</v>
      </c>
      <c r="C222" s="174" t="n">
        <v>1402</v>
      </c>
      <c r="D222" s="174" t="n">
        <v>5</v>
      </c>
      <c r="E222" s="175" t="inlineStr">
        <is>
          <t>1402/05/14</t>
        </is>
      </c>
      <c r="F222" s="128" t="inlineStr">
        <is>
          <t>1402/05</t>
        </is>
      </c>
      <c r="G222" s="58" t="inlineStr">
        <is>
          <t>مرداد</t>
        </is>
      </c>
      <c r="H222" s="128" t="inlineStr">
        <is>
          <t>تابستان</t>
        </is>
      </c>
      <c r="I222" s="128" t="inlineStr">
        <is>
          <t>شنبه</t>
        </is>
      </c>
      <c r="J222" s="128" t="inlineStr">
        <is>
          <t>خیر</t>
        </is>
      </c>
    </row>
    <row r="223">
      <c r="A223" s="176" t="n">
        <v>45144</v>
      </c>
      <c r="B223" s="177" t="n">
        <v>45144</v>
      </c>
      <c r="C223" s="177" t="n">
        <v>1402</v>
      </c>
      <c r="D223" s="177" t="n">
        <v>5</v>
      </c>
      <c r="E223" s="178" t="inlineStr">
        <is>
          <t>1402/05/15</t>
        </is>
      </c>
      <c r="F223" s="134" t="inlineStr">
        <is>
          <t>1402/05</t>
        </is>
      </c>
      <c r="G223" s="61" t="inlineStr">
        <is>
          <t>مرداد</t>
        </is>
      </c>
      <c r="H223" s="134" t="inlineStr">
        <is>
          <t>تابستان</t>
        </is>
      </c>
      <c r="I223" s="134" t="inlineStr">
        <is>
          <t>یکشنبه</t>
        </is>
      </c>
      <c r="J223" s="134" t="inlineStr">
        <is>
          <t>خیر</t>
        </is>
      </c>
    </row>
    <row r="224">
      <c r="A224" s="173" t="n">
        <v>45145</v>
      </c>
      <c r="B224" s="174" t="n">
        <v>45145</v>
      </c>
      <c r="C224" s="174" t="n">
        <v>1402</v>
      </c>
      <c r="D224" s="174" t="n">
        <v>5</v>
      </c>
      <c r="E224" s="175" t="inlineStr">
        <is>
          <t>1402/05/16</t>
        </is>
      </c>
      <c r="F224" s="128" t="inlineStr">
        <is>
          <t>1402/05</t>
        </is>
      </c>
      <c r="G224" s="58" t="inlineStr">
        <is>
          <t>مرداد</t>
        </is>
      </c>
      <c r="H224" s="128" t="inlineStr">
        <is>
          <t>تابستان</t>
        </is>
      </c>
      <c r="I224" s="128" t="inlineStr">
        <is>
          <t>دوشنبه</t>
        </is>
      </c>
      <c r="J224" s="128" t="inlineStr">
        <is>
          <t>بله</t>
        </is>
      </c>
    </row>
    <row r="225">
      <c r="A225" s="176" t="n">
        <v>45146</v>
      </c>
      <c r="B225" s="177" t="n">
        <v>45146</v>
      </c>
      <c r="C225" s="177" t="n">
        <v>1402</v>
      </c>
      <c r="D225" s="177" t="n">
        <v>5</v>
      </c>
      <c r="E225" s="178" t="inlineStr">
        <is>
          <t>1402/05/17</t>
        </is>
      </c>
      <c r="F225" s="134" t="inlineStr">
        <is>
          <t>1402/05</t>
        </is>
      </c>
      <c r="G225" s="61" t="inlineStr">
        <is>
          <t>مرداد</t>
        </is>
      </c>
      <c r="H225" s="134" t="inlineStr">
        <is>
          <t>تابستان</t>
        </is>
      </c>
      <c r="I225" s="134" t="inlineStr">
        <is>
          <t>سه‌شنبه</t>
        </is>
      </c>
      <c r="J225" s="134" t="inlineStr">
        <is>
          <t>بله</t>
        </is>
      </c>
    </row>
    <row r="226">
      <c r="A226" s="173" t="n">
        <v>45147</v>
      </c>
      <c r="B226" s="174" t="n">
        <v>45147</v>
      </c>
      <c r="C226" s="174" t="n">
        <v>1402</v>
      </c>
      <c r="D226" s="174" t="n">
        <v>5</v>
      </c>
      <c r="E226" s="175" t="inlineStr">
        <is>
          <t>1402/05/18</t>
        </is>
      </c>
      <c r="F226" s="128" t="inlineStr">
        <is>
          <t>1402/05</t>
        </is>
      </c>
      <c r="G226" s="58" t="inlineStr">
        <is>
          <t>مرداد</t>
        </is>
      </c>
      <c r="H226" s="128" t="inlineStr">
        <is>
          <t>تابستان</t>
        </is>
      </c>
      <c r="I226" s="128" t="inlineStr">
        <is>
          <t>چهارشنبه</t>
        </is>
      </c>
      <c r="J226" s="128" t="inlineStr">
        <is>
          <t>بله</t>
        </is>
      </c>
    </row>
    <row r="227">
      <c r="A227" s="176" t="n">
        <v>45148</v>
      </c>
      <c r="B227" s="177" t="n">
        <v>45148</v>
      </c>
      <c r="C227" s="177" t="n">
        <v>1402</v>
      </c>
      <c r="D227" s="177" t="n">
        <v>5</v>
      </c>
      <c r="E227" s="178" t="inlineStr">
        <is>
          <t>1402/05/19</t>
        </is>
      </c>
      <c r="F227" s="134" t="inlineStr">
        <is>
          <t>1402/05</t>
        </is>
      </c>
      <c r="G227" s="61" t="inlineStr">
        <is>
          <t>مرداد</t>
        </is>
      </c>
      <c r="H227" s="134" t="inlineStr">
        <is>
          <t>تابستان</t>
        </is>
      </c>
      <c r="I227" s="134" t="inlineStr">
        <is>
          <t>پنجشنبه</t>
        </is>
      </c>
      <c r="J227" s="134" t="inlineStr">
        <is>
          <t>بله</t>
        </is>
      </c>
    </row>
    <row r="228">
      <c r="A228" s="173" t="n">
        <v>45149</v>
      </c>
      <c r="B228" s="174" t="n">
        <v>45149</v>
      </c>
      <c r="C228" s="174" t="n">
        <v>1402</v>
      </c>
      <c r="D228" s="174" t="n">
        <v>5</v>
      </c>
      <c r="E228" s="175" t="inlineStr">
        <is>
          <t>1402/05/20</t>
        </is>
      </c>
      <c r="F228" s="128" t="inlineStr">
        <is>
          <t>1402/05</t>
        </is>
      </c>
      <c r="G228" s="58" t="inlineStr">
        <is>
          <t>مرداد</t>
        </is>
      </c>
      <c r="H228" s="128" t="inlineStr">
        <is>
          <t>تابستان</t>
        </is>
      </c>
      <c r="I228" s="128" t="inlineStr">
        <is>
          <t>جمعه</t>
        </is>
      </c>
      <c r="J228" s="128" t="inlineStr">
        <is>
          <t>بله</t>
        </is>
      </c>
    </row>
    <row r="229">
      <c r="A229" s="176" t="n">
        <v>45150</v>
      </c>
      <c r="B229" s="177" t="n">
        <v>45150</v>
      </c>
      <c r="C229" s="177" t="n">
        <v>1402</v>
      </c>
      <c r="D229" s="177" t="n">
        <v>5</v>
      </c>
      <c r="E229" s="178" t="inlineStr">
        <is>
          <t>1402/05/21</t>
        </is>
      </c>
      <c r="F229" s="134" t="inlineStr">
        <is>
          <t>1402/05</t>
        </is>
      </c>
      <c r="G229" s="61" t="inlineStr">
        <is>
          <t>مرداد</t>
        </is>
      </c>
      <c r="H229" s="134" t="inlineStr">
        <is>
          <t>تابستان</t>
        </is>
      </c>
      <c r="I229" s="134" t="inlineStr">
        <is>
          <t>شنبه</t>
        </is>
      </c>
      <c r="J229" s="134" t="inlineStr">
        <is>
          <t>خیر</t>
        </is>
      </c>
    </row>
    <row r="230">
      <c r="A230" s="173" t="n">
        <v>45151</v>
      </c>
      <c r="B230" s="174" t="n">
        <v>45151</v>
      </c>
      <c r="C230" s="174" t="n">
        <v>1402</v>
      </c>
      <c r="D230" s="174" t="n">
        <v>5</v>
      </c>
      <c r="E230" s="175" t="inlineStr">
        <is>
          <t>1402/05/22</t>
        </is>
      </c>
      <c r="F230" s="128" t="inlineStr">
        <is>
          <t>1402/05</t>
        </is>
      </c>
      <c r="G230" s="58" t="inlineStr">
        <is>
          <t>مرداد</t>
        </is>
      </c>
      <c r="H230" s="128" t="inlineStr">
        <is>
          <t>تابستان</t>
        </is>
      </c>
      <c r="I230" s="128" t="inlineStr">
        <is>
          <t>یکشنبه</t>
        </is>
      </c>
      <c r="J230" s="128" t="inlineStr">
        <is>
          <t>خیر</t>
        </is>
      </c>
    </row>
    <row r="231">
      <c r="A231" s="176" t="n">
        <v>45152</v>
      </c>
      <c r="B231" s="177" t="n">
        <v>45152</v>
      </c>
      <c r="C231" s="177" t="n">
        <v>1402</v>
      </c>
      <c r="D231" s="177" t="n">
        <v>5</v>
      </c>
      <c r="E231" s="178" t="inlineStr">
        <is>
          <t>1402/05/23</t>
        </is>
      </c>
      <c r="F231" s="134" t="inlineStr">
        <is>
          <t>1402/05</t>
        </is>
      </c>
      <c r="G231" s="61" t="inlineStr">
        <is>
          <t>مرداد</t>
        </is>
      </c>
      <c r="H231" s="134" t="inlineStr">
        <is>
          <t>تابستان</t>
        </is>
      </c>
      <c r="I231" s="134" t="inlineStr">
        <is>
          <t>دوشنبه</t>
        </is>
      </c>
      <c r="J231" s="134" t="inlineStr">
        <is>
          <t>بله</t>
        </is>
      </c>
    </row>
    <row r="232">
      <c r="A232" s="173" t="n">
        <v>45153</v>
      </c>
      <c r="B232" s="174" t="n">
        <v>45153</v>
      </c>
      <c r="C232" s="174" t="n">
        <v>1402</v>
      </c>
      <c r="D232" s="174" t="n">
        <v>5</v>
      </c>
      <c r="E232" s="175" t="inlineStr">
        <is>
          <t>1402/05/24</t>
        </is>
      </c>
      <c r="F232" s="128" t="inlineStr">
        <is>
          <t>1402/05</t>
        </is>
      </c>
      <c r="G232" s="58" t="inlineStr">
        <is>
          <t>مرداد</t>
        </is>
      </c>
      <c r="H232" s="128" t="inlineStr">
        <is>
          <t>تابستان</t>
        </is>
      </c>
      <c r="I232" s="128" t="inlineStr">
        <is>
          <t>سه‌شنبه</t>
        </is>
      </c>
      <c r="J232" s="128" t="inlineStr">
        <is>
          <t>بله</t>
        </is>
      </c>
    </row>
    <row r="233">
      <c r="A233" s="176" t="n">
        <v>45154</v>
      </c>
      <c r="B233" s="177" t="n">
        <v>45154</v>
      </c>
      <c r="C233" s="177" t="n">
        <v>1402</v>
      </c>
      <c r="D233" s="177" t="n">
        <v>5</v>
      </c>
      <c r="E233" s="178" t="inlineStr">
        <is>
          <t>1402/05/25</t>
        </is>
      </c>
      <c r="F233" s="134" t="inlineStr">
        <is>
          <t>1402/05</t>
        </is>
      </c>
      <c r="G233" s="61" t="inlineStr">
        <is>
          <t>مرداد</t>
        </is>
      </c>
      <c r="H233" s="134" t="inlineStr">
        <is>
          <t>تابستان</t>
        </is>
      </c>
      <c r="I233" s="134" t="inlineStr">
        <is>
          <t>چهارشنبه</t>
        </is>
      </c>
      <c r="J233" s="134" t="inlineStr">
        <is>
          <t>بله</t>
        </is>
      </c>
    </row>
    <row r="234">
      <c r="A234" s="173" t="n">
        <v>45155</v>
      </c>
      <c r="B234" s="174" t="n">
        <v>45155</v>
      </c>
      <c r="C234" s="174" t="n">
        <v>1402</v>
      </c>
      <c r="D234" s="174" t="n">
        <v>5</v>
      </c>
      <c r="E234" s="175" t="inlineStr">
        <is>
          <t>1402/05/26</t>
        </is>
      </c>
      <c r="F234" s="128" t="inlineStr">
        <is>
          <t>1402/05</t>
        </is>
      </c>
      <c r="G234" s="58" t="inlineStr">
        <is>
          <t>مرداد</t>
        </is>
      </c>
      <c r="H234" s="128" t="inlineStr">
        <is>
          <t>تابستان</t>
        </is>
      </c>
      <c r="I234" s="128" t="inlineStr">
        <is>
          <t>پنجشنبه</t>
        </is>
      </c>
      <c r="J234" s="128" t="inlineStr">
        <is>
          <t>بله</t>
        </is>
      </c>
    </row>
    <row r="235">
      <c r="A235" s="176" t="n">
        <v>45156</v>
      </c>
      <c r="B235" s="177" t="n">
        <v>45156</v>
      </c>
      <c r="C235" s="177" t="n">
        <v>1402</v>
      </c>
      <c r="D235" s="177" t="n">
        <v>5</v>
      </c>
      <c r="E235" s="178" t="inlineStr">
        <is>
          <t>1402/05/27</t>
        </is>
      </c>
      <c r="F235" s="134" t="inlineStr">
        <is>
          <t>1402/05</t>
        </is>
      </c>
      <c r="G235" s="61" t="inlineStr">
        <is>
          <t>مرداد</t>
        </is>
      </c>
      <c r="H235" s="134" t="inlineStr">
        <is>
          <t>تابستان</t>
        </is>
      </c>
      <c r="I235" s="134" t="inlineStr">
        <is>
          <t>جمعه</t>
        </is>
      </c>
      <c r="J235" s="134" t="inlineStr">
        <is>
          <t>بله</t>
        </is>
      </c>
    </row>
    <row r="236">
      <c r="A236" s="173" t="n">
        <v>45157</v>
      </c>
      <c r="B236" s="174" t="n">
        <v>45157</v>
      </c>
      <c r="C236" s="174" t="n">
        <v>1402</v>
      </c>
      <c r="D236" s="174" t="n">
        <v>5</v>
      </c>
      <c r="E236" s="175" t="inlineStr">
        <is>
          <t>1402/05/28</t>
        </is>
      </c>
      <c r="F236" s="128" t="inlineStr">
        <is>
          <t>1402/05</t>
        </is>
      </c>
      <c r="G236" s="58" t="inlineStr">
        <is>
          <t>مرداد</t>
        </is>
      </c>
      <c r="H236" s="128" t="inlineStr">
        <is>
          <t>تابستان</t>
        </is>
      </c>
      <c r="I236" s="128" t="inlineStr">
        <is>
          <t>شنبه</t>
        </is>
      </c>
      <c r="J236" s="128" t="inlineStr">
        <is>
          <t>خیر</t>
        </is>
      </c>
    </row>
    <row r="237">
      <c r="A237" s="176" t="n">
        <v>45158</v>
      </c>
      <c r="B237" s="177" t="n">
        <v>45158</v>
      </c>
      <c r="C237" s="177" t="n">
        <v>1402</v>
      </c>
      <c r="D237" s="177" t="n">
        <v>5</v>
      </c>
      <c r="E237" s="178" t="inlineStr">
        <is>
          <t>1402/05/29</t>
        </is>
      </c>
      <c r="F237" s="134" t="inlineStr">
        <is>
          <t>1402/05</t>
        </is>
      </c>
      <c r="G237" s="61" t="inlineStr">
        <is>
          <t>مرداد</t>
        </is>
      </c>
      <c r="H237" s="134" t="inlineStr">
        <is>
          <t>تابستان</t>
        </is>
      </c>
      <c r="I237" s="134" t="inlineStr">
        <is>
          <t>یکشنبه</t>
        </is>
      </c>
      <c r="J237" s="134" t="inlineStr">
        <is>
          <t>خیر</t>
        </is>
      </c>
    </row>
    <row r="238">
      <c r="A238" s="173" t="n">
        <v>45159</v>
      </c>
      <c r="B238" s="174" t="n">
        <v>45159</v>
      </c>
      <c r="C238" s="174" t="n">
        <v>1402</v>
      </c>
      <c r="D238" s="174" t="n">
        <v>5</v>
      </c>
      <c r="E238" s="175" t="inlineStr">
        <is>
          <t>1402/05/30</t>
        </is>
      </c>
      <c r="F238" s="128" t="inlineStr">
        <is>
          <t>1402/05</t>
        </is>
      </c>
      <c r="G238" s="58" t="inlineStr">
        <is>
          <t>مرداد</t>
        </is>
      </c>
      <c r="H238" s="128" t="inlineStr">
        <is>
          <t>تابستان</t>
        </is>
      </c>
      <c r="I238" s="128" t="inlineStr">
        <is>
          <t>دوشنبه</t>
        </is>
      </c>
      <c r="J238" s="128" t="inlineStr">
        <is>
          <t>بله</t>
        </is>
      </c>
    </row>
    <row r="239">
      <c r="A239" s="176" t="n">
        <v>45160</v>
      </c>
      <c r="B239" s="177" t="n">
        <v>45160</v>
      </c>
      <c r="C239" s="177" t="n">
        <v>1402</v>
      </c>
      <c r="D239" s="177" t="n">
        <v>5</v>
      </c>
      <c r="E239" s="178" t="inlineStr">
        <is>
          <t>1402/05/31</t>
        </is>
      </c>
      <c r="F239" s="134" t="inlineStr">
        <is>
          <t>1402/05</t>
        </is>
      </c>
      <c r="G239" s="61" t="inlineStr">
        <is>
          <t>مرداد</t>
        </is>
      </c>
      <c r="H239" s="134" t="inlineStr">
        <is>
          <t>تابستان</t>
        </is>
      </c>
      <c r="I239" s="134" t="inlineStr">
        <is>
          <t>سه‌شنبه</t>
        </is>
      </c>
      <c r="J239" s="134" t="inlineStr">
        <is>
          <t>بله</t>
        </is>
      </c>
    </row>
    <row r="240">
      <c r="A240" s="173" t="n">
        <v>45161</v>
      </c>
      <c r="B240" s="174" t="n">
        <v>45161</v>
      </c>
      <c r="C240" s="174" t="n">
        <v>1402</v>
      </c>
      <c r="D240" s="174" t="n">
        <v>6</v>
      </c>
      <c r="E240" s="175" t="inlineStr">
        <is>
          <t>1402/06/01</t>
        </is>
      </c>
      <c r="F240" s="128" t="inlineStr">
        <is>
          <t>1402/06</t>
        </is>
      </c>
      <c r="G240" s="58" t="inlineStr">
        <is>
          <t>شهریور</t>
        </is>
      </c>
      <c r="H240" s="128" t="inlineStr">
        <is>
          <t>تابستان</t>
        </is>
      </c>
      <c r="I240" s="128" t="inlineStr">
        <is>
          <t>چهارشنبه</t>
        </is>
      </c>
      <c r="J240" s="128" t="inlineStr">
        <is>
          <t>بله</t>
        </is>
      </c>
    </row>
    <row r="241">
      <c r="A241" s="176" t="n">
        <v>45162</v>
      </c>
      <c r="B241" s="177" t="n">
        <v>45162</v>
      </c>
      <c r="C241" s="177" t="n">
        <v>1402</v>
      </c>
      <c r="D241" s="177" t="n">
        <v>6</v>
      </c>
      <c r="E241" s="178" t="inlineStr">
        <is>
          <t>1402/06/02</t>
        </is>
      </c>
      <c r="F241" s="134" t="inlineStr">
        <is>
          <t>1402/06</t>
        </is>
      </c>
      <c r="G241" s="61" t="inlineStr">
        <is>
          <t>شهریور</t>
        </is>
      </c>
      <c r="H241" s="134" t="inlineStr">
        <is>
          <t>تابستان</t>
        </is>
      </c>
      <c r="I241" s="134" t="inlineStr">
        <is>
          <t>پنجشنبه</t>
        </is>
      </c>
      <c r="J241" s="134" t="inlineStr">
        <is>
          <t>بله</t>
        </is>
      </c>
    </row>
    <row r="242">
      <c r="A242" s="173" t="n">
        <v>45163</v>
      </c>
      <c r="B242" s="174" t="n">
        <v>45163</v>
      </c>
      <c r="C242" s="174" t="n">
        <v>1402</v>
      </c>
      <c r="D242" s="174" t="n">
        <v>6</v>
      </c>
      <c r="E242" s="175" t="inlineStr">
        <is>
          <t>1402/06/03</t>
        </is>
      </c>
      <c r="F242" s="128" t="inlineStr">
        <is>
          <t>1402/06</t>
        </is>
      </c>
      <c r="G242" s="58" t="inlineStr">
        <is>
          <t>شهریور</t>
        </is>
      </c>
      <c r="H242" s="128" t="inlineStr">
        <is>
          <t>تابستان</t>
        </is>
      </c>
      <c r="I242" s="128" t="inlineStr">
        <is>
          <t>جمعه</t>
        </is>
      </c>
      <c r="J242" s="128" t="inlineStr">
        <is>
          <t>بله</t>
        </is>
      </c>
    </row>
    <row r="243">
      <c r="A243" s="176" t="n">
        <v>45164</v>
      </c>
      <c r="B243" s="177" t="n">
        <v>45164</v>
      </c>
      <c r="C243" s="177" t="n">
        <v>1402</v>
      </c>
      <c r="D243" s="177" t="n">
        <v>6</v>
      </c>
      <c r="E243" s="178" t="inlineStr">
        <is>
          <t>1402/06/04</t>
        </is>
      </c>
      <c r="F243" s="134" t="inlineStr">
        <is>
          <t>1402/06</t>
        </is>
      </c>
      <c r="G243" s="61" t="inlineStr">
        <is>
          <t>شهریور</t>
        </is>
      </c>
      <c r="H243" s="134" t="inlineStr">
        <is>
          <t>تابستان</t>
        </is>
      </c>
      <c r="I243" s="134" t="inlineStr">
        <is>
          <t>شنبه</t>
        </is>
      </c>
      <c r="J243" s="134" t="inlineStr">
        <is>
          <t>خیر</t>
        </is>
      </c>
    </row>
    <row r="244">
      <c r="A244" s="173" t="n">
        <v>45165</v>
      </c>
      <c r="B244" s="174" t="n">
        <v>45165</v>
      </c>
      <c r="C244" s="174" t="n">
        <v>1402</v>
      </c>
      <c r="D244" s="174" t="n">
        <v>6</v>
      </c>
      <c r="E244" s="175" t="inlineStr">
        <is>
          <t>1402/06/05</t>
        </is>
      </c>
      <c r="F244" s="128" t="inlineStr">
        <is>
          <t>1402/06</t>
        </is>
      </c>
      <c r="G244" s="58" t="inlineStr">
        <is>
          <t>شهریور</t>
        </is>
      </c>
      <c r="H244" s="128" t="inlineStr">
        <is>
          <t>تابستان</t>
        </is>
      </c>
      <c r="I244" s="128" t="inlineStr">
        <is>
          <t>یکشنبه</t>
        </is>
      </c>
      <c r="J244" s="128" t="inlineStr">
        <is>
          <t>خیر</t>
        </is>
      </c>
    </row>
    <row r="245">
      <c r="A245" s="176" t="n">
        <v>45166</v>
      </c>
      <c r="B245" s="177" t="n">
        <v>45166</v>
      </c>
      <c r="C245" s="177" t="n">
        <v>1402</v>
      </c>
      <c r="D245" s="177" t="n">
        <v>6</v>
      </c>
      <c r="E245" s="178" t="inlineStr">
        <is>
          <t>1402/06/06</t>
        </is>
      </c>
      <c r="F245" s="134" t="inlineStr">
        <is>
          <t>1402/06</t>
        </is>
      </c>
      <c r="G245" s="61" t="inlineStr">
        <is>
          <t>شهریور</t>
        </is>
      </c>
      <c r="H245" s="134" t="inlineStr">
        <is>
          <t>تابستان</t>
        </is>
      </c>
      <c r="I245" s="134" t="inlineStr">
        <is>
          <t>دوشنبه</t>
        </is>
      </c>
      <c r="J245" s="134" t="inlineStr">
        <is>
          <t>بله</t>
        </is>
      </c>
    </row>
    <row r="246">
      <c r="A246" s="173" t="n">
        <v>45167</v>
      </c>
      <c r="B246" s="174" t="n">
        <v>45167</v>
      </c>
      <c r="C246" s="174" t="n">
        <v>1402</v>
      </c>
      <c r="D246" s="174" t="n">
        <v>6</v>
      </c>
      <c r="E246" s="175" t="inlineStr">
        <is>
          <t>1402/06/07</t>
        </is>
      </c>
      <c r="F246" s="128" t="inlineStr">
        <is>
          <t>1402/06</t>
        </is>
      </c>
      <c r="G246" s="58" t="inlineStr">
        <is>
          <t>شهریور</t>
        </is>
      </c>
      <c r="H246" s="128" t="inlineStr">
        <is>
          <t>تابستان</t>
        </is>
      </c>
      <c r="I246" s="128" t="inlineStr">
        <is>
          <t>سه‌شنبه</t>
        </is>
      </c>
      <c r="J246" s="128" t="inlineStr">
        <is>
          <t>بله</t>
        </is>
      </c>
    </row>
    <row r="247">
      <c r="A247" s="176" t="n">
        <v>45168</v>
      </c>
      <c r="B247" s="177" t="n">
        <v>45168</v>
      </c>
      <c r="C247" s="177" t="n">
        <v>1402</v>
      </c>
      <c r="D247" s="177" t="n">
        <v>6</v>
      </c>
      <c r="E247" s="178" t="inlineStr">
        <is>
          <t>1402/06/08</t>
        </is>
      </c>
      <c r="F247" s="134" t="inlineStr">
        <is>
          <t>1402/06</t>
        </is>
      </c>
      <c r="G247" s="61" t="inlineStr">
        <is>
          <t>شهریور</t>
        </is>
      </c>
      <c r="H247" s="134" t="inlineStr">
        <is>
          <t>تابستان</t>
        </is>
      </c>
      <c r="I247" s="134" t="inlineStr">
        <is>
          <t>چهارشنبه</t>
        </is>
      </c>
      <c r="J247" s="134" t="inlineStr">
        <is>
          <t>بله</t>
        </is>
      </c>
    </row>
    <row r="248">
      <c r="A248" s="173" t="n">
        <v>45169</v>
      </c>
      <c r="B248" s="174" t="n">
        <v>45169</v>
      </c>
      <c r="C248" s="174" t="n">
        <v>1402</v>
      </c>
      <c r="D248" s="174" t="n">
        <v>6</v>
      </c>
      <c r="E248" s="175" t="inlineStr">
        <is>
          <t>1402/06/09</t>
        </is>
      </c>
      <c r="F248" s="128" t="inlineStr">
        <is>
          <t>1402/06</t>
        </is>
      </c>
      <c r="G248" s="58" t="inlineStr">
        <is>
          <t>شهریور</t>
        </is>
      </c>
      <c r="H248" s="128" t="inlineStr">
        <is>
          <t>تابستان</t>
        </is>
      </c>
      <c r="I248" s="128" t="inlineStr">
        <is>
          <t>پنجشنبه</t>
        </is>
      </c>
      <c r="J248" s="128" t="inlineStr">
        <is>
          <t>بله</t>
        </is>
      </c>
    </row>
    <row r="249">
      <c r="A249" s="176" t="n">
        <v>45170</v>
      </c>
      <c r="B249" s="177" t="n">
        <v>45170</v>
      </c>
      <c r="C249" s="177" t="n">
        <v>1402</v>
      </c>
      <c r="D249" s="177" t="n">
        <v>6</v>
      </c>
      <c r="E249" s="178" t="inlineStr">
        <is>
          <t>1402/06/10</t>
        </is>
      </c>
      <c r="F249" s="134" t="inlineStr">
        <is>
          <t>1402/06</t>
        </is>
      </c>
      <c r="G249" s="61" t="inlineStr">
        <is>
          <t>شهریور</t>
        </is>
      </c>
      <c r="H249" s="134" t="inlineStr">
        <is>
          <t>تابستان</t>
        </is>
      </c>
      <c r="I249" s="134" t="inlineStr">
        <is>
          <t>جمعه</t>
        </is>
      </c>
      <c r="J249" s="134" t="inlineStr">
        <is>
          <t>بله</t>
        </is>
      </c>
    </row>
    <row r="250">
      <c r="A250" s="173" t="n">
        <v>45171</v>
      </c>
      <c r="B250" s="174" t="n">
        <v>45171</v>
      </c>
      <c r="C250" s="174" t="n">
        <v>1402</v>
      </c>
      <c r="D250" s="174" t="n">
        <v>6</v>
      </c>
      <c r="E250" s="175" t="inlineStr">
        <is>
          <t>1402/06/11</t>
        </is>
      </c>
      <c r="F250" s="128" t="inlineStr">
        <is>
          <t>1402/06</t>
        </is>
      </c>
      <c r="G250" s="58" t="inlineStr">
        <is>
          <t>شهریور</t>
        </is>
      </c>
      <c r="H250" s="128" t="inlineStr">
        <is>
          <t>تابستان</t>
        </is>
      </c>
      <c r="I250" s="128" t="inlineStr">
        <is>
          <t>شنبه</t>
        </is>
      </c>
      <c r="J250" s="128" t="inlineStr">
        <is>
          <t>خیر</t>
        </is>
      </c>
    </row>
    <row r="251">
      <c r="A251" s="176" t="n">
        <v>45172</v>
      </c>
      <c r="B251" s="177" t="n">
        <v>45172</v>
      </c>
      <c r="C251" s="177" t="n">
        <v>1402</v>
      </c>
      <c r="D251" s="177" t="n">
        <v>6</v>
      </c>
      <c r="E251" s="178" t="inlineStr">
        <is>
          <t>1402/06/12</t>
        </is>
      </c>
      <c r="F251" s="134" t="inlineStr">
        <is>
          <t>1402/06</t>
        </is>
      </c>
      <c r="G251" s="61" t="inlineStr">
        <is>
          <t>شهریور</t>
        </is>
      </c>
      <c r="H251" s="134" t="inlineStr">
        <is>
          <t>تابستان</t>
        </is>
      </c>
      <c r="I251" s="134" t="inlineStr">
        <is>
          <t>یکشنبه</t>
        </is>
      </c>
      <c r="J251" s="134" t="inlineStr">
        <is>
          <t>خیر</t>
        </is>
      </c>
    </row>
    <row r="252">
      <c r="A252" s="173" t="n">
        <v>45173</v>
      </c>
      <c r="B252" s="174" t="n">
        <v>45173</v>
      </c>
      <c r="C252" s="174" t="n">
        <v>1402</v>
      </c>
      <c r="D252" s="174" t="n">
        <v>6</v>
      </c>
      <c r="E252" s="175" t="inlineStr">
        <is>
          <t>1402/06/13</t>
        </is>
      </c>
      <c r="F252" s="128" t="inlineStr">
        <is>
          <t>1402/06</t>
        </is>
      </c>
      <c r="G252" s="58" t="inlineStr">
        <is>
          <t>شهریور</t>
        </is>
      </c>
      <c r="H252" s="128" t="inlineStr">
        <is>
          <t>تابستان</t>
        </is>
      </c>
      <c r="I252" s="128" t="inlineStr">
        <is>
          <t>دوشنبه</t>
        </is>
      </c>
      <c r="J252" s="128" t="inlineStr">
        <is>
          <t>بله</t>
        </is>
      </c>
    </row>
    <row r="253">
      <c r="A253" s="176" t="n">
        <v>45174</v>
      </c>
      <c r="B253" s="177" t="n">
        <v>45174</v>
      </c>
      <c r="C253" s="177" t="n">
        <v>1402</v>
      </c>
      <c r="D253" s="177" t="n">
        <v>6</v>
      </c>
      <c r="E253" s="178" t="inlineStr">
        <is>
          <t>1402/06/14</t>
        </is>
      </c>
      <c r="F253" s="134" t="inlineStr">
        <is>
          <t>1402/06</t>
        </is>
      </c>
      <c r="G253" s="61" t="inlineStr">
        <is>
          <t>شهریور</t>
        </is>
      </c>
      <c r="H253" s="134" t="inlineStr">
        <is>
          <t>تابستان</t>
        </is>
      </c>
      <c r="I253" s="134" t="inlineStr">
        <is>
          <t>سه‌شنبه</t>
        </is>
      </c>
      <c r="J253" s="134" t="inlineStr">
        <is>
          <t>بله</t>
        </is>
      </c>
    </row>
    <row r="254">
      <c r="A254" s="173" t="n">
        <v>45175</v>
      </c>
      <c r="B254" s="174" t="n">
        <v>45175</v>
      </c>
      <c r="C254" s="174" t="n">
        <v>1402</v>
      </c>
      <c r="D254" s="174" t="n">
        <v>6</v>
      </c>
      <c r="E254" s="175" t="inlineStr">
        <is>
          <t>1402/06/15</t>
        </is>
      </c>
      <c r="F254" s="128" t="inlineStr">
        <is>
          <t>1402/06</t>
        </is>
      </c>
      <c r="G254" s="58" t="inlineStr">
        <is>
          <t>شهریور</t>
        </is>
      </c>
      <c r="H254" s="128" t="inlineStr">
        <is>
          <t>تابستان</t>
        </is>
      </c>
      <c r="I254" s="128" t="inlineStr">
        <is>
          <t>چهارشنبه</t>
        </is>
      </c>
      <c r="J254" s="128" t="inlineStr">
        <is>
          <t>بله</t>
        </is>
      </c>
    </row>
    <row r="255">
      <c r="A255" s="176" t="n">
        <v>45176</v>
      </c>
      <c r="B255" s="177" t="n">
        <v>45176</v>
      </c>
      <c r="C255" s="177" t="n">
        <v>1402</v>
      </c>
      <c r="D255" s="177" t="n">
        <v>6</v>
      </c>
      <c r="E255" s="178" t="inlineStr">
        <is>
          <t>1402/06/16</t>
        </is>
      </c>
      <c r="F255" s="134" t="inlineStr">
        <is>
          <t>1402/06</t>
        </is>
      </c>
      <c r="G255" s="61" t="inlineStr">
        <is>
          <t>شهریور</t>
        </is>
      </c>
      <c r="H255" s="134" t="inlineStr">
        <is>
          <t>تابستان</t>
        </is>
      </c>
      <c r="I255" s="134" t="inlineStr">
        <is>
          <t>پنجشنبه</t>
        </is>
      </c>
      <c r="J255" s="134" t="inlineStr">
        <is>
          <t>بله</t>
        </is>
      </c>
    </row>
    <row r="256">
      <c r="A256" s="173" t="n">
        <v>45177</v>
      </c>
      <c r="B256" s="174" t="n">
        <v>45177</v>
      </c>
      <c r="C256" s="174" t="n">
        <v>1402</v>
      </c>
      <c r="D256" s="174" t="n">
        <v>6</v>
      </c>
      <c r="E256" s="175" t="inlineStr">
        <is>
          <t>1402/06/17</t>
        </is>
      </c>
      <c r="F256" s="128" t="inlineStr">
        <is>
          <t>1402/06</t>
        </is>
      </c>
      <c r="G256" s="58" t="inlineStr">
        <is>
          <t>شهریور</t>
        </is>
      </c>
      <c r="H256" s="128" t="inlineStr">
        <is>
          <t>تابستان</t>
        </is>
      </c>
      <c r="I256" s="128" t="inlineStr">
        <is>
          <t>جمعه</t>
        </is>
      </c>
      <c r="J256" s="128" t="inlineStr">
        <is>
          <t>بله</t>
        </is>
      </c>
    </row>
    <row r="257">
      <c r="A257" s="176" t="n">
        <v>45178</v>
      </c>
      <c r="B257" s="177" t="n">
        <v>45178</v>
      </c>
      <c r="C257" s="177" t="n">
        <v>1402</v>
      </c>
      <c r="D257" s="177" t="n">
        <v>6</v>
      </c>
      <c r="E257" s="178" t="inlineStr">
        <is>
          <t>1402/06/18</t>
        </is>
      </c>
      <c r="F257" s="134" t="inlineStr">
        <is>
          <t>1402/06</t>
        </is>
      </c>
      <c r="G257" s="61" t="inlineStr">
        <is>
          <t>شهریور</t>
        </is>
      </c>
      <c r="H257" s="134" t="inlineStr">
        <is>
          <t>تابستان</t>
        </is>
      </c>
      <c r="I257" s="134" t="inlineStr">
        <is>
          <t>شنبه</t>
        </is>
      </c>
      <c r="J257" s="134" t="inlineStr">
        <is>
          <t>خیر</t>
        </is>
      </c>
    </row>
    <row r="258">
      <c r="A258" s="173" t="n">
        <v>45179</v>
      </c>
      <c r="B258" s="174" t="n">
        <v>45179</v>
      </c>
      <c r="C258" s="174" t="n">
        <v>1402</v>
      </c>
      <c r="D258" s="174" t="n">
        <v>6</v>
      </c>
      <c r="E258" s="175" t="inlineStr">
        <is>
          <t>1402/06/19</t>
        </is>
      </c>
      <c r="F258" s="128" t="inlineStr">
        <is>
          <t>1402/06</t>
        </is>
      </c>
      <c r="G258" s="58" t="inlineStr">
        <is>
          <t>شهریور</t>
        </is>
      </c>
      <c r="H258" s="128" t="inlineStr">
        <is>
          <t>تابستان</t>
        </is>
      </c>
      <c r="I258" s="128" t="inlineStr">
        <is>
          <t>یکشنبه</t>
        </is>
      </c>
      <c r="J258" s="128" t="inlineStr">
        <is>
          <t>خیر</t>
        </is>
      </c>
    </row>
    <row r="259">
      <c r="A259" s="176" t="n">
        <v>45180</v>
      </c>
      <c r="B259" s="177" t="n">
        <v>45180</v>
      </c>
      <c r="C259" s="177" t="n">
        <v>1402</v>
      </c>
      <c r="D259" s="177" t="n">
        <v>6</v>
      </c>
      <c r="E259" s="178" t="inlineStr">
        <is>
          <t>1402/06/20</t>
        </is>
      </c>
      <c r="F259" s="134" t="inlineStr">
        <is>
          <t>1402/06</t>
        </is>
      </c>
      <c r="G259" s="61" t="inlineStr">
        <is>
          <t>شهریور</t>
        </is>
      </c>
      <c r="H259" s="134" t="inlineStr">
        <is>
          <t>تابستان</t>
        </is>
      </c>
      <c r="I259" s="134" t="inlineStr">
        <is>
          <t>دوشنبه</t>
        </is>
      </c>
      <c r="J259" s="134" t="inlineStr">
        <is>
          <t>بله</t>
        </is>
      </c>
    </row>
    <row r="260">
      <c r="A260" s="173" t="n">
        <v>45181</v>
      </c>
      <c r="B260" s="174" t="n">
        <v>45181</v>
      </c>
      <c r="C260" s="174" t="n">
        <v>1402</v>
      </c>
      <c r="D260" s="174" t="n">
        <v>6</v>
      </c>
      <c r="E260" s="175" t="inlineStr">
        <is>
          <t>1402/06/21</t>
        </is>
      </c>
      <c r="F260" s="128" t="inlineStr">
        <is>
          <t>1402/06</t>
        </is>
      </c>
      <c r="G260" s="58" t="inlineStr">
        <is>
          <t>شهریور</t>
        </is>
      </c>
      <c r="H260" s="128" t="inlineStr">
        <is>
          <t>تابستان</t>
        </is>
      </c>
      <c r="I260" s="128" t="inlineStr">
        <is>
          <t>سه‌شنبه</t>
        </is>
      </c>
      <c r="J260" s="128" t="inlineStr">
        <is>
          <t>بله</t>
        </is>
      </c>
    </row>
    <row r="261">
      <c r="A261" s="176" t="n">
        <v>45182</v>
      </c>
      <c r="B261" s="177" t="n">
        <v>45182</v>
      </c>
      <c r="C261" s="177" t="n">
        <v>1402</v>
      </c>
      <c r="D261" s="177" t="n">
        <v>6</v>
      </c>
      <c r="E261" s="178" t="inlineStr">
        <is>
          <t>1402/06/22</t>
        </is>
      </c>
      <c r="F261" s="134" t="inlineStr">
        <is>
          <t>1402/06</t>
        </is>
      </c>
      <c r="G261" s="61" t="inlineStr">
        <is>
          <t>شهریور</t>
        </is>
      </c>
      <c r="H261" s="134" t="inlineStr">
        <is>
          <t>تابستان</t>
        </is>
      </c>
      <c r="I261" s="134" t="inlineStr">
        <is>
          <t>چهارشنبه</t>
        </is>
      </c>
      <c r="J261" s="134" t="inlineStr">
        <is>
          <t>بله</t>
        </is>
      </c>
    </row>
    <row r="262">
      <c r="A262" s="173" t="n">
        <v>45183</v>
      </c>
      <c r="B262" s="174" t="n">
        <v>45183</v>
      </c>
      <c r="C262" s="174" t="n">
        <v>1402</v>
      </c>
      <c r="D262" s="174" t="n">
        <v>6</v>
      </c>
      <c r="E262" s="175" t="inlineStr">
        <is>
          <t>1402/06/23</t>
        </is>
      </c>
      <c r="F262" s="128" t="inlineStr">
        <is>
          <t>1402/06</t>
        </is>
      </c>
      <c r="G262" s="58" t="inlineStr">
        <is>
          <t>شهریور</t>
        </is>
      </c>
      <c r="H262" s="128" t="inlineStr">
        <is>
          <t>تابستان</t>
        </is>
      </c>
      <c r="I262" s="128" t="inlineStr">
        <is>
          <t>پنجشنبه</t>
        </is>
      </c>
      <c r="J262" s="128" t="inlineStr">
        <is>
          <t>بله</t>
        </is>
      </c>
    </row>
    <row r="263">
      <c r="A263" s="176" t="n">
        <v>45184</v>
      </c>
      <c r="B263" s="177" t="n">
        <v>45184</v>
      </c>
      <c r="C263" s="177" t="n">
        <v>1402</v>
      </c>
      <c r="D263" s="177" t="n">
        <v>6</v>
      </c>
      <c r="E263" s="178" t="inlineStr">
        <is>
          <t>1402/06/24</t>
        </is>
      </c>
      <c r="F263" s="134" t="inlineStr">
        <is>
          <t>1402/06</t>
        </is>
      </c>
      <c r="G263" s="61" t="inlineStr">
        <is>
          <t>شهریور</t>
        </is>
      </c>
      <c r="H263" s="134" t="inlineStr">
        <is>
          <t>تابستان</t>
        </is>
      </c>
      <c r="I263" s="134" t="inlineStr">
        <is>
          <t>جمعه</t>
        </is>
      </c>
      <c r="J263" s="134" t="inlineStr">
        <is>
          <t>بله</t>
        </is>
      </c>
    </row>
    <row r="264">
      <c r="A264" s="173" t="n">
        <v>45185</v>
      </c>
      <c r="B264" s="174" t="n">
        <v>45185</v>
      </c>
      <c r="C264" s="174" t="n">
        <v>1402</v>
      </c>
      <c r="D264" s="174" t="n">
        <v>6</v>
      </c>
      <c r="E264" s="175" t="inlineStr">
        <is>
          <t>1402/06/25</t>
        </is>
      </c>
      <c r="F264" s="128" t="inlineStr">
        <is>
          <t>1402/06</t>
        </is>
      </c>
      <c r="G264" s="58" t="inlineStr">
        <is>
          <t>شهریور</t>
        </is>
      </c>
      <c r="H264" s="128" t="inlineStr">
        <is>
          <t>تابستان</t>
        </is>
      </c>
      <c r="I264" s="128" t="inlineStr">
        <is>
          <t>شنبه</t>
        </is>
      </c>
      <c r="J264" s="128" t="inlineStr">
        <is>
          <t>خیر</t>
        </is>
      </c>
    </row>
    <row r="265">
      <c r="A265" s="176" t="n">
        <v>45186</v>
      </c>
      <c r="B265" s="177" t="n">
        <v>45186</v>
      </c>
      <c r="C265" s="177" t="n">
        <v>1402</v>
      </c>
      <c r="D265" s="177" t="n">
        <v>6</v>
      </c>
      <c r="E265" s="178" t="inlineStr">
        <is>
          <t>1402/06/26</t>
        </is>
      </c>
      <c r="F265" s="134" t="inlineStr">
        <is>
          <t>1402/06</t>
        </is>
      </c>
      <c r="G265" s="61" t="inlineStr">
        <is>
          <t>شهریور</t>
        </is>
      </c>
      <c r="H265" s="134" t="inlineStr">
        <is>
          <t>تابستان</t>
        </is>
      </c>
      <c r="I265" s="134" t="inlineStr">
        <is>
          <t>یکشنبه</t>
        </is>
      </c>
      <c r="J265" s="134" t="inlineStr">
        <is>
          <t>خیر</t>
        </is>
      </c>
    </row>
    <row r="266">
      <c r="A266" s="173" t="n">
        <v>45187</v>
      </c>
      <c r="B266" s="174" t="n">
        <v>45187</v>
      </c>
      <c r="C266" s="174" t="n">
        <v>1402</v>
      </c>
      <c r="D266" s="174" t="n">
        <v>6</v>
      </c>
      <c r="E266" s="175" t="inlineStr">
        <is>
          <t>1402/06/27</t>
        </is>
      </c>
      <c r="F266" s="128" t="inlineStr">
        <is>
          <t>1402/06</t>
        </is>
      </c>
      <c r="G266" s="58" t="inlineStr">
        <is>
          <t>شهریور</t>
        </is>
      </c>
      <c r="H266" s="128" t="inlineStr">
        <is>
          <t>تابستان</t>
        </is>
      </c>
      <c r="I266" s="128" t="inlineStr">
        <is>
          <t>دوشنبه</t>
        </is>
      </c>
      <c r="J266" s="128" t="inlineStr">
        <is>
          <t>بله</t>
        </is>
      </c>
    </row>
    <row r="267">
      <c r="A267" s="176" t="n">
        <v>45188</v>
      </c>
      <c r="B267" s="177" t="n">
        <v>45188</v>
      </c>
      <c r="C267" s="177" t="n">
        <v>1402</v>
      </c>
      <c r="D267" s="177" t="n">
        <v>6</v>
      </c>
      <c r="E267" s="178" t="inlineStr">
        <is>
          <t>1402/06/28</t>
        </is>
      </c>
      <c r="F267" s="134" t="inlineStr">
        <is>
          <t>1402/06</t>
        </is>
      </c>
      <c r="G267" s="61" t="inlineStr">
        <is>
          <t>شهریور</t>
        </is>
      </c>
      <c r="H267" s="134" t="inlineStr">
        <is>
          <t>تابستان</t>
        </is>
      </c>
      <c r="I267" s="134" t="inlineStr">
        <is>
          <t>سه‌شنبه</t>
        </is>
      </c>
      <c r="J267" s="134" t="inlineStr">
        <is>
          <t>بله</t>
        </is>
      </c>
    </row>
    <row r="268">
      <c r="A268" s="173" t="n">
        <v>45189</v>
      </c>
      <c r="B268" s="174" t="n">
        <v>45189</v>
      </c>
      <c r="C268" s="174" t="n">
        <v>1402</v>
      </c>
      <c r="D268" s="174" t="n">
        <v>6</v>
      </c>
      <c r="E268" s="175" t="inlineStr">
        <is>
          <t>1402/06/29</t>
        </is>
      </c>
      <c r="F268" s="128" t="inlineStr">
        <is>
          <t>1402/06</t>
        </is>
      </c>
      <c r="G268" s="58" t="inlineStr">
        <is>
          <t>شهریور</t>
        </is>
      </c>
      <c r="H268" s="128" t="inlineStr">
        <is>
          <t>تابستان</t>
        </is>
      </c>
      <c r="I268" s="128" t="inlineStr">
        <is>
          <t>چهارشنبه</t>
        </is>
      </c>
      <c r="J268" s="128" t="inlineStr">
        <is>
          <t>بله</t>
        </is>
      </c>
    </row>
    <row r="269">
      <c r="A269" s="176" t="n">
        <v>45190</v>
      </c>
      <c r="B269" s="177" t="n">
        <v>45190</v>
      </c>
      <c r="C269" s="177" t="n">
        <v>1402</v>
      </c>
      <c r="D269" s="177" t="n">
        <v>6</v>
      </c>
      <c r="E269" s="178" t="inlineStr">
        <is>
          <t>1402/06/30</t>
        </is>
      </c>
      <c r="F269" s="134" t="inlineStr">
        <is>
          <t>1402/06</t>
        </is>
      </c>
      <c r="G269" s="61" t="inlineStr">
        <is>
          <t>شهریور</t>
        </is>
      </c>
      <c r="H269" s="134" t="inlineStr">
        <is>
          <t>تابستان</t>
        </is>
      </c>
      <c r="I269" s="134" t="inlineStr">
        <is>
          <t>پنجشنبه</t>
        </is>
      </c>
      <c r="J269" s="134" t="inlineStr">
        <is>
          <t>بله</t>
        </is>
      </c>
    </row>
    <row r="270">
      <c r="A270" s="173" t="n">
        <v>45191</v>
      </c>
      <c r="B270" s="174" t="n">
        <v>45191</v>
      </c>
      <c r="C270" s="174" t="n">
        <v>1402</v>
      </c>
      <c r="D270" s="174" t="n">
        <v>6</v>
      </c>
      <c r="E270" s="175" t="inlineStr">
        <is>
          <t>1402/06/31</t>
        </is>
      </c>
      <c r="F270" s="128" t="inlineStr">
        <is>
          <t>1402/06</t>
        </is>
      </c>
      <c r="G270" s="58" t="inlineStr">
        <is>
          <t>شهریور</t>
        </is>
      </c>
      <c r="H270" s="128" t="inlineStr">
        <is>
          <t>تابستان</t>
        </is>
      </c>
      <c r="I270" s="128" t="inlineStr">
        <is>
          <t>جمعه</t>
        </is>
      </c>
      <c r="J270" s="128" t="inlineStr">
        <is>
          <t>بله</t>
        </is>
      </c>
    </row>
    <row r="271">
      <c r="A271" s="176" t="n">
        <v>45192</v>
      </c>
      <c r="B271" s="177" t="n">
        <v>45192</v>
      </c>
      <c r="C271" s="177" t="n">
        <v>1402</v>
      </c>
      <c r="D271" s="177" t="n">
        <v>7</v>
      </c>
      <c r="E271" s="178" t="inlineStr">
        <is>
          <t>1402/07/01</t>
        </is>
      </c>
      <c r="F271" s="134" t="inlineStr">
        <is>
          <t>1402/07</t>
        </is>
      </c>
      <c r="G271" s="61" t="inlineStr">
        <is>
          <t>مهر</t>
        </is>
      </c>
      <c r="H271" s="134" t="inlineStr">
        <is>
          <t>پاییز</t>
        </is>
      </c>
      <c r="I271" s="134" t="inlineStr">
        <is>
          <t>شنبه</t>
        </is>
      </c>
      <c r="J271" s="134" t="inlineStr">
        <is>
          <t>خیر</t>
        </is>
      </c>
    </row>
    <row r="272">
      <c r="A272" s="173" t="n">
        <v>45193</v>
      </c>
      <c r="B272" s="174" t="n">
        <v>45193</v>
      </c>
      <c r="C272" s="174" t="n">
        <v>1402</v>
      </c>
      <c r="D272" s="174" t="n">
        <v>7</v>
      </c>
      <c r="E272" s="175" t="inlineStr">
        <is>
          <t>1402/07/02</t>
        </is>
      </c>
      <c r="F272" s="128" t="inlineStr">
        <is>
          <t>1402/07</t>
        </is>
      </c>
      <c r="G272" s="58" t="inlineStr">
        <is>
          <t>مهر</t>
        </is>
      </c>
      <c r="H272" s="128" t="inlineStr">
        <is>
          <t>پاییز</t>
        </is>
      </c>
      <c r="I272" s="128" t="inlineStr">
        <is>
          <t>یکشنبه</t>
        </is>
      </c>
      <c r="J272" s="128" t="inlineStr">
        <is>
          <t>خیر</t>
        </is>
      </c>
    </row>
    <row r="273">
      <c r="A273" s="176" t="n">
        <v>45194</v>
      </c>
      <c r="B273" s="177" t="n">
        <v>45194</v>
      </c>
      <c r="C273" s="177" t="n">
        <v>1402</v>
      </c>
      <c r="D273" s="177" t="n">
        <v>7</v>
      </c>
      <c r="E273" s="178" t="inlineStr">
        <is>
          <t>1402/07/03</t>
        </is>
      </c>
      <c r="F273" s="134" t="inlineStr">
        <is>
          <t>1402/07</t>
        </is>
      </c>
      <c r="G273" s="61" t="inlineStr">
        <is>
          <t>مهر</t>
        </is>
      </c>
      <c r="H273" s="134" t="inlineStr">
        <is>
          <t>پاییز</t>
        </is>
      </c>
      <c r="I273" s="134" t="inlineStr">
        <is>
          <t>دوشنبه</t>
        </is>
      </c>
      <c r="J273" s="134" t="inlineStr">
        <is>
          <t>بله</t>
        </is>
      </c>
    </row>
    <row r="274">
      <c r="A274" s="173" t="n">
        <v>45195</v>
      </c>
      <c r="B274" s="174" t="n">
        <v>45195</v>
      </c>
      <c r="C274" s="174" t="n">
        <v>1402</v>
      </c>
      <c r="D274" s="174" t="n">
        <v>7</v>
      </c>
      <c r="E274" s="175" t="inlineStr">
        <is>
          <t>1402/07/04</t>
        </is>
      </c>
      <c r="F274" s="128" t="inlineStr">
        <is>
          <t>1402/07</t>
        </is>
      </c>
      <c r="G274" s="58" t="inlineStr">
        <is>
          <t>مهر</t>
        </is>
      </c>
      <c r="H274" s="128" t="inlineStr">
        <is>
          <t>پاییز</t>
        </is>
      </c>
      <c r="I274" s="128" t="inlineStr">
        <is>
          <t>سه‌شنبه</t>
        </is>
      </c>
      <c r="J274" s="128" t="inlineStr">
        <is>
          <t>بله</t>
        </is>
      </c>
    </row>
    <row r="275">
      <c r="A275" s="176" t="n">
        <v>45196</v>
      </c>
      <c r="B275" s="177" t="n">
        <v>45196</v>
      </c>
      <c r="C275" s="177" t="n">
        <v>1402</v>
      </c>
      <c r="D275" s="177" t="n">
        <v>7</v>
      </c>
      <c r="E275" s="178" t="inlineStr">
        <is>
          <t>1402/07/05</t>
        </is>
      </c>
      <c r="F275" s="134" t="inlineStr">
        <is>
          <t>1402/07</t>
        </is>
      </c>
      <c r="G275" s="61" t="inlineStr">
        <is>
          <t>مهر</t>
        </is>
      </c>
      <c r="H275" s="134" t="inlineStr">
        <is>
          <t>پاییز</t>
        </is>
      </c>
      <c r="I275" s="134" t="inlineStr">
        <is>
          <t>چهارشنبه</t>
        </is>
      </c>
      <c r="J275" s="134" t="inlineStr">
        <is>
          <t>بله</t>
        </is>
      </c>
    </row>
    <row r="276">
      <c r="A276" s="173" t="n">
        <v>45197</v>
      </c>
      <c r="B276" s="174" t="n">
        <v>45197</v>
      </c>
      <c r="C276" s="174" t="n">
        <v>1402</v>
      </c>
      <c r="D276" s="174" t="n">
        <v>7</v>
      </c>
      <c r="E276" s="175" t="inlineStr">
        <is>
          <t>1402/07/06</t>
        </is>
      </c>
      <c r="F276" s="128" t="inlineStr">
        <is>
          <t>1402/07</t>
        </is>
      </c>
      <c r="G276" s="58" t="inlineStr">
        <is>
          <t>مهر</t>
        </is>
      </c>
      <c r="H276" s="128" t="inlineStr">
        <is>
          <t>پاییز</t>
        </is>
      </c>
      <c r="I276" s="128" t="inlineStr">
        <is>
          <t>پنجشنبه</t>
        </is>
      </c>
      <c r="J276" s="128" t="inlineStr">
        <is>
          <t>بله</t>
        </is>
      </c>
    </row>
    <row r="277">
      <c r="A277" s="176" t="n">
        <v>45198</v>
      </c>
      <c r="B277" s="177" t="n">
        <v>45198</v>
      </c>
      <c r="C277" s="177" t="n">
        <v>1402</v>
      </c>
      <c r="D277" s="177" t="n">
        <v>7</v>
      </c>
      <c r="E277" s="178" t="inlineStr">
        <is>
          <t>1402/07/07</t>
        </is>
      </c>
      <c r="F277" s="134" t="inlineStr">
        <is>
          <t>1402/07</t>
        </is>
      </c>
      <c r="G277" s="61" t="inlineStr">
        <is>
          <t>مهر</t>
        </is>
      </c>
      <c r="H277" s="134" t="inlineStr">
        <is>
          <t>پاییز</t>
        </is>
      </c>
      <c r="I277" s="134" t="inlineStr">
        <is>
          <t>جمعه</t>
        </is>
      </c>
      <c r="J277" s="134" t="inlineStr">
        <is>
          <t>بله</t>
        </is>
      </c>
    </row>
    <row r="278">
      <c r="A278" s="173" t="n">
        <v>45199</v>
      </c>
      <c r="B278" s="174" t="n">
        <v>45199</v>
      </c>
      <c r="C278" s="174" t="n">
        <v>1402</v>
      </c>
      <c r="D278" s="174" t="n">
        <v>7</v>
      </c>
      <c r="E278" s="175" t="inlineStr">
        <is>
          <t>1402/07/08</t>
        </is>
      </c>
      <c r="F278" s="128" t="inlineStr">
        <is>
          <t>1402/07</t>
        </is>
      </c>
      <c r="G278" s="58" t="inlineStr">
        <is>
          <t>مهر</t>
        </is>
      </c>
      <c r="H278" s="128" t="inlineStr">
        <is>
          <t>پاییز</t>
        </is>
      </c>
      <c r="I278" s="128" t="inlineStr">
        <is>
          <t>شنبه</t>
        </is>
      </c>
      <c r="J278" s="128" t="inlineStr">
        <is>
          <t>خیر</t>
        </is>
      </c>
    </row>
    <row r="279">
      <c r="A279" s="176" t="n">
        <v>45200</v>
      </c>
      <c r="B279" s="177" t="n">
        <v>45200</v>
      </c>
      <c r="C279" s="177" t="n">
        <v>1402</v>
      </c>
      <c r="D279" s="177" t="n">
        <v>7</v>
      </c>
      <c r="E279" s="178" t="inlineStr">
        <is>
          <t>1402/07/09</t>
        </is>
      </c>
      <c r="F279" s="134" t="inlineStr">
        <is>
          <t>1402/07</t>
        </is>
      </c>
      <c r="G279" s="61" t="inlineStr">
        <is>
          <t>مهر</t>
        </is>
      </c>
      <c r="H279" s="134" t="inlineStr">
        <is>
          <t>پاییز</t>
        </is>
      </c>
      <c r="I279" s="134" t="inlineStr">
        <is>
          <t>یکشنبه</t>
        </is>
      </c>
      <c r="J279" s="134" t="inlineStr">
        <is>
          <t>خیر</t>
        </is>
      </c>
    </row>
    <row r="280">
      <c r="A280" s="173" t="n">
        <v>45201</v>
      </c>
      <c r="B280" s="174" t="n">
        <v>45201</v>
      </c>
      <c r="C280" s="174" t="n">
        <v>1402</v>
      </c>
      <c r="D280" s="174" t="n">
        <v>7</v>
      </c>
      <c r="E280" s="175" t="inlineStr">
        <is>
          <t>1402/07/10</t>
        </is>
      </c>
      <c r="F280" s="128" t="inlineStr">
        <is>
          <t>1402/07</t>
        </is>
      </c>
      <c r="G280" s="58" t="inlineStr">
        <is>
          <t>مهر</t>
        </is>
      </c>
      <c r="H280" s="128" t="inlineStr">
        <is>
          <t>پاییز</t>
        </is>
      </c>
      <c r="I280" s="128" t="inlineStr">
        <is>
          <t>دوشنبه</t>
        </is>
      </c>
      <c r="J280" s="128" t="inlineStr">
        <is>
          <t>بله</t>
        </is>
      </c>
    </row>
    <row r="281">
      <c r="A281" s="176" t="n">
        <v>45202</v>
      </c>
      <c r="B281" s="177" t="n">
        <v>45202</v>
      </c>
      <c r="C281" s="177" t="n">
        <v>1402</v>
      </c>
      <c r="D281" s="177" t="n">
        <v>7</v>
      </c>
      <c r="E281" s="178" t="inlineStr">
        <is>
          <t>1402/07/11</t>
        </is>
      </c>
      <c r="F281" s="134" t="inlineStr">
        <is>
          <t>1402/07</t>
        </is>
      </c>
      <c r="G281" s="61" t="inlineStr">
        <is>
          <t>مهر</t>
        </is>
      </c>
      <c r="H281" s="134" t="inlineStr">
        <is>
          <t>پاییز</t>
        </is>
      </c>
      <c r="I281" s="134" t="inlineStr">
        <is>
          <t>سه‌شنبه</t>
        </is>
      </c>
      <c r="J281" s="134" t="inlineStr">
        <is>
          <t>بله</t>
        </is>
      </c>
    </row>
    <row r="282">
      <c r="A282" s="173" t="n">
        <v>45203</v>
      </c>
      <c r="B282" s="174" t="n">
        <v>45203</v>
      </c>
      <c r="C282" s="174" t="n">
        <v>1402</v>
      </c>
      <c r="D282" s="174" t="n">
        <v>7</v>
      </c>
      <c r="E282" s="175" t="inlineStr">
        <is>
          <t>1402/07/12</t>
        </is>
      </c>
      <c r="F282" s="128" t="inlineStr">
        <is>
          <t>1402/07</t>
        </is>
      </c>
      <c r="G282" s="58" t="inlineStr">
        <is>
          <t>مهر</t>
        </is>
      </c>
      <c r="H282" s="128" t="inlineStr">
        <is>
          <t>پاییز</t>
        </is>
      </c>
      <c r="I282" s="128" t="inlineStr">
        <is>
          <t>چهارشنبه</t>
        </is>
      </c>
      <c r="J282" s="128" t="inlineStr">
        <is>
          <t>بله</t>
        </is>
      </c>
    </row>
    <row r="283">
      <c r="A283" s="176" t="n">
        <v>45204</v>
      </c>
      <c r="B283" s="177" t="n">
        <v>45204</v>
      </c>
      <c r="C283" s="177" t="n">
        <v>1402</v>
      </c>
      <c r="D283" s="177" t="n">
        <v>7</v>
      </c>
      <c r="E283" s="178" t="inlineStr">
        <is>
          <t>1402/07/13</t>
        </is>
      </c>
      <c r="F283" s="134" t="inlineStr">
        <is>
          <t>1402/07</t>
        </is>
      </c>
      <c r="G283" s="61" t="inlineStr">
        <is>
          <t>مهر</t>
        </is>
      </c>
      <c r="H283" s="134" t="inlineStr">
        <is>
          <t>پاییز</t>
        </is>
      </c>
      <c r="I283" s="134" t="inlineStr">
        <is>
          <t>پنجشنبه</t>
        </is>
      </c>
      <c r="J283" s="134" t="inlineStr">
        <is>
          <t>بله</t>
        </is>
      </c>
    </row>
    <row r="284">
      <c r="A284" s="173" t="n">
        <v>45205</v>
      </c>
      <c r="B284" s="174" t="n">
        <v>45205</v>
      </c>
      <c r="C284" s="174" t="n">
        <v>1402</v>
      </c>
      <c r="D284" s="174" t="n">
        <v>7</v>
      </c>
      <c r="E284" s="175" t="inlineStr">
        <is>
          <t>1402/07/14</t>
        </is>
      </c>
      <c r="F284" s="128" t="inlineStr">
        <is>
          <t>1402/07</t>
        </is>
      </c>
      <c r="G284" s="58" t="inlineStr">
        <is>
          <t>مهر</t>
        </is>
      </c>
      <c r="H284" s="128" t="inlineStr">
        <is>
          <t>پاییز</t>
        </is>
      </c>
      <c r="I284" s="128" t="inlineStr">
        <is>
          <t>جمعه</t>
        </is>
      </c>
      <c r="J284" s="128" t="inlineStr">
        <is>
          <t>بله</t>
        </is>
      </c>
    </row>
    <row r="285">
      <c r="A285" s="176" t="n">
        <v>45206</v>
      </c>
      <c r="B285" s="177" t="n">
        <v>45206</v>
      </c>
      <c r="C285" s="177" t="n">
        <v>1402</v>
      </c>
      <c r="D285" s="177" t="n">
        <v>7</v>
      </c>
      <c r="E285" s="178" t="inlineStr">
        <is>
          <t>1402/07/15</t>
        </is>
      </c>
      <c r="F285" s="134" t="inlineStr">
        <is>
          <t>1402/07</t>
        </is>
      </c>
      <c r="G285" s="61" t="inlineStr">
        <is>
          <t>مهر</t>
        </is>
      </c>
      <c r="H285" s="134" t="inlineStr">
        <is>
          <t>پاییز</t>
        </is>
      </c>
      <c r="I285" s="134" t="inlineStr">
        <is>
          <t>شنبه</t>
        </is>
      </c>
      <c r="J285" s="134" t="inlineStr">
        <is>
          <t>خیر</t>
        </is>
      </c>
    </row>
    <row r="286">
      <c r="A286" s="173" t="n">
        <v>45207</v>
      </c>
      <c r="B286" s="174" t="n">
        <v>45207</v>
      </c>
      <c r="C286" s="174" t="n">
        <v>1402</v>
      </c>
      <c r="D286" s="174" t="n">
        <v>7</v>
      </c>
      <c r="E286" s="175" t="inlineStr">
        <is>
          <t>1402/07/16</t>
        </is>
      </c>
      <c r="F286" s="128" t="inlineStr">
        <is>
          <t>1402/07</t>
        </is>
      </c>
      <c r="G286" s="58" t="inlineStr">
        <is>
          <t>مهر</t>
        </is>
      </c>
      <c r="H286" s="128" t="inlineStr">
        <is>
          <t>پاییز</t>
        </is>
      </c>
      <c r="I286" s="128" t="inlineStr">
        <is>
          <t>یکشنبه</t>
        </is>
      </c>
      <c r="J286" s="128" t="inlineStr">
        <is>
          <t>خیر</t>
        </is>
      </c>
    </row>
    <row r="287">
      <c r="A287" s="176" t="n">
        <v>45208</v>
      </c>
      <c r="B287" s="177" t="n">
        <v>45208</v>
      </c>
      <c r="C287" s="177" t="n">
        <v>1402</v>
      </c>
      <c r="D287" s="177" t="n">
        <v>7</v>
      </c>
      <c r="E287" s="178" t="inlineStr">
        <is>
          <t>1402/07/17</t>
        </is>
      </c>
      <c r="F287" s="134" t="inlineStr">
        <is>
          <t>1402/07</t>
        </is>
      </c>
      <c r="G287" s="61" t="inlineStr">
        <is>
          <t>مهر</t>
        </is>
      </c>
      <c r="H287" s="134" t="inlineStr">
        <is>
          <t>پاییز</t>
        </is>
      </c>
      <c r="I287" s="134" t="inlineStr">
        <is>
          <t>دوشنبه</t>
        </is>
      </c>
      <c r="J287" s="134" t="inlineStr">
        <is>
          <t>بله</t>
        </is>
      </c>
    </row>
    <row r="288">
      <c r="A288" s="173" t="n">
        <v>45209</v>
      </c>
      <c r="B288" s="174" t="n">
        <v>45209</v>
      </c>
      <c r="C288" s="174" t="n">
        <v>1402</v>
      </c>
      <c r="D288" s="174" t="n">
        <v>7</v>
      </c>
      <c r="E288" s="175" t="inlineStr">
        <is>
          <t>1402/07/18</t>
        </is>
      </c>
      <c r="F288" s="128" t="inlineStr">
        <is>
          <t>1402/07</t>
        </is>
      </c>
      <c r="G288" s="58" t="inlineStr">
        <is>
          <t>مهر</t>
        </is>
      </c>
      <c r="H288" s="128" t="inlineStr">
        <is>
          <t>پاییز</t>
        </is>
      </c>
      <c r="I288" s="128" t="inlineStr">
        <is>
          <t>سه‌شنبه</t>
        </is>
      </c>
      <c r="J288" s="128" t="inlineStr">
        <is>
          <t>بله</t>
        </is>
      </c>
    </row>
    <row r="289">
      <c r="A289" s="176" t="n">
        <v>45210</v>
      </c>
      <c r="B289" s="177" t="n">
        <v>45210</v>
      </c>
      <c r="C289" s="177" t="n">
        <v>1402</v>
      </c>
      <c r="D289" s="177" t="n">
        <v>7</v>
      </c>
      <c r="E289" s="178" t="inlineStr">
        <is>
          <t>1402/07/19</t>
        </is>
      </c>
      <c r="F289" s="134" t="inlineStr">
        <is>
          <t>1402/07</t>
        </is>
      </c>
      <c r="G289" s="61" t="inlineStr">
        <is>
          <t>مهر</t>
        </is>
      </c>
      <c r="H289" s="134" t="inlineStr">
        <is>
          <t>پاییز</t>
        </is>
      </c>
      <c r="I289" s="134" t="inlineStr">
        <is>
          <t>چهارشنبه</t>
        </is>
      </c>
      <c r="J289" s="134" t="inlineStr">
        <is>
          <t>بله</t>
        </is>
      </c>
    </row>
    <row r="290">
      <c r="A290" s="173" t="n">
        <v>45211</v>
      </c>
      <c r="B290" s="174" t="n">
        <v>45211</v>
      </c>
      <c r="C290" s="174" t="n">
        <v>1402</v>
      </c>
      <c r="D290" s="174" t="n">
        <v>7</v>
      </c>
      <c r="E290" s="175" t="inlineStr">
        <is>
          <t>1402/07/20</t>
        </is>
      </c>
      <c r="F290" s="128" t="inlineStr">
        <is>
          <t>1402/07</t>
        </is>
      </c>
      <c r="G290" s="58" t="inlineStr">
        <is>
          <t>مهر</t>
        </is>
      </c>
      <c r="H290" s="128" t="inlineStr">
        <is>
          <t>پاییز</t>
        </is>
      </c>
      <c r="I290" s="128" t="inlineStr">
        <is>
          <t>پنجشنبه</t>
        </is>
      </c>
      <c r="J290" s="128" t="inlineStr">
        <is>
          <t>بله</t>
        </is>
      </c>
    </row>
    <row r="291">
      <c r="A291" s="176" t="n">
        <v>45212</v>
      </c>
      <c r="B291" s="177" t="n">
        <v>45212</v>
      </c>
      <c r="C291" s="177" t="n">
        <v>1402</v>
      </c>
      <c r="D291" s="177" t="n">
        <v>7</v>
      </c>
      <c r="E291" s="178" t="inlineStr">
        <is>
          <t>1402/07/21</t>
        </is>
      </c>
      <c r="F291" s="134" t="inlineStr">
        <is>
          <t>1402/07</t>
        </is>
      </c>
      <c r="G291" s="61" t="inlineStr">
        <is>
          <t>مهر</t>
        </is>
      </c>
      <c r="H291" s="134" t="inlineStr">
        <is>
          <t>پاییز</t>
        </is>
      </c>
      <c r="I291" s="134" t="inlineStr">
        <is>
          <t>جمعه</t>
        </is>
      </c>
      <c r="J291" s="134" t="inlineStr">
        <is>
          <t>بله</t>
        </is>
      </c>
    </row>
    <row r="292">
      <c r="A292" s="173" t="n">
        <v>45213</v>
      </c>
      <c r="B292" s="174" t="n">
        <v>45213</v>
      </c>
      <c r="C292" s="174" t="n">
        <v>1402</v>
      </c>
      <c r="D292" s="174" t="n">
        <v>7</v>
      </c>
      <c r="E292" s="175" t="inlineStr">
        <is>
          <t>1402/07/22</t>
        </is>
      </c>
      <c r="F292" s="128" t="inlineStr">
        <is>
          <t>1402/07</t>
        </is>
      </c>
      <c r="G292" s="58" t="inlineStr">
        <is>
          <t>مهر</t>
        </is>
      </c>
      <c r="H292" s="128" t="inlineStr">
        <is>
          <t>پاییز</t>
        </is>
      </c>
      <c r="I292" s="128" t="inlineStr">
        <is>
          <t>شنبه</t>
        </is>
      </c>
      <c r="J292" s="128" t="inlineStr">
        <is>
          <t>خیر</t>
        </is>
      </c>
    </row>
    <row r="293">
      <c r="A293" s="176" t="n">
        <v>45214</v>
      </c>
      <c r="B293" s="177" t="n">
        <v>45214</v>
      </c>
      <c r="C293" s="177" t="n">
        <v>1402</v>
      </c>
      <c r="D293" s="177" t="n">
        <v>7</v>
      </c>
      <c r="E293" s="178" t="inlineStr">
        <is>
          <t>1402/07/23</t>
        </is>
      </c>
      <c r="F293" s="134" t="inlineStr">
        <is>
          <t>1402/07</t>
        </is>
      </c>
      <c r="G293" s="61" t="inlineStr">
        <is>
          <t>مهر</t>
        </is>
      </c>
      <c r="H293" s="134" t="inlineStr">
        <is>
          <t>پاییز</t>
        </is>
      </c>
      <c r="I293" s="134" t="inlineStr">
        <is>
          <t>یکشنبه</t>
        </is>
      </c>
      <c r="J293" s="134" t="inlineStr">
        <is>
          <t>خیر</t>
        </is>
      </c>
    </row>
    <row r="294">
      <c r="A294" s="173" t="n">
        <v>45215</v>
      </c>
      <c r="B294" s="174" t="n">
        <v>45215</v>
      </c>
      <c r="C294" s="174" t="n">
        <v>1402</v>
      </c>
      <c r="D294" s="174" t="n">
        <v>7</v>
      </c>
      <c r="E294" s="175" t="inlineStr">
        <is>
          <t>1402/07/24</t>
        </is>
      </c>
      <c r="F294" s="128" t="inlineStr">
        <is>
          <t>1402/07</t>
        </is>
      </c>
      <c r="G294" s="58" t="inlineStr">
        <is>
          <t>مهر</t>
        </is>
      </c>
      <c r="H294" s="128" t="inlineStr">
        <is>
          <t>پاییز</t>
        </is>
      </c>
      <c r="I294" s="128" t="inlineStr">
        <is>
          <t>دوشنبه</t>
        </is>
      </c>
      <c r="J294" s="128" t="inlineStr">
        <is>
          <t>بله</t>
        </is>
      </c>
    </row>
    <row r="295">
      <c r="A295" s="176" t="n">
        <v>45216</v>
      </c>
      <c r="B295" s="177" t="n">
        <v>45216</v>
      </c>
      <c r="C295" s="177" t="n">
        <v>1402</v>
      </c>
      <c r="D295" s="177" t="n">
        <v>7</v>
      </c>
      <c r="E295" s="178" t="inlineStr">
        <is>
          <t>1402/07/25</t>
        </is>
      </c>
      <c r="F295" s="134" t="inlineStr">
        <is>
          <t>1402/07</t>
        </is>
      </c>
      <c r="G295" s="61" t="inlineStr">
        <is>
          <t>مهر</t>
        </is>
      </c>
      <c r="H295" s="134" t="inlineStr">
        <is>
          <t>پاییز</t>
        </is>
      </c>
      <c r="I295" s="134" t="inlineStr">
        <is>
          <t>سه‌شنبه</t>
        </is>
      </c>
      <c r="J295" s="134" t="inlineStr">
        <is>
          <t>بله</t>
        </is>
      </c>
    </row>
    <row r="296">
      <c r="A296" s="173" t="n">
        <v>45217</v>
      </c>
      <c r="B296" s="174" t="n">
        <v>45217</v>
      </c>
      <c r="C296" s="174" t="n">
        <v>1402</v>
      </c>
      <c r="D296" s="174" t="n">
        <v>7</v>
      </c>
      <c r="E296" s="175" t="inlineStr">
        <is>
          <t>1402/07/26</t>
        </is>
      </c>
      <c r="F296" s="128" t="inlineStr">
        <is>
          <t>1402/07</t>
        </is>
      </c>
      <c r="G296" s="58" t="inlineStr">
        <is>
          <t>مهر</t>
        </is>
      </c>
      <c r="H296" s="128" t="inlineStr">
        <is>
          <t>پاییز</t>
        </is>
      </c>
      <c r="I296" s="128" t="inlineStr">
        <is>
          <t>چهارشنبه</t>
        </is>
      </c>
      <c r="J296" s="128" t="inlineStr">
        <is>
          <t>بله</t>
        </is>
      </c>
    </row>
    <row r="297">
      <c r="A297" s="176" t="n">
        <v>45218</v>
      </c>
      <c r="B297" s="177" t="n">
        <v>45218</v>
      </c>
      <c r="C297" s="177" t="n">
        <v>1402</v>
      </c>
      <c r="D297" s="177" t="n">
        <v>7</v>
      </c>
      <c r="E297" s="178" t="inlineStr">
        <is>
          <t>1402/07/27</t>
        </is>
      </c>
      <c r="F297" s="134" t="inlineStr">
        <is>
          <t>1402/07</t>
        </is>
      </c>
      <c r="G297" s="61" t="inlineStr">
        <is>
          <t>مهر</t>
        </is>
      </c>
      <c r="H297" s="134" t="inlineStr">
        <is>
          <t>پاییز</t>
        </is>
      </c>
      <c r="I297" s="134" t="inlineStr">
        <is>
          <t>پنجشنبه</t>
        </is>
      </c>
      <c r="J297" s="134" t="inlineStr">
        <is>
          <t>بله</t>
        </is>
      </c>
    </row>
    <row r="298">
      <c r="A298" s="173" t="n">
        <v>45219</v>
      </c>
      <c r="B298" s="174" t="n">
        <v>45219</v>
      </c>
      <c r="C298" s="174" t="n">
        <v>1402</v>
      </c>
      <c r="D298" s="174" t="n">
        <v>7</v>
      </c>
      <c r="E298" s="175" t="inlineStr">
        <is>
          <t>1402/07/28</t>
        </is>
      </c>
      <c r="F298" s="128" t="inlineStr">
        <is>
          <t>1402/07</t>
        </is>
      </c>
      <c r="G298" s="58" t="inlineStr">
        <is>
          <t>مهر</t>
        </is>
      </c>
      <c r="H298" s="128" t="inlineStr">
        <is>
          <t>پاییز</t>
        </is>
      </c>
      <c r="I298" s="128" t="inlineStr">
        <is>
          <t>جمعه</t>
        </is>
      </c>
      <c r="J298" s="128" t="inlineStr">
        <is>
          <t>بله</t>
        </is>
      </c>
    </row>
    <row r="299">
      <c r="A299" s="176" t="n">
        <v>45220</v>
      </c>
      <c r="B299" s="177" t="n">
        <v>45220</v>
      </c>
      <c r="C299" s="177" t="n">
        <v>1402</v>
      </c>
      <c r="D299" s="177" t="n">
        <v>7</v>
      </c>
      <c r="E299" s="178" t="inlineStr">
        <is>
          <t>1402/07/29</t>
        </is>
      </c>
      <c r="F299" s="134" t="inlineStr">
        <is>
          <t>1402/07</t>
        </is>
      </c>
      <c r="G299" s="61" t="inlineStr">
        <is>
          <t>مهر</t>
        </is>
      </c>
      <c r="H299" s="134" t="inlineStr">
        <is>
          <t>پاییز</t>
        </is>
      </c>
      <c r="I299" s="134" t="inlineStr">
        <is>
          <t>شنبه</t>
        </is>
      </c>
      <c r="J299" s="134" t="inlineStr">
        <is>
          <t>خیر</t>
        </is>
      </c>
    </row>
    <row r="300">
      <c r="A300" s="173" t="n">
        <v>45221</v>
      </c>
      <c r="B300" s="174" t="n">
        <v>45221</v>
      </c>
      <c r="C300" s="174" t="n">
        <v>1402</v>
      </c>
      <c r="D300" s="174" t="n">
        <v>7</v>
      </c>
      <c r="E300" s="175" t="inlineStr">
        <is>
          <t>1402/07/30</t>
        </is>
      </c>
      <c r="F300" s="128" t="inlineStr">
        <is>
          <t>1402/07</t>
        </is>
      </c>
      <c r="G300" s="58" t="inlineStr">
        <is>
          <t>مهر</t>
        </is>
      </c>
      <c r="H300" s="128" t="inlineStr">
        <is>
          <t>پاییز</t>
        </is>
      </c>
      <c r="I300" s="128" t="inlineStr">
        <is>
          <t>یکشنبه</t>
        </is>
      </c>
      <c r="J300" s="128" t="inlineStr">
        <is>
          <t>خیر</t>
        </is>
      </c>
    </row>
    <row r="301">
      <c r="A301" s="176" t="n">
        <v>45222</v>
      </c>
      <c r="B301" s="177" t="n">
        <v>45222</v>
      </c>
      <c r="C301" s="177" t="n">
        <v>1402</v>
      </c>
      <c r="D301" s="177" t="n">
        <v>8</v>
      </c>
      <c r="E301" s="178" t="inlineStr">
        <is>
          <t>1402/08/01</t>
        </is>
      </c>
      <c r="F301" s="134" t="inlineStr">
        <is>
          <t>1402/08</t>
        </is>
      </c>
      <c r="G301" s="61" t="inlineStr">
        <is>
          <t>آبان</t>
        </is>
      </c>
      <c r="H301" s="134" t="inlineStr">
        <is>
          <t>پاییز</t>
        </is>
      </c>
      <c r="I301" s="134" t="inlineStr">
        <is>
          <t>دوشنبه</t>
        </is>
      </c>
      <c r="J301" s="134" t="inlineStr">
        <is>
          <t>بله</t>
        </is>
      </c>
    </row>
    <row r="302">
      <c r="A302" s="173" t="n">
        <v>45223</v>
      </c>
      <c r="B302" s="174" t="n">
        <v>45223</v>
      </c>
      <c r="C302" s="174" t="n">
        <v>1402</v>
      </c>
      <c r="D302" s="174" t="n">
        <v>8</v>
      </c>
      <c r="E302" s="175" t="inlineStr">
        <is>
          <t>1402/08/02</t>
        </is>
      </c>
      <c r="F302" s="128" t="inlineStr">
        <is>
          <t>1402/08</t>
        </is>
      </c>
      <c r="G302" s="58" t="inlineStr">
        <is>
          <t>آبان</t>
        </is>
      </c>
      <c r="H302" s="128" t="inlineStr">
        <is>
          <t>پاییز</t>
        </is>
      </c>
      <c r="I302" s="128" t="inlineStr">
        <is>
          <t>سه‌شنبه</t>
        </is>
      </c>
      <c r="J302" s="128" t="inlineStr">
        <is>
          <t>بله</t>
        </is>
      </c>
    </row>
    <row r="303">
      <c r="A303" s="176" t="n">
        <v>45224</v>
      </c>
      <c r="B303" s="177" t="n">
        <v>45224</v>
      </c>
      <c r="C303" s="177" t="n">
        <v>1402</v>
      </c>
      <c r="D303" s="177" t="n">
        <v>8</v>
      </c>
      <c r="E303" s="178" t="inlineStr">
        <is>
          <t>1402/08/03</t>
        </is>
      </c>
      <c r="F303" s="134" t="inlineStr">
        <is>
          <t>1402/08</t>
        </is>
      </c>
      <c r="G303" s="61" t="inlineStr">
        <is>
          <t>آبان</t>
        </is>
      </c>
      <c r="H303" s="134" t="inlineStr">
        <is>
          <t>پاییز</t>
        </is>
      </c>
      <c r="I303" s="134" t="inlineStr">
        <is>
          <t>چهارشنبه</t>
        </is>
      </c>
      <c r="J303" s="134" t="inlineStr">
        <is>
          <t>بله</t>
        </is>
      </c>
    </row>
    <row r="304">
      <c r="A304" s="173" t="n">
        <v>45225</v>
      </c>
      <c r="B304" s="174" t="n">
        <v>45225</v>
      </c>
      <c r="C304" s="174" t="n">
        <v>1402</v>
      </c>
      <c r="D304" s="174" t="n">
        <v>8</v>
      </c>
      <c r="E304" s="175" t="inlineStr">
        <is>
          <t>1402/08/04</t>
        </is>
      </c>
      <c r="F304" s="128" t="inlineStr">
        <is>
          <t>1402/08</t>
        </is>
      </c>
      <c r="G304" s="58" t="inlineStr">
        <is>
          <t>آبان</t>
        </is>
      </c>
      <c r="H304" s="128" t="inlineStr">
        <is>
          <t>پاییز</t>
        </is>
      </c>
      <c r="I304" s="128" t="inlineStr">
        <is>
          <t>پنجشنبه</t>
        </is>
      </c>
      <c r="J304" s="128" t="inlineStr">
        <is>
          <t>بله</t>
        </is>
      </c>
    </row>
    <row r="305">
      <c r="A305" s="176" t="n">
        <v>45226</v>
      </c>
      <c r="B305" s="177" t="n">
        <v>45226</v>
      </c>
      <c r="C305" s="177" t="n">
        <v>1402</v>
      </c>
      <c r="D305" s="177" t="n">
        <v>8</v>
      </c>
      <c r="E305" s="178" t="inlineStr">
        <is>
          <t>1402/08/05</t>
        </is>
      </c>
      <c r="F305" s="134" t="inlineStr">
        <is>
          <t>1402/08</t>
        </is>
      </c>
      <c r="G305" s="61" t="inlineStr">
        <is>
          <t>آبان</t>
        </is>
      </c>
      <c r="H305" s="134" t="inlineStr">
        <is>
          <t>پاییز</t>
        </is>
      </c>
      <c r="I305" s="134" t="inlineStr">
        <is>
          <t>جمعه</t>
        </is>
      </c>
      <c r="J305" s="134" t="inlineStr">
        <is>
          <t>بله</t>
        </is>
      </c>
    </row>
    <row r="306">
      <c r="A306" s="173" t="n">
        <v>45227</v>
      </c>
      <c r="B306" s="174" t="n">
        <v>45227</v>
      </c>
      <c r="C306" s="174" t="n">
        <v>1402</v>
      </c>
      <c r="D306" s="174" t="n">
        <v>8</v>
      </c>
      <c r="E306" s="175" t="inlineStr">
        <is>
          <t>1402/08/06</t>
        </is>
      </c>
      <c r="F306" s="128" t="inlineStr">
        <is>
          <t>1402/08</t>
        </is>
      </c>
      <c r="G306" s="58" t="inlineStr">
        <is>
          <t>آبان</t>
        </is>
      </c>
      <c r="H306" s="128" t="inlineStr">
        <is>
          <t>پاییز</t>
        </is>
      </c>
      <c r="I306" s="128" t="inlineStr">
        <is>
          <t>شنبه</t>
        </is>
      </c>
      <c r="J306" s="128" t="inlineStr">
        <is>
          <t>خیر</t>
        </is>
      </c>
    </row>
    <row r="307">
      <c r="A307" s="176" t="n">
        <v>45228</v>
      </c>
      <c r="B307" s="177" t="n">
        <v>45228</v>
      </c>
      <c r="C307" s="177" t="n">
        <v>1402</v>
      </c>
      <c r="D307" s="177" t="n">
        <v>8</v>
      </c>
      <c r="E307" s="178" t="inlineStr">
        <is>
          <t>1402/08/07</t>
        </is>
      </c>
      <c r="F307" s="134" t="inlineStr">
        <is>
          <t>1402/08</t>
        </is>
      </c>
      <c r="G307" s="61" t="inlineStr">
        <is>
          <t>آبان</t>
        </is>
      </c>
      <c r="H307" s="134" t="inlineStr">
        <is>
          <t>پاییز</t>
        </is>
      </c>
      <c r="I307" s="134" t="inlineStr">
        <is>
          <t>یکشنبه</t>
        </is>
      </c>
      <c r="J307" s="134" t="inlineStr">
        <is>
          <t>خیر</t>
        </is>
      </c>
    </row>
    <row r="308">
      <c r="A308" s="173" t="n">
        <v>45229</v>
      </c>
      <c r="B308" s="174" t="n">
        <v>45229</v>
      </c>
      <c r="C308" s="174" t="n">
        <v>1402</v>
      </c>
      <c r="D308" s="174" t="n">
        <v>8</v>
      </c>
      <c r="E308" s="175" t="inlineStr">
        <is>
          <t>1402/08/08</t>
        </is>
      </c>
      <c r="F308" s="128" t="inlineStr">
        <is>
          <t>1402/08</t>
        </is>
      </c>
      <c r="G308" s="58" t="inlineStr">
        <is>
          <t>آبان</t>
        </is>
      </c>
      <c r="H308" s="128" t="inlineStr">
        <is>
          <t>پاییز</t>
        </is>
      </c>
      <c r="I308" s="128" t="inlineStr">
        <is>
          <t>دوشنبه</t>
        </is>
      </c>
      <c r="J308" s="128" t="inlineStr">
        <is>
          <t>بله</t>
        </is>
      </c>
    </row>
    <row r="309">
      <c r="A309" s="176" t="n">
        <v>45230</v>
      </c>
      <c r="B309" s="177" t="n">
        <v>45230</v>
      </c>
      <c r="C309" s="177" t="n">
        <v>1402</v>
      </c>
      <c r="D309" s="177" t="n">
        <v>8</v>
      </c>
      <c r="E309" s="178" t="inlineStr">
        <is>
          <t>1402/08/09</t>
        </is>
      </c>
      <c r="F309" s="134" t="inlineStr">
        <is>
          <t>1402/08</t>
        </is>
      </c>
      <c r="G309" s="61" t="inlineStr">
        <is>
          <t>آبان</t>
        </is>
      </c>
      <c r="H309" s="134" t="inlineStr">
        <is>
          <t>پاییز</t>
        </is>
      </c>
      <c r="I309" s="134" t="inlineStr">
        <is>
          <t>سه‌شنبه</t>
        </is>
      </c>
      <c r="J309" s="134" t="inlineStr">
        <is>
          <t>بله</t>
        </is>
      </c>
    </row>
    <row r="310">
      <c r="A310" s="173" t="n">
        <v>45231</v>
      </c>
      <c r="B310" s="174" t="n">
        <v>45231</v>
      </c>
      <c r="C310" s="174" t="n">
        <v>1402</v>
      </c>
      <c r="D310" s="174" t="n">
        <v>8</v>
      </c>
      <c r="E310" s="175" t="inlineStr">
        <is>
          <t>1402/08/10</t>
        </is>
      </c>
      <c r="F310" s="128" t="inlineStr">
        <is>
          <t>1402/08</t>
        </is>
      </c>
      <c r="G310" s="58" t="inlineStr">
        <is>
          <t>آبان</t>
        </is>
      </c>
      <c r="H310" s="128" t="inlineStr">
        <is>
          <t>پاییز</t>
        </is>
      </c>
      <c r="I310" s="128" t="inlineStr">
        <is>
          <t>چهارشنبه</t>
        </is>
      </c>
      <c r="J310" s="128" t="inlineStr">
        <is>
          <t>بله</t>
        </is>
      </c>
    </row>
    <row r="311">
      <c r="A311" s="176" t="n">
        <v>45232</v>
      </c>
      <c r="B311" s="177" t="n">
        <v>45232</v>
      </c>
      <c r="C311" s="177" t="n">
        <v>1402</v>
      </c>
      <c r="D311" s="177" t="n">
        <v>8</v>
      </c>
      <c r="E311" s="178" t="inlineStr">
        <is>
          <t>1402/08/11</t>
        </is>
      </c>
      <c r="F311" s="134" t="inlineStr">
        <is>
          <t>1402/08</t>
        </is>
      </c>
      <c r="G311" s="61" t="inlineStr">
        <is>
          <t>آبان</t>
        </is>
      </c>
      <c r="H311" s="134" t="inlineStr">
        <is>
          <t>پاییز</t>
        </is>
      </c>
      <c r="I311" s="134" t="inlineStr">
        <is>
          <t>پنجشنبه</t>
        </is>
      </c>
      <c r="J311" s="134" t="inlineStr">
        <is>
          <t>بله</t>
        </is>
      </c>
    </row>
    <row r="312">
      <c r="A312" s="173" t="n">
        <v>45233</v>
      </c>
      <c r="B312" s="174" t="n">
        <v>45233</v>
      </c>
      <c r="C312" s="174" t="n">
        <v>1402</v>
      </c>
      <c r="D312" s="174" t="n">
        <v>8</v>
      </c>
      <c r="E312" s="175" t="inlineStr">
        <is>
          <t>1402/08/12</t>
        </is>
      </c>
      <c r="F312" s="128" t="inlineStr">
        <is>
          <t>1402/08</t>
        </is>
      </c>
      <c r="G312" s="58" t="inlineStr">
        <is>
          <t>آبان</t>
        </is>
      </c>
      <c r="H312" s="128" t="inlineStr">
        <is>
          <t>پاییز</t>
        </is>
      </c>
      <c r="I312" s="128" t="inlineStr">
        <is>
          <t>جمعه</t>
        </is>
      </c>
      <c r="J312" s="128" t="inlineStr">
        <is>
          <t>بله</t>
        </is>
      </c>
    </row>
    <row r="313">
      <c r="A313" s="176" t="n">
        <v>45234</v>
      </c>
      <c r="B313" s="177" t="n">
        <v>45234</v>
      </c>
      <c r="C313" s="177" t="n">
        <v>1402</v>
      </c>
      <c r="D313" s="177" t="n">
        <v>8</v>
      </c>
      <c r="E313" s="178" t="inlineStr">
        <is>
          <t>1402/08/13</t>
        </is>
      </c>
      <c r="F313" s="134" t="inlineStr">
        <is>
          <t>1402/08</t>
        </is>
      </c>
      <c r="G313" s="61" t="inlineStr">
        <is>
          <t>آبان</t>
        </is>
      </c>
      <c r="H313" s="134" t="inlineStr">
        <is>
          <t>پاییز</t>
        </is>
      </c>
      <c r="I313" s="134" t="inlineStr">
        <is>
          <t>شنبه</t>
        </is>
      </c>
      <c r="J313" s="134" t="inlineStr">
        <is>
          <t>خیر</t>
        </is>
      </c>
    </row>
    <row r="314">
      <c r="A314" s="173" t="n">
        <v>45235</v>
      </c>
      <c r="B314" s="174" t="n">
        <v>45235</v>
      </c>
      <c r="C314" s="174" t="n">
        <v>1402</v>
      </c>
      <c r="D314" s="174" t="n">
        <v>8</v>
      </c>
      <c r="E314" s="175" t="inlineStr">
        <is>
          <t>1402/08/14</t>
        </is>
      </c>
      <c r="F314" s="128" t="inlineStr">
        <is>
          <t>1402/08</t>
        </is>
      </c>
      <c r="G314" s="58" t="inlineStr">
        <is>
          <t>آبان</t>
        </is>
      </c>
      <c r="H314" s="128" t="inlineStr">
        <is>
          <t>پاییز</t>
        </is>
      </c>
      <c r="I314" s="128" t="inlineStr">
        <is>
          <t>یکشنبه</t>
        </is>
      </c>
      <c r="J314" s="128" t="inlineStr">
        <is>
          <t>خیر</t>
        </is>
      </c>
    </row>
    <row r="315">
      <c r="A315" s="176" t="n">
        <v>45236</v>
      </c>
      <c r="B315" s="177" t="n">
        <v>45236</v>
      </c>
      <c r="C315" s="177" t="n">
        <v>1402</v>
      </c>
      <c r="D315" s="177" t="n">
        <v>8</v>
      </c>
      <c r="E315" s="178" t="inlineStr">
        <is>
          <t>1402/08/15</t>
        </is>
      </c>
      <c r="F315" s="134" t="inlineStr">
        <is>
          <t>1402/08</t>
        </is>
      </c>
      <c r="G315" s="61" t="inlineStr">
        <is>
          <t>آبان</t>
        </is>
      </c>
      <c r="H315" s="134" t="inlineStr">
        <is>
          <t>پاییز</t>
        </is>
      </c>
      <c r="I315" s="134" t="inlineStr">
        <is>
          <t>دوشنبه</t>
        </is>
      </c>
      <c r="J315" s="134" t="inlineStr">
        <is>
          <t>بله</t>
        </is>
      </c>
    </row>
    <row r="316">
      <c r="A316" s="173" t="n">
        <v>45237</v>
      </c>
      <c r="B316" s="174" t="n">
        <v>45237</v>
      </c>
      <c r="C316" s="174" t="n">
        <v>1402</v>
      </c>
      <c r="D316" s="174" t="n">
        <v>8</v>
      </c>
      <c r="E316" s="175" t="inlineStr">
        <is>
          <t>1402/08/16</t>
        </is>
      </c>
      <c r="F316" s="128" t="inlineStr">
        <is>
          <t>1402/08</t>
        </is>
      </c>
      <c r="G316" s="58" t="inlineStr">
        <is>
          <t>آبان</t>
        </is>
      </c>
      <c r="H316" s="128" t="inlineStr">
        <is>
          <t>پاییز</t>
        </is>
      </c>
      <c r="I316" s="128" t="inlineStr">
        <is>
          <t>سه‌شنبه</t>
        </is>
      </c>
      <c r="J316" s="128" t="inlineStr">
        <is>
          <t>بله</t>
        </is>
      </c>
    </row>
    <row r="317">
      <c r="A317" s="176" t="n">
        <v>45238</v>
      </c>
      <c r="B317" s="177" t="n">
        <v>45238</v>
      </c>
      <c r="C317" s="177" t="n">
        <v>1402</v>
      </c>
      <c r="D317" s="177" t="n">
        <v>8</v>
      </c>
      <c r="E317" s="178" t="inlineStr">
        <is>
          <t>1402/08/17</t>
        </is>
      </c>
      <c r="F317" s="134" t="inlineStr">
        <is>
          <t>1402/08</t>
        </is>
      </c>
      <c r="G317" s="61" t="inlineStr">
        <is>
          <t>آبان</t>
        </is>
      </c>
      <c r="H317" s="134" t="inlineStr">
        <is>
          <t>پاییز</t>
        </is>
      </c>
      <c r="I317" s="134" t="inlineStr">
        <is>
          <t>چهارشنبه</t>
        </is>
      </c>
      <c r="J317" s="134" t="inlineStr">
        <is>
          <t>بله</t>
        </is>
      </c>
    </row>
    <row r="318">
      <c r="A318" s="173" t="n">
        <v>45239</v>
      </c>
      <c r="B318" s="174" t="n">
        <v>45239</v>
      </c>
      <c r="C318" s="174" t="n">
        <v>1402</v>
      </c>
      <c r="D318" s="174" t="n">
        <v>8</v>
      </c>
      <c r="E318" s="175" t="inlineStr">
        <is>
          <t>1402/08/18</t>
        </is>
      </c>
      <c r="F318" s="128" t="inlineStr">
        <is>
          <t>1402/08</t>
        </is>
      </c>
      <c r="G318" s="58" t="inlineStr">
        <is>
          <t>آبان</t>
        </is>
      </c>
      <c r="H318" s="128" t="inlineStr">
        <is>
          <t>پاییز</t>
        </is>
      </c>
      <c r="I318" s="128" t="inlineStr">
        <is>
          <t>پنجشنبه</t>
        </is>
      </c>
      <c r="J318" s="128" t="inlineStr">
        <is>
          <t>بله</t>
        </is>
      </c>
    </row>
    <row r="319">
      <c r="A319" s="176" t="n">
        <v>45240</v>
      </c>
      <c r="B319" s="177" t="n">
        <v>45240</v>
      </c>
      <c r="C319" s="177" t="n">
        <v>1402</v>
      </c>
      <c r="D319" s="177" t="n">
        <v>8</v>
      </c>
      <c r="E319" s="178" t="inlineStr">
        <is>
          <t>1402/08/19</t>
        </is>
      </c>
      <c r="F319" s="134" t="inlineStr">
        <is>
          <t>1402/08</t>
        </is>
      </c>
      <c r="G319" s="61" t="inlineStr">
        <is>
          <t>آبان</t>
        </is>
      </c>
      <c r="H319" s="134" t="inlineStr">
        <is>
          <t>پاییز</t>
        </is>
      </c>
      <c r="I319" s="134" t="inlineStr">
        <is>
          <t>جمعه</t>
        </is>
      </c>
      <c r="J319" s="134" t="inlineStr">
        <is>
          <t>بله</t>
        </is>
      </c>
    </row>
    <row r="320">
      <c r="A320" s="173" t="n">
        <v>45241</v>
      </c>
      <c r="B320" s="174" t="n">
        <v>45241</v>
      </c>
      <c r="C320" s="174" t="n">
        <v>1402</v>
      </c>
      <c r="D320" s="174" t="n">
        <v>8</v>
      </c>
      <c r="E320" s="175" t="inlineStr">
        <is>
          <t>1402/08/20</t>
        </is>
      </c>
      <c r="F320" s="128" t="inlineStr">
        <is>
          <t>1402/08</t>
        </is>
      </c>
      <c r="G320" s="58" t="inlineStr">
        <is>
          <t>آبان</t>
        </is>
      </c>
      <c r="H320" s="128" t="inlineStr">
        <is>
          <t>پاییز</t>
        </is>
      </c>
      <c r="I320" s="128" t="inlineStr">
        <is>
          <t>شنبه</t>
        </is>
      </c>
      <c r="J320" s="128" t="inlineStr">
        <is>
          <t>خیر</t>
        </is>
      </c>
    </row>
    <row r="321">
      <c r="A321" s="176" t="n">
        <v>45242</v>
      </c>
      <c r="B321" s="177" t="n">
        <v>45242</v>
      </c>
      <c r="C321" s="177" t="n">
        <v>1402</v>
      </c>
      <c r="D321" s="177" t="n">
        <v>8</v>
      </c>
      <c r="E321" s="178" t="inlineStr">
        <is>
          <t>1402/08/21</t>
        </is>
      </c>
      <c r="F321" s="134" t="inlineStr">
        <is>
          <t>1402/08</t>
        </is>
      </c>
      <c r="G321" s="61" t="inlineStr">
        <is>
          <t>آبان</t>
        </is>
      </c>
      <c r="H321" s="134" t="inlineStr">
        <is>
          <t>پاییز</t>
        </is>
      </c>
      <c r="I321" s="134" t="inlineStr">
        <is>
          <t>یکشنبه</t>
        </is>
      </c>
      <c r="J321" s="134" t="inlineStr">
        <is>
          <t>خیر</t>
        </is>
      </c>
    </row>
    <row r="322">
      <c r="A322" s="173" t="n">
        <v>45243</v>
      </c>
      <c r="B322" s="174" t="n">
        <v>45243</v>
      </c>
      <c r="C322" s="174" t="n">
        <v>1402</v>
      </c>
      <c r="D322" s="174" t="n">
        <v>8</v>
      </c>
      <c r="E322" s="175" t="inlineStr">
        <is>
          <t>1402/08/22</t>
        </is>
      </c>
      <c r="F322" s="128" t="inlineStr">
        <is>
          <t>1402/08</t>
        </is>
      </c>
      <c r="G322" s="58" t="inlineStr">
        <is>
          <t>آبان</t>
        </is>
      </c>
      <c r="H322" s="128" t="inlineStr">
        <is>
          <t>پاییز</t>
        </is>
      </c>
      <c r="I322" s="128" t="inlineStr">
        <is>
          <t>دوشنبه</t>
        </is>
      </c>
      <c r="J322" s="128" t="inlineStr">
        <is>
          <t>بله</t>
        </is>
      </c>
    </row>
    <row r="323">
      <c r="A323" s="176" t="n">
        <v>45244</v>
      </c>
      <c r="B323" s="177" t="n">
        <v>45244</v>
      </c>
      <c r="C323" s="177" t="n">
        <v>1402</v>
      </c>
      <c r="D323" s="177" t="n">
        <v>8</v>
      </c>
      <c r="E323" s="178" t="inlineStr">
        <is>
          <t>1402/08/23</t>
        </is>
      </c>
      <c r="F323" s="134" t="inlineStr">
        <is>
          <t>1402/08</t>
        </is>
      </c>
      <c r="G323" s="61" t="inlineStr">
        <is>
          <t>آبان</t>
        </is>
      </c>
      <c r="H323" s="134" t="inlineStr">
        <is>
          <t>پاییز</t>
        </is>
      </c>
      <c r="I323" s="134" t="inlineStr">
        <is>
          <t>سه‌شنبه</t>
        </is>
      </c>
      <c r="J323" s="134" t="inlineStr">
        <is>
          <t>بله</t>
        </is>
      </c>
    </row>
    <row r="324">
      <c r="A324" s="173" t="n">
        <v>45245</v>
      </c>
      <c r="B324" s="174" t="n">
        <v>45245</v>
      </c>
      <c r="C324" s="174" t="n">
        <v>1402</v>
      </c>
      <c r="D324" s="174" t="n">
        <v>8</v>
      </c>
      <c r="E324" s="175" t="inlineStr">
        <is>
          <t>1402/08/24</t>
        </is>
      </c>
      <c r="F324" s="128" t="inlineStr">
        <is>
          <t>1402/08</t>
        </is>
      </c>
      <c r="G324" s="58" t="inlineStr">
        <is>
          <t>آبان</t>
        </is>
      </c>
      <c r="H324" s="128" t="inlineStr">
        <is>
          <t>پاییز</t>
        </is>
      </c>
      <c r="I324" s="128" t="inlineStr">
        <is>
          <t>چهارشنبه</t>
        </is>
      </c>
      <c r="J324" s="128" t="inlineStr">
        <is>
          <t>بله</t>
        </is>
      </c>
    </row>
    <row r="325">
      <c r="A325" s="176" t="n">
        <v>45246</v>
      </c>
      <c r="B325" s="177" t="n">
        <v>45246</v>
      </c>
      <c r="C325" s="177" t="n">
        <v>1402</v>
      </c>
      <c r="D325" s="177" t="n">
        <v>8</v>
      </c>
      <c r="E325" s="178" t="inlineStr">
        <is>
          <t>1402/08/25</t>
        </is>
      </c>
      <c r="F325" s="134" t="inlineStr">
        <is>
          <t>1402/08</t>
        </is>
      </c>
      <c r="G325" s="61" t="inlineStr">
        <is>
          <t>آبان</t>
        </is>
      </c>
      <c r="H325" s="134" t="inlineStr">
        <is>
          <t>پاییز</t>
        </is>
      </c>
      <c r="I325" s="134" t="inlineStr">
        <is>
          <t>پنجشنبه</t>
        </is>
      </c>
      <c r="J325" s="134" t="inlineStr">
        <is>
          <t>بله</t>
        </is>
      </c>
    </row>
    <row r="326">
      <c r="A326" s="173" t="n">
        <v>45247</v>
      </c>
      <c r="B326" s="174" t="n">
        <v>45247</v>
      </c>
      <c r="C326" s="174" t="n">
        <v>1402</v>
      </c>
      <c r="D326" s="174" t="n">
        <v>8</v>
      </c>
      <c r="E326" s="175" t="inlineStr">
        <is>
          <t>1402/08/26</t>
        </is>
      </c>
      <c r="F326" s="128" t="inlineStr">
        <is>
          <t>1402/08</t>
        </is>
      </c>
      <c r="G326" s="58" t="inlineStr">
        <is>
          <t>آبان</t>
        </is>
      </c>
      <c r="H326" s="128" t="inlineStr">
        <is>
          <t>پاییز</t>
        </is>
      </c>
      <c r="I326" s="128" t="inlineStr">
        <is>
          <t>جمعه</t>
        </is>
      </c>
      <c r="J326" s="128" t="inlineStr">
        <is>
          <t>بله</t>
        </is>
      </c>
    </row>
    <row r="327">
      <c r="A327" s="176" t="n">
        <v>45248</v>
      </c>
      <c r="B327" s="177" t="n">
        <v>45248</v>
      </c>
      <c r="C327" s="177" t="n">
        <v>1402</v>
      </c>
      <c r="D327" s="177" t="n">
        <v>8</v>
      </c>
      <c r="E327" s="178" t="inlineStr">
        <is>
          <t>1402/08/27</t>
        </is>
      </c>
      <c r="F327" s="134" t="inlineStr">
        <is>
          <t>1402/08</t>
        </is>
      </c>
      <c r="G327" s="61" t="inlineStr">
        <is>
          <t>آبان</t>
        </is>
      </c>
      <c r="H327" s="134" t="inlineStr">
        <is>
          <t>پاییز</t>
        </is>
      </c>
      <c r="I327" s="134" t="inlineStr">
        <is>
          <t>شنبه</t>
        </is>
      </c>
      <c r="J327" s="134" t="inlineStr">
        <is>
          <t>خیر</t>
        </is>
      </c>
    </row>
    <row r="328">
      <c r="A328" s="173" t="n">
        <v>45249</v>
      </c>
      <c r="B328" s="174" t="n">
        <v>45249</v>
      </c>
      <c r="C328" s="174" t="n">
        <v>1402</v>
      </c>
      <c r="D328" s="174" t="n">
        <v>8</v>
      </c>
      <c r="E328" s="175" t="inlineStr">
        <is>
          <t>1402/08/28</t>
        </is>
      </c>
      <c r="F328" s="128" t="inlineStr">
        <is>
          <t>1402/08</t>
        </is>
      </c>
      <c r="G328" s="58" t="inlineStr">
        <is>
          <t>آبان</t>
        </is>
      </c>
      <c r="H328" s="128" t="inlineStr">
        <is>
          <t>پاییز</t>
        </is>
      </c>
      <c r="I328" s="128" t="inlineStr">
        <is>
          <t>یکشنبه</t>
        </is>
      </c>
      <c r="J328" s="128" t="inlineStr">
        <is>
          <t>خیر</t>
        </is>
      </c>
    </row>
    <row r="329">
      <c r="A329" s="176" t="n">
        <v>45250</v>
      </c>
      <c r="B329" s="177" t="n">
        <v>45250</v>
      </c>
      <c r="C329" s="177" t="n">
        <v>1402</v>
      </c>
      <c r="D329" s="177" t="n">
        <v>8</v>
      </c>
      <c r="E329" s="178" t="inlineStr">
        <is>
          <t>1402/08/29</t>
        </is>
      </c>
      <c r="F329" s="134" t="inlineStr">
        <is>
          <t>1402/08</t>
        </is>
      </c>
      <c r="G329" s="61" t="inlineStr">
        <is>
          <t>آبان</t>
        </is>
      </c>
      <c r="H329" s="134" t="inlineStr">
        <is>
          <t>پاییز</t>
        </is>
      </c>
      <c r="I329" s="134" t="inlineStr">
        <is>
          <t>دوشنبه</t>
        </is>
      </c>
      <c r="J329" s="134" t="inlineStr">
        <is>
          <t>بله</t>
        </is>
      </c>
    </row>
    <row r="330">
      <c r="A330" s="173" t="n">
        <v>45251</v>
      </c>
      <c r="B330" s="174" t="n">
        <v>45251</v>
      </c>
      <c r="C330" s="174" t="n">
        <v>1402</v>
      </c>
      <c r="D330" s="174" t="n">
        <v>8</v>
      </c>
      <c r="E330" s="175" t="inlineStr">
        <is>
          <t>1402/08/30</t>
        </is>
      </c>
      <c r="F330" s="128" t="inlineStr">
        <is>
          <t>1402/08</t>
        </is>
      </c>
      <c r="G330" s="58" t="inlineStr">
        <is>
          <t>آبان</t>
        </is>
      </c>
      <c r="H330" s="128" t="inlineStr">
        <is>
          <t>پاییز</t>
        </is>
      </c>
      <c r="I330" s="128" t="inlineStr">
        <is>
          <t>سه‌شنبه</t>
        </is>
      </c>
      <c r="J330" s="128" t="inlineStr">
        <is>
          <t>بله</t>
        </is>
      </c>
    </row>
    <row r="331">
      <c r="A331" s="176" t="n">
        <v>45252</v>
      </c>
      <c r="B331" s="177" t="n">
        <v>45252</v>
      </c>
      <c r="C331" s="177" t="n">
        <v>1402</v>
      </c>
      <c r="D331" s="177" t="n">
        <v>9</v>
      </c>
      <c r="E331" s="178" t="inlineStr">
        <is>
          <t>1402/09/01</t>
        </is>
      </c>
      <c r="F331" s="134" t="inlineStr">
        <is>
          <t>1402/09</t>
        </is>
      </c>
      <c r="G331" s="61" t="inlineStr">
        <is>
          <t>آذر</t>
        </is>
      </c>
      <c r="H331" s="134" t="inlineStr">
        <is>
          <t>پاییز</t>
        </is>
      </c>
      <c r="I331" s="134" t="inlineStr">
        <is>
          <t>چهارشنبه</t>
        </is>
      </c>
      <c r="J331" s="134" t="inlineStr">
        <is>
          <t>بله</t>
        </is>
      </c>
    </row>
    <row r="332">
      <c r="A332" s="173" t="n">
        <v>45253</v>
      </c>
      <c r="B332" s="174" t="n">
        <v>45253</v>
      </c>
      <c r="C332" s="174" t="n">
        <v>1402</v>
      </c>
      <c r="D332" s="174" t="n">
        <v>9</v>
      </c>
      <c r="E332" s="175" t="inlineStr">
        <is>
          <t>1402/09/02</t>
        </is>
      </c>
      <c r="F332" s="128" t="inlineStr">
        <is>
          <t>1402/09</t>
        </is>
      </c>
      <c r="G332" s="58" t="inlineStr">
        <is>
          <t>آذر</t>
        </is>
      </c>
      <c r="H332" s="128" t="inlineStr">
        <is>
          <t>پاییز</t>
        </is>
      </c>
      <c r="I332" s="128" t="inlineStr">
        <is>
          <t>پنجشنبه</t>
        </is>
      </c>
      <c r="J332" s="128" t="inlineStr">
        <is>
          <t>بله</t>
        </is>
      </c>
    </row>
    <row r="333">
      <c r="A333" s="176" t="n">
        <v>45254</v>
      </c>
      <c r="B333" s="177" t="n">
        <v>45254</v>
      </c>
      <c r="C333" s="177" t="n">
        <v>1402</v>
      </c>
      <c r="D333" s="177" t="n">
        <v>9</v>
      </c>
      <c r="E333" s="178" t="inlineStr">
        <is>
          <t>1402/09/03</t>
        </is>
      </c>
      <c r="F333" s="134" t="inlineStr">
        <is>
          <t>1402/09</t>
        </is>
      </c>
      <c r="G333" s="61" t="inlineStr">
        <is>
          <t>آذر</t>
        </is>
      </c>
      <c r="H333" s="134" t="inlineStr">
        <is>
          <t>پاییز</t>
        </is>
      </c>
      <c r="I333" s="134" t="inlineStr">
        <is>
          <t>جمعه</t>
        </is>
      </c>
      <c r="J333" s="134" t="inlineStr">
        <is>
          <t>بله</t>
        </is>
      </c>
    </row>
    <row r="334">
      <c r="A334" s="173" t="n">
        <v>45255</v>
      </c>
      <c r="B334" s="174" t="n">
        <v>45255</v>
      </c>
      <c r="C334" s="174" t="n">
        <v>1402</v>
      </c>
      <c r="D334" s="174" t="n">
        <v>9</v>
      </c>
      <c r="E334" s="175" t="inlineStr">
        <is>
          <t>1402/09/04</t>
        </is>
      </c>
      <c r="F334" s="128" t="inlineStr">
        <is>
          <t>1402/09</t>
        </is>
      </c>
      <c r="G334" s="58" t="inlineStr">
        <is>
          <t>آذر</t>
        </is>
      </c>
      <c r="H334" s="128" t="inlineStr">
        <is>
          <t>پاییز</t>
        </is>
      </c>
      <c r="I334" s="128" t="inlineStr">
        <is>
          <t>شنبه</t>
        </is>
      </c>
      <c r="J334" s="128" t="inlineStr">
        <is>
          <t>خیر</t>
        </is>
      </c>
    </row>
    <row r="335">
      <c r="A335" s="176" t="n">
        <v>45256</v>
      </c>
      <c r="B335" s="177" t="n">
        <v>45256</v>
      </c>
      <c r="C335" s="177" t="n">
        <v>1402</v>
      </c>
      <c r="D335" s="177" t="n">
        <v>9</v>
      </c>
      <c r="E335" s="178" t="inlineStr">
        <is>
          <t>1402/09/05</t>
        </is>
      </c>
      <c r="F335" s="134" t="inlineStr">
        <is>
          <t>1402/09</t>
        </is>
      </c>
      <c r="G335" s="61" t="inlineStr">
        <is>
          <t>آذر</t>
        </is>
      </c>
      <c r="H335" s="134" t="inlineStr">
        <is>
          <t>پاییز</t>
        </is>
      </c>
      <c r="I335" s="134" t="inlineStr">
        <is>
          <t>یکشنبه</t>
        </is>
      </c>
      <c r="J335" s="134" t="inlineStr">
        <is>
          <t>خیر</t>
        </is>
      </c>
    </row>
    <row r="336">
      <c r="A336" s="173" t="n">
        <v>45257</v>
      </c>
      <c r="B336" s="174" t="n">
        <v>45257</v>
      </c>
      <c r="C336" s="174" t="n">
        <v>1402</v>
      </c>
      <c r="D336" s="174" t="n">
        <v>9</v>
      </c>
      <c r="E336" s="175" t="inlineStr">
        <is>
          <t>1402/09/06</t>
        </is>
      </c>
      <c r="F336" s="128" t="inlineStr">
        <is>
          <t>1402/09</t>
        </is>
      </c>
      <c r="G336" s="58" t="inlineStr">
        <is>
          <t>آذر</t>
        </is>
      </c>
      <c r="H336" s="128" t="inlineStr">
        <is>
          <t>پاییز</t>
        </is>
      </c>
      <c r="I336" s="128" t="inlineStr">
        <is>
          <t>دوشنبه</t>
        </is>
      </c>
      <c r="J336" s="128" t="inlineStr">
        <is>
          <t>بله</t>
        </is>
      </c>
    </row>
    <row r="337">
      <c r="A337" s="176" t="n">
        <v>45258</v>
      </c>
      <c r="B337" s="177" t="n">
        <v>45258</v>
      </c>
      <c r="C337" s="177" t="n">
        <v>1402</v>
      </c>
      <c r="D337" s="177" t="n">
        <v>9</v>
      </c>
      <c r="E337" s="178" t="inlineStr">
        <is>
          <t>1402/09/07</t>
        </is>
      </c>
      <c r="F337" s="134" t="inlineStr">
        <is>
          <t>1402/09</t>
        </is>
      </c>
      <c r="G337" s="61" t="inlineStr">
        <is>
          <t>آذر</t>
        </is>
      </c>
      <c r="H337" s="134" t="inlineStr">
        <is>
          <t>پاییز</t>
        </is>
      </c>
      <c r="I337" s="134" t="inlineStr">
        <is>
          <t>سه‌شنبه</t>
        </is>
      </c>
      <c r="J337" s="134" t="inlineStr">
        <is>
          <t>بله</t>
        </is>
      </c>
    </row>
    <row r="338">
      <c r="A338" s="173" t="n">
        <v>45259</v>
      </c>
      <c r="B338" s="174" t="n">
        <v>45259</v>
      </c>
      <c r="C338" s="174" t="n">
        <v>1402</v>
      </c>
      <c r="D338" s="174" t="n">
        <v>9</v>
      </c>
      <c r="E338" s="175" t="inlineStr">
        <is>
          <t>1402/09/08</t>
        </is>
      </c>
      <c r="F338" s="128" t="inlineStr">
        <is>
          <t>1402/09</t>
        </is>
      </c>
      <c r="G338" s="58" t="inlineStr">
        <is>
          <t>آذر</t>
        </is>
      </c>
      <c r="H338" s="128" t="inlineStr">
        <is>
          <t>پاییز</t>
        </is>
      </c>
      <c r="I338" s="128" t="inlineStr">
        <is>
          <t>چهارشنبه</t>
        </is>
      </c>
      <c r="J338" s="128" t="inlineStr">
        <is>
          <t>بله</t>
        </is>
      </c>
    </row>
    <row r="339">
      <c r="A339" s="176" t="n">
        <v>45260</v>
      </c>
      <c r="B339" s="177" t="n">
        <v>45260</v>
      </c>
      <c r="C339" s="177" t="n">
        <v>1402</v>
      </c>
      <c r="D339" s="177" t="n">
        <v>9</v>
      </c>
      <c r="E339" s="178" t="inlineStr">
        <is>
          <t>1402/09/09</t>
        </is>
      </c>
      <c r="F339" s="134" t="inlineStr">
        <is>
          <t>1402/09</t>
        </is>
      </c>
      <c r="G339" s="61" t="inlineStr">
        <is>
          <t>آذر</t>
        </is>
      </c>
      <c r="H339" s="134" t="inlineStr">
        <is>
          <t>پاییز</t>
        </is>
      </c>
      <c r="I339" s="134" t="inlineStr">
        <is>
          <t>پنجشنبه</t>
        </is>
      </c>
      <c r="J339" s="134" t="inlineStr">
        <is>
          <t>بله</t>
        </is>
      </c>
    </row>
    <row r="340">
      <c r="A340" s="173" t="n">
        <v>45261</v>
      </c>
      <c r="B340" s="174" t="n">
        <v>45261</v>
      </c>
      <c r="C340" s="174" t="n">
        <v>1402</v>
      </c>
      <c r="D340" s="174" t="n">
        <v>9</v>
      </c>
      <c r="E340" s="175" t="inlineStr">
        <is>
          <t>1402/09/10</t>
        </is>
      </c>
      <c r="F340" s="128" t="inlineStr">
        <is>
          <t>1402/09</t>
        </is>
      </c>
      <c r="G340" s="58" t="inlineStr">
        <is>
          <t>آذر</t>
        </is>
      </c>
      <c r="H340" s="128" t="inlineStr">
        <is>
          <t>پاییز</t>
        </is>
      </c>
      <c r="I340" s="128" t="inlineStr">
        <is>
          <t>جمعه</t>
        </is>
      </c>
      <c r="J340" s="128" t="inlineStr">
        <is>
          <t>بله</t>
        </is>
      </c>
    </row>
    <row r="341">
      <c r="A341" s="176" t="n">
        <v>45262</v>
      </c>
      <c r="B341" s="177" t="n">
        <v>45262</v>
      </c>
      <c r="C341" s="177" t="n">
        <v>1402</v>
      </c>
      <c r="D341" s="177" t="n">
        <v>9</v>
      </c>
      <c r="E341" s="178" t="inlineStr">
        <is>
          <t>1402/09/11</t>
        </is>
      </c>
      <c r="F341" s="134" t="inlineStr">
        <is>
          <t>1402/09</t>
        </is>
      </c>
      <c r="G341" s="61" t="inlineStr">
        <is>
          <t>آذر</t>
        </is>
      </c>
      <c r="H341" s="134" t="inlineStr">
        <is>
          <t>پاییز</t>
        </is>
      </c>
      <c r="I341" s="134" t="inlineStr">
        <is>
          <t>شنبه</t>
        </is>
      </c>
      <c r="J341" s="134" t="inlineStr">
        <is>
          <t>خیر</t>
        </is>
      </c>
    </row>
    <row r="342">
      <c r="A342" s="173" t="n">
        <v>45263</v>
      </c>
      <c r="B342" s="174" t="n">
        <v>45263</v>
      </c>
      <c r="C342" s="174" t="n">
        <v>1402</v>
      </c>
      <c r="D342" s="174" t="n">
        <v>9</v>
      </c>
      <c r="E342" s="175" t="inlineStr">
        <is>
          <t>1402/09/12</t>
        </is>
      </c>
      <c r="F342" s="128" t="inlineStr">
        <is>
          <t>1402/09</t>
        </is>
      </c>
      <c r="G342" s="58" t="inlineStr">
        <is>
          <t>آذر</t>
        </is>
      </c>
      <c r="H342" s="128" t="inlineStr">
        <is>
          <t>پاییز</t>
        </is>
      </c>
      <c r="I342" s="128" t="inlineStr">
        <is>
          <t>یکشنبه</t>
        </is>
      </c>
      <c r="J342" s="128" t="inlineStr">
        <is>
          <t>خیر</t>
        </is>
      </c>
    </row>
    <row r="343">
      <c r="A343" s="176" t="n">
        <v>45264</v>
      </c>
      <c r="B343" s="177" t="n">
        <v>45264</v>
      </c>
      <c r="C343" s="177" t="n">
        <v>1402</v>
      </c>
      <c r="D343" s="177" t="n">
        <v>9</v>
      </c>
      <c r="E343" s="178" t="inlineStr">
        <is>
          <t>1402/09/13</t>
        </is>
      </c>
      <c r="F343" s="134" t="inlineStr">
        <is>
          <t>1402/09</t>
        </is>
      </c>
      <c r="G343" s="61" t="inlineStr">
        <is>
          <t>آذر</t>
        </is>
      </c>
      <c r="H343" s="134" t="inlineStr">
        <is>
          <t>پاییز</t>
        </is>
      </c>
      <c r="I343" s="134" t="inlineStr">
        <is>
          <t>دوشنبه</t>
        </is>
      </c>
      <c r="J343" s="134" t="inlineStr">
        <is>
          <t>بله</t>
        </is>
      </c>
    </row>
    <row r="344">
      <c r="A344" s="173" t="n">
        <v>45265</v>
      </c>
      <c r="B344" s="174" t="n">
        <v>45265</v>
      </c>
      <c r="C344" s="174" t="n">
        <v>1402</v>
      </c>
      <c r="D344" s="174" t="n">
        <v>9</v>
      </c>
      <c r="E344" s="175" t="inlineStr">
        <is>
          <t>1402/09/14</t>
        </is>
      </c>
      <c r="F344" s="128" t="inlineStr">
        <is>
          <t>1402/09</t>
        </is>
      </c>
      <c r="G344" s="58" t="inlineStr">
        <is>
          <t>آذر</t>
        </is>
      </c>
      <c r="H344" s="128" t="inlineStr">
        <is>
          <t>پاییز</t>
        </is>
      </c>
      <c r="I344" s="128" t="inlineStr">
        <is>
          <t>سه‌شنبه</t>
        </is>
      </c>
      <c r="J344" s="128" t="inlineStr">
        <is>
          <t>بله</t>
        </is>
      </c>
    </row>
    <row r="345">
      <c r="A345" s="176" t="n">
        <v>45266</v>
      </c>
      <c r="B345" s="177" t="n">
        <v>45266</v>
      </c>
      <c r="C345" s="177" t="n">
        <v>1402</v>
      </c>
      <c r="D345" s="177" t="n">
        <v>9</v>
      </c>
      <c r="E345" s="178" t="inlineStr">
        <is>
          <t>1402/09/15</t>
        </is>
      </c>
      <c r="F345" s="134" t="inlineStr">
        <is>
          <t>1402/09</t>
        </is>
      </c>
      <c r="G345" s="61" t="inlineStr">
        <is>
          <t>آذر</t>
        </is>
      </c>
      <c r="H345" s="134" t="inlineStr">
        <is>
          <t>پاییز</t>
        </is>
      </c>
      <c r="I345" s="134" t="inlineStr">
        <is>
          <t>چهارشنبه</t>
        </is>
      </c>
      <c r="J345" s="134" t="inlineStr">
        <is>
          <t>بله</t>
        </is>
      </c>
    </row>
    <row r="346">
      <c r="A346" s="173" t="n">
        <v>45267</v>
      </c>
      <c r="B346" s="174" t="n">
        <v>45267</v>
      </c>
      <c r="C346" s="174" t="n">
        <v>1402</v>
      </c>
      <c r="D346" s="174" t="n">
        <v>9</v>
      </c>
      <c r="E346" s="175" t="inlineStr">
        <is>
          <t>1402/09/16</t>
        </is>
      </c>
      <c r="F346" s="128" t="inlineStr">
        <is>
          <t>1402/09</t>
        </is>
      </c>
      <c r="G346" s="58" t="inlineStr">
        <is>
          <t>آذر</t>
        </is>
      </c>
      <c r="H346" s="128" t="inlineStr">
        <is>
          <t>پاییز</t>
        </is>
      </c>
      <c r="I346" s="128" t="inlineStr">
        <is>
          <t>پنجشنبه</t>
        </is>
      </c>
      <c r="J346" s="128" t="inlineStr">
        <is>
          <t>بله</t>
        </is>
      </c>
    </row>
    <row r="347">
      <c r="A347" s="176" t="n">
        <v>45268</v>
      </c>
      <c r="B347" s="177" t="n">
        <v>45268</v>
      </c>
      <c r="C347" s="177" t="n">
        <v>1402</v>
      </c>
      <c r="D347" s="177" t="n">
        <v>9</v>
      </c>
      <c r="E347" s="178" t="inlineStr">
        <is>
          <t>1402/09/17</t>
        </is>
      </c>
      <c r="F347" s="134" t="inlineStr">
        <is>
          <t>1402/09</t>
        </is>
      </c>
      <c r="G347" s="61" t="inlineStr">
        <is>
          <t>آذر</t>
        </is>
      </c>
      <c r="H347" s="134" t="inlineStr">
        <is>
          <t>پاییز</t>
        </is>
      </c>
      <c r="I347" s="134" t="inlineStr">
        <is>
          <t>جمعه</t>
        </is>
      </c>
      <c r="J347" s="134" t="inlineStr">
        <is>
          <t>بله</t>
        </is>
      </c>
    </row>
    <row r="348">
      <c r="A348" s="173" t="n">
        <v>45269</v>
      </c>
      <c r="B348" s="174" t="n">
        <v>45269</v>
      </c>
      <c r="C348" s="174" t="n">
        <v>1402</v>
      </c>
      <c r="D348" s="174" t="n">
        <v>9</v>
      </c>
      <c r="E348" s="175" t="inlineStr">
        <is>
          <t>1402/09/18</t>
        </is>
      </c>
      <c r="F348" s="128" t="inlineStr">
        <is>
          <t>1402/09</t>
        </is>
      </c>
      <c r="G348" s="58" t="inlineStr">
        <is>
          <t>آذر</t>
        </is>
      </c>
      <c r="H348" s="128" t="inlineStr">
        <is>
          <t>پاییز</t>
        </is>
      </c>
      <c r="I348" s="128" t="inlineStr">
        <is>
          <t>شنبه</t>
        </is>
      </c>
      <c r="J348" s="128" t="inlineStr">
        <is>
          <t>خیر</t>
        </is>
      </c>
    </row>
    <row r="349">
      <c r="A349" s="176" t="n">
        <v>45270</v>
      </c>
      <c r="B349" s="177" t="n">
        <v>45270</v>
      </c>
      <c r="C349" s="177" t="n">
        <v>1402</v>
      </c>
      <c r="D349" s="177" t="n">
        <v>9</v>
      </c>
      <c r="E349" s="178" t="inlineStr">
        <is>
          <t>1402/09/19</t>
        </is>
      </c>
      <c r="F349" s="134" t="inlineStr">
        <is>
          <t>1402/09</t>
        </is>
      </c>
      <c r="G349" s="61" t="inlineStr">
        <is>
          <t>آذر</t>
        </is>
      </c>
      <c r="H349" s="134" t="inlineStr">
        <is>
          <t>پاییز</t>
        </is>
      </c>
      <c r="I349" s="134" t="inlineStr">
        <is>
          <t>یکشنبه</t>
        </is>
      </c>
      <c r="J349" s="134" t="inlineStr">
        <is>
          <t>خیر</t>
        </is>
      </c>
    </row>
    <row r="350">
      <c r="A350" s="173" t="n">
        <v>45271</v>
      </c>
      <c r="B350" s="174" t="n">
        <v>45271</v>
      </c>
      <c r="C350" s="174" t="n">
        <v>1402</v>
      </c>
      <c r="D350" s="174" t="n">
        <v>9</v>
      </c>
      <c r="E350" s="175" t="inlineStr">
        <is>
          <t>1402/09/20</t>
        </is>
      </c>
      <c r="F350" s="128" t="inlineStr">
        <is>
          <t>1402/09</t>
        </is>
      </c>
      <c r="G350" s="58" t="inlineStr">
        <is>
          <t>آذر</t>
        </is>
      </c>
      <c r="H350" s="128" t="inlineStr">
        <is>
          <t>پاییز</t>
        </is>
      </c>
      <c r="I350" s="128" t="inlineStr">
        <is>
          <t>دوشنبه</t>
        </is>
      </c>
      <c r="J350" s="128" t="inlineStr">
        <is>
          <t>بله</t>
        </is>
      </c>
    </row>
    <row r="351">
      <c r="A351" s="176" t="n">
        <v>45272</v>
      </c>
      <c r="B351" s="177" t="n">
        <v>45272</v>
      </c>
      <c r="C351" s="177" t="n">
        <v>1402</v>
      </c>
      <c r="D351" s="177" t="n">
        <v>9</v>
      </c>
      <c r="E351" s="178" t="inlineStr">
        <is>
          <t>1402/09/21</t>
        </is>
      </c>
      <c r="F351" s="134" t="inlineStr">
        <is>
          <t>1402/09</t>
        </is>
      </c>
      <c r="G351" s="61" t="inlineStr">
        <is>
          <t>آذر</t>
        </is>
      </c>
      <c r="H351" s="134" t="inlineStr">
        <is>
          <t>پاییز</t>
        </is>
      </c>
      <c r="I351" s="134" t="inlineStr">
        <is>
          <t>سه‌شنبه</t>
        </is>
      </c>
      <c r="J351" s="134" t="inlineStr">
        <is>
          <t>بله</t>
        </is>
      </c>
    </row>
    <row r="352">
      <c r="A352" s="173" t="n">
        <v>45273</v>
      </c>
      <c r="B352" s="174" t="n">
        <v>45273</v>
      </c>
      <c r="C352" s="174" t="n">
        <v>1402</v>
      </c>
      <c r="D352" s="174" t="n">
        <v>9</v>
      </c>
      <c r="E352" s="175" t="inlineStr">
        <is>
          <t>1402/09/22</t>
        </is>
      </c>
      <c r="F352" s="128" t="inlineStr">
        <is>
          <t>1402/09</t>
        </is>
      </c>
      <c r="G352" s="58" t="inlineStr">
        <is>
          <t>آذر</t>
        </is>
      </c>
      <c r="H352" s="128" t="inlineStr">
        <is>
          <t>پاییز</t>
        </is>
      </c>
      <c r="I352" s="128" t="inlineStr">
        <is>
          <t>چهارشنبه</t>
        </is>
      </c>
      <c r="J352" s="128" t="inlineStr">
        <is>
          <t>بله</t>
        </is>
      </c>
    </row>
    <row r="353">
      <c r="A353" s="176" t="n">
        <v>45274</v>
      </c>
      <c r="B353" s="177" t="n">
        <v>45274</v>
      </c>
      <c r="C353" s="177" t="n">
        <v>1402</v>
      </c>
      <c r="D353" s="177" t="n">
        <v>9</v>
      </c>
      <c r="E353" s="178" t="inlineStr">
        <is>
          <t>1402/09/23</t>
        </is>
      </c>
      <c r="F353" s="134" t="inlineStr">
        <is>
          <t>1402/09</t>
        </is>
      </c>
      <c r="G353" s="61" t="inlineStr">
        <is>
          <t>آذر</t>
        </is>
      </c>
      <c r="H353" s="134" t="inlineStr">
        <is>
          <t>پاییز</t>
        </is>
      </c>
      <c r="I353" s="134" t="inlineStr">
        <is>
          <t>پنجشنبه</t>
        </is>
      </c>
      <c r="J353" s="134" t="inlineStr">
        <is>
          <t>بله</t>
        </is>
      </c>
    </row>
    <row r="354">
      <c r="A354" s="173" t="n">
        <v>45275</v>
      </c>
      <c r="B354" s="174" t="n">
        <v>45275</v>
      </c>
      <c r="C354" s="174" t="n">
        <v>1402</v>
      </c>
      <c r="D354" s="174" t="n">
        <v>9</v>
      </c>
      <c r="E354" s="175" t="inlineStr">
        <is>
          <t>1402/09/24</t>
        </is>
      </c>
      <c r="F354" s="128" t="inlineStr">
        <is>
          <t>1402/09</t>
        </is>
      </c>
      <c r="G354" s="58" t="inlineStr">
        <is>
          <t>آذر</t>
        </is>
      </c>
      <c r="H354" s="128" t="inlineStr">
        <is>
          <t>پاییز</t>
        </is>
      </c>
      <c r="I354" s="128" t="inlineStr">
        <is>
          <t>جمعه</t>
        </is>
      </c>
      <c r="J354" s="128" t="inlineStr">
        <is>
          <t>بله</t>
        </is>
      </c>
    </row>
    <row r="355">
      <c r="A355" s="176" t="n">
        <v>45276</v>
      </c>
      <c r="B355" s="177" t="n">
        <v>45276</v>
      </c>
      <c r="C355" s="177" t="n">
        <v>1402</v>
      </c>
      <c r="D355" s="177" t="n">
        <v>9</v>
      </c>
      <c r="E355" s="178" t="inlineStr">
        <is>
          <t>1402/09/25</t>
        </is>
      </c>
      <c r="F355" s="134" t="inlineStr">
        <is>
          <t>1402/09</t>
        </is>
      </c>
      <c r="G355" s="61" t="inlineStr">
        <is>
          <t>آذر</t>
        </is>
      </c>
      <c r="H355" s="134" t="inlineStr">
        <is>
          <t>پاییز</t>
        </is>
      </c>
      <c r="I355" s="134" t="inlineStr">
        <is>
          <t>شنبه</t>
        </is>
      </c>
      <c r="J355" s="134" t="inlineStr">
        <is>
          <t>خیر</t>
        </is>
      </c>
    </row>
    <row r="356">
      <c r="A356" s="173" t="n">
        <v>45277</v>
      </c>
      <c r="B356" s="174" t="n">
        <v>45277</v>
      </c>
      <c r="C356" s="174" t="n">
        <v>1402</v>
      </c>
      <c r="D356" s="174" t="n">
        <v>9</v>
      </c>
      <c r="E356" s="175" t="inlineStr">
        <is>
          <t>1402/09/26</t>
        </is>
      </c>
      <c r="F356" s="128" t="inlineStr">
        <is>
          <t>1402/09</t>
        </is>
      </c>
      <c r="G356" s="58" t="inlineStr">
        <is>
          <t>آذر</t>
        </is>
      </c>
      <c r="H356" s="128" t="inlineStr">
        <is>
          <t>پاییز</t>
        </is>
      </c>
      <c r="I356" s="128" t="inlineStr">
        <is>
          <t>یکشنبه</t>
        </is>
      </c>
      <c r="J356" s="128" t="inlineStr">
        <is>
          <t>خیر</t>
        </is>
      </c>
    </row>
    <row r="357">
      <c r="A357" s="176" t="n">
        <v>45278</v>
      </c>
      <c r="B357" s="177" t="n">
        <v>45278</v>
      </c>
      <c r="C357" s="177" t="n">
        <v>1402</v>
      </c>
      <c r="D357" s="177" t="n">
        <v>9</v>
      </c>
      <c r="E357" s="178" t="inlineStr">
        <is>
          <t>1402/09/27</t>
        </is>
      </c>
      <c r="F357" s="134" t="inlineStr">
        <is>
          <t>1402/09</t>
        </is>
      </c>
      <c r="G357" s="61" t="inlineStr">
        <is>
          <t>آذر</t>
        </is>
      </c>
      <c r="H357" s="134" t="inlineStr">
        <is>
          <t>پاییز</t>
        </is>
      </c>
      <c r="I357" s="134" t="inlineStr">
        <is>
          <t>دوشنبه</t>
        </is>
      </c>
      <c r="J357" s="134" t="inlineStr">
        <is>
          <t>بله</t>
        </is>
      </c>
    </row>
    <row r="358">
      <c r="A358" s="173" t="n">
        <v>45279</v>
      </c>
      <c r="B358" s="174" t="n">
        <v>45279</v>
      </c>
      <c r="C358" s="174" t="n">
        <v>1402</v>
      </c>
      <c r="D358" s="174" t="n">
        <v>9</v>
      </c>
      <c r="E358" s="175" t="inlineStr">
        <is>
          <t>1402/09/28</t>
        </is>
      </c>
      <c r="F358" s="128" t="inlineStr">
        <is>
          <t>1402/09</t>
        </is>
      </c>
      <c r="G358" s="58" t="inlineStr">
        <is>
          <t>آذر</t>
        </is>
      </c>
      <c r="H358" s="128" t="inlineStr">
        <is>
          <t>پاییز</t>
        </is>
      </c>
      <c r="I358" s="128" t="inlineStr">
        <is>
          <t>سه‌شنبه</t>
        </is>
      </c>
      <c r="J358" s="128" t="inlineStr">
        <is>
          <t>بله</t>
        </is>
      </c>
    </row>
    <row r="359">
      <c r="A359" s="176" t="n">
        <v>45280</v>
      </c>
      <c r="B359" s="177" t="n">
        <v>45280</v>
      </c>
      <c r="C359" s="177" t="n">
        <v>1402</v>
      </c>
      <c r="D359" s="177" t="n">
        <v>9</v>
      </c>
      <c r="E359" s="178" t="inlineStr">
        <is>
          <t>1402/09/29</t>
        </is>
      </c>
      <c r="F359" s="134" t="inlineStr">
        <is>
          <t>1402/09</t>
        </is>
      </c>
      <c r="G359" s="61" t="inlineStr">
        <is>
          <t>آذر</t>
        </is>
      </c>
      <c r="H359" s="134" t="inlineStr">
        <is>
          <t>پاییز</t>
        </is>
      </c>
      <c r="I359" s="134" t="inlineStr">
        <is>
          <t>چهارشنبه</t>
        </is>
      </c>
      <c r="J359" s="134" t="inlineStr">
        <is>
          <t>بله</t>
        </is>
      </c>
    </row>
    <row r="360">
      <c r="A360" s="173" t="n">
        <v>45281</v>
      </c>
      <c r="B360" s="174" t="n">
        <v>45281</v>
      </c>
      <c r="C360" s="174" t="n">
        <v>1402</v>
      </c>
      <c r="D360" s="174" t="n">
        <v>9</v>
      </c>
      <c r="E360" s="175" t="inlineStr">
        <is>
          <t>1402/09/30</t>
        </is>
      </c>
      <c r="F360" s="128" t="inlineStr">
        <is>
          <t>1402/09</t>
        </is>
      </c>
      <c r="G360" s="58" t="inlineStr">
        <is>
          <t>آذر</t>
        </is>
      </c>
      <c r="H360" s="128" t="inlineStr">
        <is>
          <t>پاییز</t>
        </is>
      </c>
      <c r="I360" s="128" t="inlineStr">
        <is>
          <t>پنجشنبه</t>
        </is>
      </c>
      <c r="J360" s="128" t="inlineStr">
        <is>
          <t>بله</t>
        </is>
      </c>
    </row>
    <row r="361">
      <c r="A361" s="176" t="n">
        <v>45282</v>
      </c>
      <c r="B361" s="177" t="n">
        <v>45282</v>
      </c>
      <c r="C361" s="177" t="n">
        <v>1402</v>
      </c>
      <c r="D361" s="177" t="n">
        <v>10</v>
      </c>
      <c r="E361" s="178" t="inlineStr">
        <is>
          <t>1402/10/01</t>
        </is>
      </c>
      <c r="F361" s="134" t="inlineStr">
        <is>
          <t>1402/10</t>
        </is>
      </c>
      <c r="G361" s="61" t="inlineStr">
        <is>
          <t>دی</t>
        </is>
      </c>
      <c r="H361" s="134" t="inlineStr">
        <is>
          <t>زمستان</t>
        </is>
      </c>
      <c r="I361" s="134" t="inlineStr">
        <is>
          <t>جمعه</t>
        </is>
      </c>
      <c r="J361" s="134" t="inlineStr">
        <is>
          <t>بله</t>
        </is>
      </c>
    </row>
    <row r="362">
      <c r="A362" s="173" t="n">
        <v>45283</v>
      </c>
      <c r="B362" s="174" t="n">
        <v>45283</v>
      </c>
      <c r="C362" s="174" t="n">
        <v>1402</v>
      </c>
      <c r="D362" s="174" t="n">
        <v>10</v>
      </c>
      <c r="E362" s="175" t="inlineStr">
        <is>
          <t>1402/10/02</t>
        </is>
      </c>
      <c r="F362" s="128" t="inlineStr">
        <is>
          <t>1402/10</t>
        </is>
      </c>
      <c r="G362" s="58" t="inlineStr">
        <is>
          <t>دی</t>
        </is>
      </c>
      <c r="H362" s="128" t="inlineStr">
        <is>
          <t>زمستان</t>
        </is>
      </c>
      <c r="I362" s="128" t="inlineStr">
        <is>
          <t>شنبه</t>
        </is>
      </c>
      <c r="J362" s="128" t="inlineStr">
        <is>
          <t>خیر</t>
        </is>
      </c>
    </row>
    <row r="363">
      <c r="A363" s="176" t="n">
        <v>45284</v>
      </c>
      <c r="B363" s="177" t="n">
        <v>45284</v>
      </c>
      <c r="C363" s="177" t="n">
        <v>1402</v>
      </c>
      <c r="D363" s="177" t="n">
        <v>10</v>
      </c>
      <c r="E363" s="178" t="inlineStr">
        <is>
          <t>1402/10/03</t>
        </is>
      </c>
      <c r="F363" s="134" t="inlineStr">
        <is>
          <t>1402/10</t>
        </is>
      </c>
      <c r="G363" s="61" t="inlineStr">
        <is>
          <t>دی</t>
        </is>
      </c>
      <c r="H363" s="134" t="inlineStr">
        <is>
          <t>زمستان</t>
        </is>
      </c>
      <c r="I363" s="134" t="inlineStr">
        <is>
          <t>یکشنبه</t>
        </is>
      </c>
      <c r="J363" s="134" t="inlineStr">
        <is>
          <t>خیر</t>
        </is>
      </c>
    </row>
    <row r="364">
      <c r="A364" s="173" t="n">
        <v>45285</v>
      </c>
      <c r="B364" s="174" t="n">
        <v>45285</v>
      </c>
      <c r="C364" s="174" t="n">
        <v>1402</v>
      </c>
      <c r="D364" s="174" t="n">
        <v>10</v>
      </c>
      <c r="E364" s="175" t="inlineStr">
        <is>
          <t>1402/10/04</t>
        </is>
      </c>
      <c r="F364" s="128" t="inlineStr">
        <is>
          <t>1402/10</t>
        </is>
      </c>
      <c r="G364" s="58" t="inlineStr">
        <is>
          <t>دی</t>
        </is>
      </c>
      <c r="H364" s="128" t="inlineStr">
        <is>
          <t>زمستان</t>
        </is>
      </c>
      <c r="I364" s="128" t="inlineStr">
        <is>
          <t>دوشنبه</t>
        </is>
      </c>
      <c r="J364" s="128" t="inlineStr">
        <is>
          <t>بله</t>
        </is>
      </c>
    </row>
    <row r="365">
      <c r="A365" s="176" t="n">
        <v>45286</v>
      </c>
      <c r="B365" s="177" t="n">
        <v>45286</v>
      </c>
      <c r="C365" s="177" t="n">
        <v>1402</v>
      </c>
      <c r="D365" s="177" t="n">
        <v>10</v>
      </c>
      <c r="E365" s="178" t="inlineStr">
        <is>
          <t>1402/10/05</t>
        </is>
      </c>
      <c r="F365" s="134" t="inlineStr">
        <is>
          <t>1402/10</t>
        </is>
      </c>
      <c r="G365" s="61" t="inlineStr">
        <is>
          <t>دی</t>
        </is>
      </c>
      <c r="H365" s="134" t="inlineStr">
        <is>
          <t>زمستان</t>
        </is>
      </c>
      <c r="I365" s="134" t="inlineStr">
        <is>
          <t>سه‌شنبه</t>
        </is>
      </c>
      <c r="J365" s="134" t="inlineStr">
        <is>
          <t>بله</t>
        </is>
      </c>
    </row>
    <row r="366">
      <c r="A366" s="173" t="n">
        <v>45287</v>
      </c>
      <c r="B366" s="174" t="n">
        <v>45287</v>
      </c>
      <c r="C366" s="174" t="n">
        <v>1402</v>
      </c>
      <c r="D366" s="174" t="n">
        <v>10</v>
      </c>
      <c r="E366" s="175" t="inlineStr">
        <is>
          <t>1402/10/06</t>
        </is>
      </c>
      <c r="F366" s="128" t="inlineStr">
        <is>
          <t>1402/10</t>
        </is>
      </c>
      <c r="G366" s="58" t="inlineStr">
        <is>
          <t>دی</t>
        </is>
      </c>
      <c r="H366" s="128" t="inlineStr">
        <is>
          <t>زمستان</t>
        </is>
      </c>
      <c r="I366" s="128" t="inlineStr">
        <is>
          <t>چهارشنبه</t>
        </is>
      </c>
      <c r="J366" s="128" t="inlineStr">
        <is>
          <t>بله</t>
        </is>
      </c>
    </row>
    <row r="367">
      <c r="A367" s="176" t="n">
        <v>45288</v>
      </c>
      <c r="B367" s="177" t="n">
        <v>45288</v>
      </c>
      <c r="C367" s="177" t="n">
        <v>1402</v>
      </c>
      <c r="D367" s="177" t="n">
        <v>10</v>
      </c>
      <c r="E367" s="178" t="inlineStr">
        <is>
          <t>1402/10/07</t>
        </is>
      </c>
      <c r="F367" s="134" t="inlineStr">
        <is>
          <t>1402/10</t>
        </is>
      </c>
      <c r="G367" s="61" t="inlineStr">
        <is>
          <t>دی</t>
        </is>
      </c>
      <c r="H367" s="134" t="inlineStr">
        <is>
          <t>زمستان</t>
        </is>
      </c>
      <c r="I367" s="134" t="inlineStr">
        <is>
          <t>پنجشنبه</t>
        </is>
      </c>
      <c r="J367" s="134" t="inlineStr">
        <is>
          <t>بله</t>
        </is>
      </c>
    </row>
    <row r="368">
      <c r="A368" s="173" t="n">
        <v>45289</v>
      </c>
      <c r="B368" s="174" t="n">
        <v>45289</v>
      </c>
      <c r="C368" s="174" t="n">
        <v>1402</v>
      </c>
      <c r="D368" s="174" t="n">
        <v>10</v>
      </c>
      <c r="E368" s="175" t="inlineStr">
        <is>
          <t>1402/10/08</t>
        </is>
      </c>
      <c r="F368" s="128" t="inlineStr">
        <is>
          <t>1402/10</t>
        </is>
      </c>
      <c r="G368" s="58" t="inlineStr">
        <is>
          <t>دی</t>
        </is>
      </c>
      <c r="H368" s="128" t="inlineStr">
        <is>
          <t>زمستان</t>
        </is>
      </c>
      <c r="I368" s="128" t="inlineStr">
        <is>
          <t>جمعه</t>
        </is>
      </c>
      <c r="J368" s="128" t="inlineStr">
        <is>
          <t>بله</t>
        </is>
      </c>
    </row>
    <row r="369">
      <c r="A369" s="176" t="n">
        <v>45290</v>
      </c>
      <c r="B369" s="177" t="n">
        <v>45290</v>
      </c>
      <c r="C369" s="177" t="n">
        <v>1402</v>
      </c>
      <c r="D369" s="177" t="n">
        <v>10</v>
      </c>
      <c r="E369" s="178" t="inlineStr">
        <is>
          <t>1402/10/09</t>
        </is>
      </c>
      <c r="F369" s="134" t="inlineStr">
        <is>
          <t>1402/10</t>
        </is>
      </c>
      <c r="G369" s="61" t="inlineStr">
        <is>
          <t>دی</t>
        </is>
      </c>
      <c r="H369" s="134" t="inlineStr">
        <is>
          <t>زمستان</t>
        </is>
      </c>
      <c r="I369" s="134" t="inlineStr">
        <is>
          <t>شنبه</t>
        </is>
      </c>
      <c r="J369" s="134" t="inlineStr">
        <is>
          <t>خیر</t>
        </is>
      </c>
    </row>
    <row r="370">
      <c r="A370" s="173" t="n">
        <v>45291</v>
      </c>
      <c r="B370" s="174" t="n">
        <v>45291</v>
      </c>
      <c r="C370" s="174" t="n">
        <v>1402</v>
      </c>
      <c r="D370" s="174" t="n">
        <v>10</v>
      </c>
      <c r="E370" s="175" t="inlineStr">
        <is>
          <t>1402/10/10</t>
        </is>
      </c>
      <c r="F370" s="128" t="inlineStr">
        <is>
          <t>1402/10</t>
        </is>
      </c>
      <c r="G370" s="58" t="inlineStr">
        <is>
          <t>دی</t>
        </is>
      </c>
      <c r="H370" s="128" t="inlineStr">
        <is>
          <t>زمستان</t>
        </is>
      </c>
      <c r="I370" s="128" t="inlineStr">
        <is>
          <t>یکشنبه</t>
        </is>
      </c>
      <c r="J370" s="128" t="inlineStr">
        <is>
          <t>خیر</t>
        </is>
      </c>
    </row>
    <row r="371">
      <c r="A371" s="176" t="n">
        <v>45292</v>
      </c>
      <c r="B371" s="177" t="n">
        <v>45292</v>
      </c>
      <c r="C371" s="177" t="n">
        <v>1402</v>
      </c>
      <c r="D371" s="177" t="n">
        <v>10</v>
      </c>
      <c r="E371" s="178" t="inlineStr">
        <is>
          <t>1402/10/11</t>
        </is>
      </c>
      <c r="F371" s="134" t="inlineStr">
        <is>
          <t>1402/10</t>
        </is>
      </c>
      <c r="G371" s="61" t="inlineStr">
        <is>
          <t>دی</t>
        </is>
      </c>
      <c r="H371" s="134" t="inlineStr">
        <is>
          <t>زمستان</t>
        </is>
      </c>
      <c r="I371" s="134" t="inlineStr">
        <is>
          <t>دوشنبه</t>
        </is>
      </c>
      <c r="J371" s="134" t="inlineStr">
        <is>
          <t>بله</t>
        </is>
      </c>
    </row>
    <row r="372">
      <c r="A372" s="173" t="n">
        <v>45293</v>
      </c>
      <c r="B372" s="174" t="n">
        <v>45293</v>
      </c>
      <c r="C372" s="174" t="n">
        <v>1402</v>
      </c>
      <c r="D372" s="174" t="n">
        <v>10</v>
      </c>
      <c r="E372" s="175" t="inlineStr">
        <is>
          <t>1402/10/12</t>
        </is>
      </c>
      <c r="F372" s="128" t="inlineStr">
        <is>
          <t>1402/10</t>
        </is>
      </c>
      <c r="G372" s="58" t="inlineStr">
        <is>
          <t>دی</t>
        </is>
      </c>
      <c r="H372" s="128" t="inlineStr">
        <is>
          <t>زمستان</t>
        </is>
      </c>
      <c r="I372" s="128" t="inlineStr">
        <is>
          <t>سه‌شنبه</t>
        </is>
      </c>
      <c r="J372" s="128" t="inlineStr">
        <is>
          <t>بله</t>
        </is>
      </c>
    </row>
    <row r="373">
      <c r="A373" s="176" t="n">
        <v>45294</v>
      </c>
      <c r="B373" s="177" t="n">
        <v>45294</v>
      </c>
      <c r="C373" s="177" t="n">
        <v>1402</v>
      </c>
      <c r="D373" s="177" t="n">
        <v>10</v>
      </c>
      <c r="E373" s="178" t="inlineStr">
        <is>
          <t>1402/10/13</t>
        </is>
      </c>
      <c r="F373" s="134" t="inlineStr">
        <is>
          <t>1402/10</t>
        </is>
      </c>
      <c r="G373" s="61" t="inlineStr">
        <is>
          <t>دی</t>
        </is>
      </c>
      <c r="H373" s="134" t="inlineStr">
        <is>
          <t>زمستان</t>
        </is>
      </c>
      <c r="I373" s="134" t="inlineStr">
        <is>
          <t>چهارشنبه</t>
        </is>
      </c>
      <c r="J373" s="134" t="inlineStr">
        <is>
          <t>بله</t>
        </is>
      </c>
    </row>
    <row r="374">
      <c r="A374" s="173" t="n">
        <v>45295</v>
      </c>
      <c r="B374" s="174" t="n">
        <v>45295</v>
      </c>
      <c r="C374" s="174" t="n">
        <v>1402</v>
      </c>
      <c r="D374" s="174" t="n">
        <v>10</v>
      </c>
      <c r="E374" s="175" t="inlineStr">
        <is>
          <t>1402/10/14</t>
        </is>
      </c>
      <c r="F374" s="128" t="inlineStr">
        <is>
          <t>1402/10</t>
        </is>
      </c>
      <c r="G374" s="58" t="inlineStr">
        <is>
          <t>دی</t>
        </is>
      </c>
      <c r="H374" s="128" t="inlineStr">
        <is>
          <t>زمستان</t>
        </is>
      </c>
      <c r="I374" s="128" t="inlineStr">
        <is>
          <t>پنجشنبه</t>
        </is>
      </c>
      <c r="J374" s="128" t="inlineStr">
        <is>
          <t>بله</t>
        </is>
      </c>
    </row>
    <row r="375">
      <c r="A375" s="176" t="n">
        <v>45296</v>
      </c>
      <c r="B375" s="177" t="n">
        <v>45296</v>
      </c>
      <c r="C375" s="177" t="n">
        <v>1402</v>
      </c>
      <c r="D375" s="177" t="n">
        <v>10</v>
      </c>
      <c r="E375" s="178" t="inlineStr">
        <is>
          <t>1402/10/15</t>
        </is>
      </c>
      <c r="F375" s="134" t="inlineStr">
        <is>
          <t>1402/10</t>
        </is>
      </c>
      <c r="G375" s="61" t="inlineStr">
        <is>
          <t>دی</t>
        </is>
      </c>
      <c r="H375" s="134" t="inlineStr">
        <is>
          <t>زمستان</t>
        </is>
      </c>
      <c r="I375" s="134" t="inlineStr">
        <is>
          <t>جمعه</t>
        </is>
      </c>
      <c r="J375" s="134" t="inlineStr">
        <is>
          <t>بله</t>
        </is>
      </c>
    </row>
    <row r="376">
      <c r="A376" s="173" t="n">
        <v>45297</v>
      </c>
      <c r="B376" s="174" t="n">
        <v>45297</v>
      </c>
      <c r="C376" s="174" t="n">
        <v>1402</v>
      </c>
      <c r="D376" s="174" t="n">
        <v>10</v>
      </c>
      <c r="E376" s="175" t="inlineStr">
        <is>
          <t>1402/10/16</t>
        </is>
      </c>
      <c r="F376" s="128" t="inlineStr">
        <is>
          <t>1402/10</t>
        </is>
      </c>
      <c r="G376" s="58" t="inlineStr">
        <is>
          <t>دی</t>
        </is>
      </c>
      <c r="H376" s="128" t="inlineStr">
        <is>
          <t>زمستان</t>
        </is>
      </c>
      <c r="I376" s="128" t="inlineStr">
        <is>
          <t>شنبه</t>
        </is>
      </c>
      <c r="J376" s="128" t="inlineStr">
        <is>
          <t>خیر</t>
        </is>
      </c>
    </row>
    <row r="377">
      <c r="A377" s="176" t="n">
        <v>45298</v>
      </c>
      <c r="B377" s="177" t="n">
        <v>45298</v>
      </c>
      <c r="C377" s="177" t="n">
        <v>1402</v>
      </c>
      <c r="D377" s="177" t="n">
        <v>10</v>
      </c>
      <c r="E377" s="178" t="inlineStr">
        <is>
          <t>1402/10/17</t>
        </is>
      </c>
      <c r="F377" s="134" t="inlineStr">
        <is>
          <t>1402/10</t>
        </is>
      </c>
      <c r="G377" s="61" t="inlineStr">
        <is>
          <t>دی</t>
        </is>
      </c>
      <c r="H377" s="134" t="inlineStr">
        <is>
          <t>زمستان</t>
        </is>
      </c>
      <c r="I377" s="134" t="inlineStr">
        <is>
          <t>یکشنبه</t>
        </is>
      </c>
      <c r="J377" s="134" t="inlineStr">
        <is>
          <t>خیر</t>
        </is>
      </c>
    </row>
    <row r="378">
      <c r="A378" s="173" t="n">
        <v>45299</v>
      </c>
      <c r="B378" s="174" t="n">
        <v>45299</v>
      </c>
      <c r="C378" s="174" t="n">
        <v>1402</v>
      </c>
      <c r="D378" s="174" t="n">
        <v>10</v>
      </c>
      <c r="E378" s="175" t="inlineStr">
        <is>
          <t>1402/10/18</t>
        </is>
      </c>
      <c r="F378" s="128" t="inlineStr">
        <is>
          <t>1402/10</t>
        </is>
      </c>
      <c r="G378" s="58" t="inlineStr">
        <is>
          <t>دی</t>
        </is>
      </c>
      <c r="H378" s="128" t="inlineStr">
        <is>
          <t>زمستان</t>
        </is>
      </c>
      <c r="I378" s="128" t="inlineStr">
        <is>
          <t>دوشنبه</t>
        </is>
      </c>
      <c r="J378" s="128" t="inlineStr">
        <is>
          <t>بله</t>
        </is>
      </c>
    </row>
    <row r="379">
      <c r="A379" s="176" t="n">
        <v>45300</v>
      </c>
      <c r="B379" s="177" t="n">
        <v>45300</v>
      </c>
      <c r="C379" s="177" t="n">
        <v>1402</v>
      </c>
      <c r="D379" s="177" t="n">
        <v>10</v>
      </c>
      <c r="E379" s="178" t="inlineStr">
        <is>
          <t>1402/10/19</t>
        </is>
      </c>
      <c r="F379" s="134" t="inlineStr">
        <is>
          <t>1402/10</t>
        </is>
      </c>
      <c r="G379" s="61" t="inlineStr">
        <is>
          <t>دی</t>
        </is>
      </c>
      <c r="H379" s="134" t="inlineStr">
        <is>
          <t>زمستان</t>
        </is>
      </c>
      <c r="I379" s="134" t="inlineStr">
        <is>
          <t>سه‌شنبه</t>
        </is>
      </c>
      <c r="J379" s="134" t="inlineStr">
        <is>
          <t>بله</t>
        </is>
      </c>
    </row>
    <row r="380">
      <c r="A380" s="173" t="n">
        <v>45301</v>
      </c>
      <c r="B380" s="174" t="n">
        <v>45301</v>
      </c>
      <c r="C380" s="174" t="n">
        <v>1402</v>
      </c>
      <c r="D380" s="174" t="n">
        <v>10</v>
      </c>
      <c r="E380" s="175" t="inlineStr">
        <is>
          <t>1402/10/20</t>
        </is>
      </c>
      <c r="F380" s="128" t="inlineStr">
        <is>
          <t>1402/10</t>
        </is>
      </c>
      <c r="G380" s="58" t="inlineStr">
        <is>
          <t>دی</t>
        </is>
      </c>
      <c r="H380" s="128" t="inlineStr">
        <is>
          <t>زمستان</t>
        </is>
      </c>
      <c r="I380" s="128" t="inlineStr">
        <is>
          <t>چهارشنبه</t>
        </is>
      </c>
      <c r="J380" s="128" t="inlineStr">
        <is>
          <t>بله</t>
        </is>
      </c>
    </row>
    <row r="381">
      <c r="A381" s="176" t="n">
        <v>45302</v>
      </c>
      <c r="B381" s="177" t="n">
        <v>45302</v>
      </c>
      <c r="C381" s="177" t="n">
        <v>1402</v>
      </c>
      <c r="D381" s="177" t="n">
        <v>10</v>
      </c>
      <c r="E381" s="178" t="inlineStr">
        <is>
          <t>1402/10/21</t>
        </is>
      </c>
      <c r="F381" s="134" t="inlineStr">
        <is>
          <t>1402/10</t>
        </is>
      </c>
      <c r="G381" s="61" t="inlineStr">
        <is>
          <t>دی</t>
        </is>
      </c>
      <c r="H381" s="134" t="inlineStr">
        <is>
          <t>زمستان</t>
        </is>
      </c>
      <c r="I381" s="134" t="inlineStr">
        <is>
          <t>پنجشنبه</t>
        </is>
      </c>
      <c r="J381" s="134" t="inlineStr">
        <is>
          <t>بله</t>
        </is>
      </c>
    </row>
    <row r="382">
      <c r="A382" s="173" t="n">
        <v>45303</v>
      </c>
      <c r="B382" s="174" t="n">
        <v>45303</v>
      </c>
      <c r="C382" s="174" t="n">
        <v>1402</v>
      </c>
      <c r="D382" s="174" t="n">
        <v>10</v>
      </c>
      <c r="E382" s="175" t="inlineStr">
        <is>
          <t>1402/10/22</t>
        </is>
      </c>
      <c r="F382" s="128" t="inlineStr">
        <is>
          <t>1402/10</t>
        </is>
      </c>
      <c r="G382" s="58" t="inlineStr">
        <is>
          <t>دی</t>
        </is>
      </c>
      <c r="H382" s="128" t="inlineStr">
        <is>
          <t>زمستان</t>
        </is>
      </c>
      <c r="I382" s="128" t="inlineStr">
        <is>
          <t>جمعه</t>
        </is>
      </c>
      <c r="J382" s="128" t="inlineStr">
        <is>
          <t>بله</t>
        </is>
      </c>
    </row>
    <row r="383">
      <c r="A383" s="176" t="n">
        <v>45304</v>
      </c>
      <c r="B383" s="177" t="n">
        <v>45304</v>
      </c>
      <c r="C383" s="177" t="n">
        <v>1402</v>
      </c>
      <c r="D383" s="177" t="n">
        <v>10</v>
      </c>
      <c r="E383" s="178" t="inlineStr">
        <is>
          <t>1402/10/23</t>
        </is>
      </c>
      <c r="F383" s="134" t="inlineStr">
        <is>
          <t>1402/10</t>
        </is>
      </c>
      <c r="G383" s="61" t="inlineStr">
        <is>
          <t>دی</t>
        </is>
      </c>
      <c r="H383" s="134" t="inlineStr">
        <is>
          <t>زمستان</t>
        </is>
      </c>
      <c r="I383" s="134" t="inlineStr">
        <is>
          <t>شنبه</t>
        </is>
      </c>
      <c r="J383" s="134" t="inlineStr">
        <is>
          <t>خیر</t>
        </is>
      </c>
    </row>
    <row r="384">
      <c r="A384" s="173" t="n">
        <v>45305</v>
      </c>
      <c r="B384" s="174" t="n">
        <v>45305</v>
      </c>
      <c r="C384" s="174" t="n">
        <v>1402</v>
      </c>
      <c r="D384" s="174" t="n">
        <v>10</v>
      </c>
      <c r="E384" s="175" t="inlineStr">
        <is>
          <t>1402/10/24</t>
        </is>
      </c>
      <c r="F384" s="128" t="inlineStr">
        <is>
          <t>1402/10</t>
        </is>
      </c>
      <c r="G384" s="58" t="inlineStr">
        <is>
          <t>دی</t>
        </is>
      </c>
      <c r="H384" s="128" t="inlineStr">
        <is>
          <t>زمستان</t>
        </is>
      </c>
      <c r="I384" s="128" t="inlineStr">
        <is>
          <t>یکشنبه</t>
        </is>
      </c>
      <c r="J384" s="128" t="inlineStr">
        <is>
          <t>خیر</t>
        </is>
      </c>
    </row>
    <row r="385">
      <c r="A385" s="176" t="n">
        <v>45306</v>
      </c>
      <c r="B385" s="177" t="n">
        <v>45306</v>
      </c>
      <c r="C385" s="177" t="n">
        <v>1402</v>
      </c>
      <c r="D385" s="177" t="n">
        <v>10</v>
      </c>
      <c r="E385" s="178" t="inlineStr">
        <is>
          <t>1402/10/25</t>
        </is>
      </c>
      <c r="F385" s="134" t="inlineStr">
        <is>
          <t>1402/10</t>
        </is>
      </c>
      <c r="G385" s="61" t="inlineStr">
        <is>
          <t>دی</t>
        </is>
      </c>
      <c r="H385" s="134" t="inlineStr">
        <is>
          <t>زمستان</t>
        </is>
      </c>
      <c r="I385" s="134" t="inlineStr">
        <is>
          <t>دوشنبه</t>
        </is>
      </c>
      <c r="J385" s="134" t="inlineStr">
        <is>
          <t>بله</t>
        </is>
      </c>
    </row>
    <row r="386">
      <c r="A386" s="173" t="n">
        <v>45307</v>
      </c>
      <c r="B386" s="174" t="n">
        <v>45307</v>
      </c>
      <c r="C386" s="174" t="n">
        <v>1402</v>
      </c>
      <c r="D386" s="174" t="n">
        <v>10</v>
      </c>
      <c r="E386" s="175" t="inlineStr">
        <is>
          <t>1402/10/26</t>
        </is>
      </c>
      <c r="F386" s="128" t="inlineStr">
        <is>
          <t>1402/10</t>
        </is>
      </c>
      <c r="G386" s="58" t="inlineStr">
        <is>
          <t>دی</t>
        </is>
      </c>
      <c r="H386" s="128" t="inlineStr">
        <is>
          <t>زمستان</t>
        </is>
      </c>
      <c r="I386" s="128" t="inlineStr">
        <is>
          <t>سه‌شنبه</t>
        </is>
      </c>
      <c r="J386" s="128" t="inlineStr">
        <is>
          <t>بله</t>
        </is>
      </c>
    </row>
    <row r="387">
      <c r="A387" s="176" t="n">
        <v>45308</v>
      </c>
      <c r="B387" s="177" t="n">
        <v>45308</v>
      </c>
      <c r="C387" s="177" t="n">
        <v>1402</v>
      </c>
      <c r="D387" s="177" t="n">
        <v>10</v>
      </c>
      <c r="E387" s="178" t="inlineStr">
        <is>
          <t>1402/10/27</t>
        </is>
      </c>
      <c r="F387" s="134" t="inlineStr">
        <is>
          <t>1402/10</t>
        </is>
      </c>
      <c r="G387" s="61" t="inlineStr">
        <is>
          <t>دی</t>
        </is>
      </c>
      <c r="H387" s="134" t="inlineStr">
        <is>
          <t>زمستان</t>
        </is>
      </c>
      <c r="I387" s="134" t="inlineStr">
        <is>
          <t>چهارشنبه</t>
        </is>
      </c>
      <c r="J387" s="134" t="inlineStr">
        <is>
          <t>بله</t>
        </is>
      </c>
    </row>
    <row r="388">
      <c r="A388" s="173" t="n">
        <v>45309</v>
      </c>
      <c r="B388" s="174" t="n">
        <v>45309</v>
      </c>
      <c r="C388" s="174" t="n">
        <v>1402</v>
      </c>
      <c r="D388" s="174" t="n">
        <v>10</v>
      </c>
      <c r="E388" s="175" t="inlineStr">
        <is>
          <t>1402/10/28</t>
        </is>
      </c>
      <c r="F388" s="128" t="inlineStr">
        <is>
          <t>1402/10</t>
        </is>
      </c>
      <c r="G388" s="58" t="inlineStr">
        <is>
          <t>دی</t>
        </is>
      </c>
      <c r="H388" s="128" t="inlineStr">
        <is>
          <t>زمستان</t>
        </is>
      </c>
      <c r="I388" s="128" t="inlineStr">
        <is>
          <t>پنجشنبه</t>
        </is>
      </c>
      <c r="J388" s="128" t="inlineStr">
        <is>
          <t>بله</t>
        </is>
      </c>
    </row>
    <row r="389">
      <c r="A389" s="176" t="n">
        <v>45310</v>
      </c>
      <c r="B389" s="177" t="n">
        <v>45310</v>
      </c>
      <c r="C389" s="177" t="n">
        <v>1402</v>
      </c>
      <c r="D389" s="177" t="n">
        <v>10</v>
      </c>
      <c r="E389" s="178" t="inlineStr">
        <is>
          <t>1402/10/29</t>
        </is>
      </c>
      <c r="F389" s="134" t="inlineStr">
        <is>
          <t>1402/10</t>
        </is>
      </c>
      <c r="G389" s="61" t="inlineStr">
        <is>
          <t>دی</t>
        </is>
      </c>
      <c r="H389" s="134" t="inlineStr">
        <is>
          <t>زمستان</t>
        </is>
      </c>
      <c r="I389" s="134" t="inlineStr">
        <is>
          <t>جمعه</t>
        </is>
      </c>
      <c r="J389" s="134" t="inlineStr">
        <is>
          <t>بله</t>
        </is>
      </c>
    </row>
    <row r="390">
      <c r="A390" s="173" t="n">
        <v>45311</v>
      </c>
      <c r="B390" s="174" t="n">
        <v>45311</v>
      </c>
      <c r="C390" s="174" t="n">
        <v>1402</v>
      </c>
      <c r="D390" s="174" t="n">
        <v>10</v>
      </c>
      <c r="E390" s="175" t="inlineStr">
        <is>
          <t>1402/10/30</t>
        </is>
      </c>
      <c r="F390" s="128" t="inlineStr">
        <is>
          <t>1402/10</t>
        </is>
      </c>
      <c r="G390" s="58" t="inlineStr">
        <is>
          <t>دی</t>
        </is>
      </c>
      <c r="H390" s="128" t="inlineStr">
        <is>
          <t>زمستان</t>
        </is>
      </c>
      <c r="I390" s="128" t="inlineStr">
        <is>
          <t>شنبه</t>
        </is>
      </c>
      <c r="J390" s="128" t="inlineStr">
        <is>
          <t>خیر</t>
        </is>
      </c>
    </row>
    <row r="391">
      <c r="A391" s="176" t="n">
        <v>45312</v>
      </c>
      <c r="B391" s="177" t="n">
        <v>45312</v>
      </c>
      <c r="C391" s="177" t="n">
        <v>1402</v>
      </c>
      <c r="D391" s="177" t="n">
        <v>11</v>
      </c>
      <c r="E391" s="178" t="inlineStr">
        <is>
          <t>1402/11/01</t>
        </is>
      </c>
      <c r="F391" s="134" t="inlineStr">
        <is>
          <t>1402/11</t>
        </is>
      </c>
      <c r="G391" s="61" t="inlineStr">
        <is>
          <t>بهمن</t>
        </is>
      </c>
      <c r="H391" s="134" t="inlineStr">
        <is>
          <t>زمستان</t>
        </is>
      </c>
      <c r="I391" s="134" t="inlineStr">
        <is>
          <t>یکشنبه</t>
        </is>
      </c>
      <c r="J391" s="134" t="inlineStr">
        <is>
          <t>خیر</t>
        </is>
      </c>
    </row>
    <row r="392">
      <c r="A392" s="173" t="n">
        <v>45313</v>
      </c>
      <c r="B392" s="174" t="n">
        <v>45313</v>
      </c>
      <c r="C392" s="174" t="n">
        <v>1402</v>
      </c>
      <c r="D392" s="174" t="n">
        <v>11</v>
      </c>
      <c r="E392" s="175" t="inlineStr">
        <is>
          <t>1402/11/02</t>
        </is>
      </c>
      <c r="F392" s="128" t="inlineStr">
        <is>
          <t>1402/11</t>
        </is>
      </c>
      <c r="G392" s="58" t="inlineStr">
        <is>
          <t>بهمن</t>
        </is>
      </c>
      <c r="H392" s="128" t="inlineStr">
        <is>
          <t>زمستان</t>
        </is>
      </c>
      <c r="I392" s="128" t="inlineStr">
        <is>
          <t>دوشنبه</t>
        </is>
      </c>
      <c r="J392" s="128" t="inlineStr">
        <is>
          <t>بله</t>
        </is>
      </c>
    </row>
    <row r="393">
      <c r="A393" s="176" t="n">
        <v>45314</v>
      </c>
      <c r="B393" s="177" t="n">
        <v>45314</v>
      </c>
      <c r="C393" s="177" t="n">
        <v>1402</v>
      </c>
      <c r="D393" s="177" t="n">
        <v>11</v>
      </c>
      <c r="E393" s="178" t="inlineStr">
        <is>
          <t>1402/11/03</t>
        </is>
      </c>
      <c r="F393" s="134" t="inlineStr">
        <is>
          <t>1402/11</t>
        </is>
      </c>
      <c r="G393" s="61" t="inlineStr">
        <is>
          <t>بهمن</t>
        </is>
      </c>
      <c r="H393" s="134" t="inlineStr">
        <is>
          <t>زمستان</t>
        </is>
      </c>
      <c r="I393" s="134" t="inlineStr">
        <is>
          <t>سه‌شنبه</t>
        </is>
      </c>
      <c r="J393" s="134" t="inlineStr">
        <is>
          <t>بله</t>
        </is>
      </c>
    </row>
    <row r="394">
      <c r="A394" s="173" t="n">
        <v>45315</v>
      </c>
      <c r="B394" s="174" t="n">
        <v>45315</v>
      </c>
      <c r="C394" s="174" t="n">
        <v>1402</v>
      </c>
      <c r="D394" s="174" t="n">
        <v>11</v>
      </c>
      <c r="E394" s="175" t="inlineStr">
        <is>
          <t>1402/11/04</t>
        </is>
      </c>
      <c r="F394" s="128" t="inlineStr">
        <is>
          <t>1402/11</t>
        </is>
      </c>
      <c r="G394" s="58" t="inlineStr">
        <is>
          <t>بهمن</t>
        </is>
      </c>
      <c r="H394" s="128" t="inlineStr">
        <is>
          <t>زمستان</t>
        </is>
      </c>
      <c r="I394" s="128" t="inlineStr">
        <is>
          <t>چهارشنبه</t>
        </is>
      </c>
      <c r="J394" s="128" t="inlineStr">
        <is>
          <t>بله</t>
        </is>
      </c>
    </row>
    <row r="395">
      <c r="A395" s="176" t="n">
        <v>45316</v>
      </c>
      <c r="B395" s="177" t="n">
        <v>45316</v>
      </c>
      <c r="C395" s="177" t="n">
        <v>1402</v>
      </c>
      <c r="D395" s="177" t="n">
        <v>11</v>
      </c>
      <c r="E395" s="178" t="inlineStr">
        <is>
          <t>1402/11/05</t>
        </is>
      </c>
      <c r="F395" s="134" t="inlineStr">
        <is>
          <t>1402/11</t>
        </is>
      </c>
      <c r="G395" s="61" t="inlineStr">
        <is>
          <t>بهمن</t>
        </is>
      </c>
      <c r="H395" s="134" t="inlineStr">
        <is>
          <t>زمستان</t>
        </is>
      </c>
      <c r="I395" s="134" t="inlineStr">
        <is>
          <t>پنجشنبه</t>
        </is>
      </c>
      <c r="J395" s="134" t="inlineStr">
        <is>
          <t>بله</t>
        </is>
      </c>
    </row>
    <row r="396">
      <c r="A396" s="173" t="n">
        <v>45317</v>
      </c>
      <c r="B396" s="174" t="n">
        <v>45317</v>
      </c>
      <c r="C396" s="174" t="n">
        <v>1402</v>
      </c>
      <c r="D396" s="174" t="n">
        <v>11</v>
      </c>
      <c r="E396" s="175" t="inlineStr">
        <is>
          <t>1402/11/06</t>
        </is>
      </c>
      <c r="F396" s="128" t="inlineStr">
        <is>
          <t>1402/11</t>
        </is>
      </c>
      <c r="G396" s="58" t="inlineStr">
        <is>
          <t>بهمن</t>
        </is>
      </c>
      <c r="H396" s="128" t="inlineStr">
        <is>
          <t>زمستان</t>
        </is>
      </c>
      <c r="I396" s="128" t="inlineStr">
        <is>
          <t>جمعه</t>
        </is>
      </c>
      <c r="J396" s="128" t="inlineStr">
        <is>
          <t>بله</t>
        </is>
      </c>
    </row>
    <row r="397">
      <c r="A397" s="176" t="n">
        <v>45318</v>
      </c>
      <c r="B397" s="177" t="n">
        <v>45318</v>
      </c>
      <c r="C397" s="177" t="n">
        <v>1402</v>
      </c>
      <c r="D397" s="177" t="n">
        <v>11</v>
      </c>
      <c r="E397" s="178" t="inlineStr">
        <is>
          <t>1402/11/07</t>
        </is>
      </c>
      <c r="F397" s="134" t="inlineStr">
        <is>
          <t>1402/11</t>
        </is>
      </c>
      <c r="G397" s="61" t="inlineStr">
        <is>
          <t>بهمن</t>
        </is>
      </c>
      <c r="H397" s="134" t="inlineStr">
        <is>
          <t>زمستان</t>
        </is>
      </c>
      <c r="I397" s="134" t="inlineStr">
        <is>
          <t>شنبه</t>
        </is>
      </c>
      <c r="J397" s="134" t="inlineStr">
        <is>
          <t>خیر</t>
        </is>
      </c>
    </row>
    <row r="398">
      <c r="A398" s="173" t="n">
        <v>45319</v>
      </c>
      <c r="B398" s="174" t="n">
        <v>45319</v>
      </c>
      <c r="C398" s="174" t="n">
        <v>1402</v>
      </c>
      <c r="D398" s="174" t="n">
        <v>11</v>
      </c>
      <c r="E398" s="175" t="inlineStr">
        <is>
          <t>1402/11/08</t>
        </is>
      </c>
      <c r="F398" s="128" t="inlineStr">
        <is>
          <t>1402/11</t>
        </is>
      </c>
      <c r="G398" s="58" t="inlineStr">
        <is>
          <t>بهمن</t>
        </is>
      </c>
      <c r="H398" s="128" t="inlineStr">
        <is>
          <t>زمستان</t>
        </is>
      </c>
      <c r="I398" s="128" t="inlineStr">
        <is>
          <t>یکشنبه</t>
        </is>
      </c>
      <c r="J398" s="128" t="inlineStr">
        <is>
          <t>خیر</t>
        </is>
      </c>
    </row>
    <row r="399">
      <c r="A399" s="176" t="n">
        <v>45320</v>
      </c>
      <c r="B399" s="177" t="n">
        <v>45320</v>
      </c>
      <c r="C399" s="177" t="n">
        <v>1402</v>
      </c>
      <c r="D399" s="177" t="n">
        <v>11</v>
      </c>
      <c r="E399" s="178" t="inlineStr">
        <is>
          <t>1402/11/09</t>
        </is>
      </c>
      <c r="F399" s="134" t="inlineStr">
        <is>
          <t>1402/11</t>
        </is>
      </c>
      <c r="G399" s="61" t="inlineStr">
        <is>
          <t>بهمن</t>
        </is>
      </c>
      <c r="H399" s="134" t="inlineStr">
        <is>
          <t>زمستان</t>
        </is>
      </c>
      <c r="I399" s="134" t="inlineStr">
        <is>
          <t>دوشنبه</t>
        </is>
      </c>
      <c r="J399" s="134" t="inlineStr">
        <is>
          <t>بله</t>
        </is>
      </c>
    </row>
    <row r="400">
      <c r="A400" s="173" t="n">
        <v>45321</v>
      </c>
      <c r="B400" s="174" t="n">
        <v>45321</v>
      </c>
      <c r="C400" s="174" t="n">
        <v>1402</v>
      </c>
      <c r="D400" s="174" t="n">
        <v>11</v>
      </c>
      <c r="E400" s="175" t="inlineStr">
        <is>
          <t>1402/11/10</t>
        </is>
      </c>
      <c r="F400" s="128" t="inlineStr">
        <is>
          <t>1402/11</t>
        </is>
      </c>
      <c r="G400" s="58" t="inlineStr">
        <is>
          <t>بهمن</t>
        </is>
      </c>
      <c r="H400" s="128" t="inlineStr">
        <is>
          <t>زمستان</t>
        </is>
      </c>
      <c r="I400" s="128" t="inlineStr">
        <is>
          <t>سه‌شنبه</t>
        </is>
      </c>
      <c r="J400" s="128" t="inlineStr">
        <is>
          <t>بله</t>
        </is>
      </c>
    </row>
    <row r="401">
      <c r="A401" s="176" t="n">
        <v>45322</v>
      </c>
      <c r="B401" s="177" t="n">
        <v>45322</v>
      </c>
      <c r="C401" s="177" t="n">
        <v>1402</v>
      </c>
      <c r="D401" s="177" t="n">
        <v>11</v>
      </c>
      <c r="E401" s="178" t="inlineStr">
        <is>
          <t>1402/11/11</t>
        </is>
      </c>
      <c r="F401" s="134" t="inlineStr">
        <is>
          <t>1402/11</t>
        </is>
      </c>
      <c r="G401" s="61" t="inlineStr">
        <is>
          <t>بهمن</t>
        </is>
      </c>
      <c r="H401" s="134" t="inlineStr">
        <is>
          <t>زمستان</t>
        </is>
      </c>
      <c r="I401" s="134" t="inlineStr">
        <is>
          <t>چهارشنبه</t>
        </is>
      </c>
      <c r="J401" s="134" t="inlineStr">
        <is>
          <t>بله</t>
        </is>
      </c>
    </row>
    <row r="402">
      <c r="A402" s="173" t="n">
        <v>45323</v>
      </c>
      <c r="B402" s="174" t="n">
        <v>45323</v>
      </c>
      <c r="C402" s="174" t="n">
        <v>1402</v>
      </c>
      <c r="D402" s="174" t="n">
        <v>11</v>
      </c>
      <c r="E402" s="175" t="inlineStr">
        <is>
          <t>1402/11/12</t>
        </is>
      </c>
      <c r="F402" s="128" t="inlineStr">
        <is>
          <t>1402/11</t>
        </is>
      </c>
      <c r="G402" s="58" t="inlineStr">
        <is>
          <t>بهمن</t>
        </is>
      </c>
      <c r="H402" s="128" t="inlineStr">
        <is>
          <t>زمستان</t>
        </is>
      </c>
      <c r="I402" s="128" t="inlineStr">
        <is>
          <t>پنجشنبه</t>
        </is>
      </c>
      <c r="J402" s="128" t="inlineStr">
        <is>
          <t>بله</t>
        </is>
      </c>
    </row>
    <row r="403">
      <c r="A403" s="176" t="n">
        <v>45324</v>
      </c>
      <c r="B403" s="177" t="n">
        <v>45324</v>
      </c>
      <c r="C403" s="177" t="n">
        <v>1402</v>
      </c>
      <c r="D403" s="177" t="n">
        <v>11</v>
      </c>
      <c r="E403" s="178" t="inlineStr">
        <is>
          <t>1402/11/13</t>
        </is>
      </c>
      <c r="F403" s="134" t="inlineStr">
        <is>
          <t>1402/11</t>
        </is>
      </c>
      <c r="G403" s="61" t="inlineStr">
        <is>
          <t>بهمن</t>
        </is>
      </c>
      <c r="H403" s="134" t="inlineStr">
        <is>
          <t>زمستان</t>
        </is>
      </c>
      <c r="I403" s="134" t="inlineStr">
        <is>
          <t>جمعه</t>
        </is>
      </c>
      <c r="J403" s="134" t="inlineStr">
        <is>
          <t>بله</t>
        </is>
      </c>
    </row>
    <row r="404">
      <c r="A404" s="173" t="n">
        <v>45325</v>
      </c>
      <c r="B404" s="174" t="n">
        <v>45325</v>
      </c>
      <c r="C404" s="174" t="n">
        <v>1402</v>
      </c>
      <c r="D404" s="174" t="n">
        <v>11</v>
      </c>
      <c r="E404" s="175" t="inlineStr">
        <is>
          <t>1402/11/14</t>
        </is>
      </c>
      <c r="F404" s="128" t="inlineStr">
        <is>
          <t>1402/11</t>
        </is>
      </c>
      <c r="G404" s="58" t="inlineStr">
        <is>
          <t>بهمن</t>
        </is>
      </c>
      <c r="H404" s="128" t="inlineStr">
        <is>
          <t>زمستان</t>
        </is>
      </c>
      <c r="I404" s="128" t="inlineStr">
        <is>
          <t>شنبه</t>
        </is>
      </c>
      <c r="J404" s="128" t="inlineStr">
        <is>
          <t>خیر</t>
        </is>
      </c>
    </row>
    <row r="405">
      <c r="A405" s="176" t="n">
        <v>45326</v>
      </c>
      <c r="B405" s="177" t="n">
        <v>45326</v>
      </c>
      <c r="C405" s="177" t="n">
        <v>1402</v>
      </c>
      <c r="D405" s="177" t="n">
        <v>11</v>
      </c>
      <c r="E405" s="178" t="inlineStr">
        <is>
          <t>1402/11/15</t>
        </is>
      </c>
      <c r="F405" s="134" t="inlineStr">
        <is>
          <t>1402/11</t>
        </is>
      </c>
      <c r="G405" s="61" t="inlineStr">
        <is>
          <t>بهمن</t>
        </is>
      </c>
      <c r="H405" s="134" t="inlineStr">
        <is>
          <t>زمستان</t>
        </is>
      </c>
      <c r="I405" s="134" t="inlineStr">
        <is>
          <t>یکشنبه</t>
        </is>
      </c>
      <c r="J405" s="134" t="inlineStr">
        <is>
          <t>خیر</t>
        </is>
      </c>
    </row>
    <row r="406">
      <c r="A406" s="173" t="n">
        <v>45327</v>
      </c>
      <c r="B406" s="174" t="n">
        <v>45327</v>
      </c>
      <c r="C406" s="174" t="n">
        <v>1402</v>
      </c>
      <c r="D406" s="174" t="n">
        <v>11</v>
      </c>
      <c r="E406" s="175" t="inlineStr">
        <is>
          <t>1402/11/16</t>
        </is>
      </c>
      <c r="F406" s="128" t="inlineStr">
        <is>
          <t>1402/11</t>
        </is>
      </c>
      <c r="G406" s="58" t="inlineStr">
        <is>
          <t>بهمن</t>
        </is>
      </c>
      <c r="H406" s="128" t="inlineStr">
        <is>
          <t>زمستان</t>
        </is>
      </c>
      <c r="I406" s="128" t="inlineStr">
        <is>
          <t>دوشنبه</t>
        </is>
      </c>
      <c r="J406" s="128" t="inlineStr">
        <is>
          <t>بله</t>
        </is>
      </c>
    </row>
    <row r="407">
      <c r="A407" s="176" t="n">
        <v>45328</v>
      </c>
      <c r="B407" s="177" t="n">
        <v>45328</v>
      </c>
      <c r="C407" s="177" t="n">
        <v>1402</v>
      </c>
      <c r="D407" s="177" t="n">
        <v>11</v>
      </c>
      <c r="E407" s="178" t="inlineStr">
        <is>
          <t>1402/11/17</t>
        </is>
      </c>
      <c r="F407" s="134" t="inlineStr">
        <is>
          <t>1402/11</t>
        </is>
      </c>
      <c r="G407" s="61" t="inlineStr">
        <is>
          <t>بهمن</t>
        </is>
      </c>
      <c r="H407" s="134" t="inlineStr">
        <is>
          <t>زمستان</t>
        </is>
      </c>
      <c r="I407" s="134" t="inlineStr">
        <is>
          <t>سه‌شنبه</t>
        </is>
      </c>
      <c r="J407" s="134" t="inlineStr">
        <is>
          <t>بله</t>
        </is>
      </c>
    </row>
    <row r="408">
      <c r="A408" s="173" t="n">
        <v>45329</v>
      </c>
      <c r="B408" s="174" t="n">
        <v>45329</v>
      </c>
      <c r="C408" s="174" t="n">
        <v>1402</v>
      </c>
      <c r="D408" s="174" t="n">
        <v>11</v>
      </c>
      <c r="E408" s="175" t="inlineStr">
        <is>
          <t>1402/11/18</t>
        </is>
      </c>
      <c r="F408" s="128" t="inlineStr">
        <is>
          <t>1402/11</t>
        </is>
      </c>
      <c r="G408" s="58" t="inlineStr">
        <is>
          <t>بهمن</t>
        </is>
      </c>
      <c r="H408" s="128" t="inlineStr">
        <is>
          <t>زمستان</t>
        </is>
      </c>
      <c r="I408" s="128" t="inlineStr">
        <is>
          <t>چهارشنبه</t>
        </is>
      </c>
      <c r="J408" s="128" t="inlineStr">
        <is>
          <t>بله</t>
        </is>
      </c>
    </row>
    <row r="409">
      <c r="A409" s="176" t="n">
        <v>45330</v>
      </c>
      <c r="B409" s="177" t="n">
        <v>45330</v>
      </c>
      <c r="C409" s="177" t="n">
        <v>1402</v>
      </c>
      <c r="D409" s="177" t="n">
        <v>11</v>
      </c>
      <c r="E409" s="178" t="inlineStr">
        <is>
          <t>1402/11/19</t>
        </is>
      </c>
      <c r="F409" s="134" t="inlineStr">
        <is>
          <t>1402/11</t>
        </is>
      </c>
      <c r="G409" s="61" t="inlineStr">
        <is>
          <t>بهمن</t>
        </is>
      </c>
      <c r="H409" s="134" t="inlineStr">
        <is>
          <t>زمستان</t>
        </is>
      </c>
      <c r="I409" s="134" t="inlineStr">
        <is>
          <t>پنجشنبه</t>
        </is>
      </c>
      <c r="J409" s="134" t="inlineStr">
        <is>
          <t>بله</t>
        </is>
      </c>
    </row>
    <row r="410">
      <c r="A410" s="173" t="n">
        <v>45331</v>
      </c>
      <c r="B410" s="174" t="n">
        <v>45331</v>
      </c>
      <c r="C410" s="174" t="n">
        <v>1402</v>
      </c>
      <c r="D410" s="174" t="n">
        <v>11</v>
      </c>
      <c r="E410" s="175" t="inlineStr">
        <is>
          <t>1402/11/20</t>
        </is>
      </c>
      <c r="F410" s="128" t="inlineStr">
        <is>
          <t>1402/11</t>
        </is>
      </c>
      <c r="G410" s="58" t="inlineStr">
        <is>
          <t>بهمن</t>
        </is>
      </c>
      <c r="H410" s="128" t="inlineStr">
        <is>
          <t>زمستان</t>
        </is>
      </c>
      <c r="I410" s="128" t="inlineStr">
        <is>
          <t>جمعه</t>
        </is>
      </c>
      <c r="J410" s="128" t="inlineStr">
        <is>
          <t>بله</t>
        </is>
      </c>
    </row>
    <row r="411">
      <c r="A411" s="176" t="n">
        <v>45332</v>
      </c>
      <c r="B411" s="177" t="n">
        <v>45332</v>
      </c>
      <c r="C411" s="177" t="n">
        <v>1402</v>
      </c>
      <c r="D411" s="177" t="n">
        <v>11</v>
      </c>
      <c r="E411" s="178" t="inlineStr">
        <is>
          <t>1402/11/21</t>
        </is>
      </c>
      <c r="F411" s="134" t="inlineStr">
        <is>
          <t>1402/11</t>
        </is>
      </c>
      <c r="G411" s="61" t="inlineStr">
        <is>
          <t>بهمن</t>
        </is>
      </c>
      <c r="H411" s="134" t="inlineStr">
        <is>
          <t>زمستان</t>
        </is>
      </c>
      <c r="I411" s="134" t="inlineStr">
        <is>
          <t>شنبه</t>
        </is>
      </c>
      <c r="J411" s="134" t="inlineStr">
        <is>
          <t>خیر</t>
        </is>
      </c>
    </row>
    <row r="412">
      <c r="A412" s="173" t="n">
        <v>45333</v>
      </c>
      <c r="B412" s="174" t="n">
        <v>45333</v>
      </c>
      <c r="C412" s="174" t="n">
        <v>1402</v>
      </c>
      <c r="D412" s="174" t="n">
        <v>11</v>
      </c>
      <c r="E412" s="175" t="inlineStr">
        <is>
          <t>1402/11/22</t>
        </is>
      </c>
      <c r="F412" s="128" t="inlineStr">
        <is>
          <t>1402/11</t>
        </is>
      </c>
      <c r="G412" s="58" t="inlineStr">
        <is>
          <t>بهمن</t>
        </is>
      </c>
      <c r="H412" s="128" t="inlineStr">
        <is>
          <t>زمستان</t>
        </is>
      </c>
      <c r="I412" s="128" t="inlineStr">
        <is>
          <t>یکشنبه</t>
        </is>
      </c>
      <c r="J412" s="128" t="inlineStr">
        <is>
          <t>خیر</t>
        </is>
      </c>
    </row>
    <row r="413">
      <c r="A413" s="176" t="n">
        <v>45334</v>
      </c>
      <c r="B413" s="177" t="n">
        <v>45334</v>
      </c>
      <c r="C413" s="177" t="n">
        <v>1402</v>
      </c>
      <c r="D413" s="177" t="n">
        <v>11</v>
      </c>
      <c r="E413" s="178" t="inlineStr">
        <is>
          <t>1402/11/23</t>
        </is>
      </c>
      <c r="F413" s="134" t="inlineStr">
        <is>
          <t>1402/11</t>
        </is>
      </c>
      <c r="G413" s="61" t="inlineStr">
        <is>
          <t>بهمن</t>
        </is>
      </c>
      <c r="H413" s="134" t="inlineStr">
        <is>
          <t>زمستان</t>
        </is>
      </c>
      <c r="I413" s="134" t="inlineStr">
        <is>
          <t>دوشنبه</t>
        </is>
      </c>
      <c r="J413" s="134" t="inlineStr">
        <is>
          <t>بله</t>
        </is>
      </c>
    </row>
    <row r="414">
      <c r="A414" s="173" t="n">
        <v>45335</v>
      </c>
      <c r="B414" s="174" t="n">
        <v>45335</v>
      </c>
      <c r="C414" s="174" t="n">
        <v>1402</v>
      </c>
      <c r="D414" s="174" t="n">
        <v>11</v>
      </c>
      <c r="E414" s="175" t="inlineStr">
        <is>
          <t>1402/11/24</t>
        </is>
      </c>
      <c r="F414" s="128" t="inlineStr">
        <is>
          <t>1402/11</t>
        </is>
      </c>
      <c r="G414" s="58" t="inlineStr">
        <is>
          <t>بهمن</t>
        </is>
      </c>
      <c r="H414" s="128" t="inlineStr">
        <is>
          <t>زمستان</t>
        </is>
      </c>
      <c r="I414" s="128" t="inlineStr">
        <is>
          <t>سه‌شنبه</t>
        </is>
      </c>
      <c r="J414" s="128" t="inlineStr">
        <is>
          <t>بله</t>
        </is>
      </c>
    </row>
    <row r="415">
      <c r="A415" s="176" t="n">
        <v>45336</v>
      </c>
      <c r="B415" s="177" t="n">
        <v>45336</v>
      </c>
      <c r="C415" s="177" t="n">
        <v>1402</v>
      </c>
      <c r="D415" s="177" t="n">
        <v>11</v>
      </c>
      <c r="E415" s="178" t="inlineStr">
        <is>
          <t>1402/11/25</t>
        </is>
      </c>
      <c r="F415" s="134" t="inlineStr">
        <is>
          <t>1402/11</t>
        </is>
      </c>
      <c r="G415" s="61" t="inlineStr">
        <is>
          <t>بهمن</t>
        </is>
      </c>
      <c r="H415" s="134" t="inlineStr">
        <is>
          <t>زمستان</t>
        </is>
      </c>
      <c r="I415" s="134" t="inlineStr">
        <is>
          <t>چهارشنبه</t>
        </is>
      </c>
      <c r="J415" s="134" t="inlineStr">
        <is>
          <t>بله</t>
        </is>
      </c>
    </row>
    <row r="416">
      <c r="A416" s="173" t="n">
        <v>45337</v>
      </c>
      <c r="B416" s="174" t="n">
        <v>45337</v>
      </c>
      <c r="C416" s="174" t="n">
        <v>1402</v>
      </c>
      <c r="D416" s="174" t="n">
        <v>11</v>
      </c>
      <c r="E416" s="175" t="inlineStr">
        <is>
          <t>1402/11/26</t>
        </is>
      </c>
      <c r="F416" s="128" t="inlineStr">
        <is>
          <t>1402/11</t>
        </is>
      </c>
      <c r="G416" s="58" t="inlineStr">
        <is>
          <t>بهمن</t>
        </is>
      </c>
      <c r="H416" s="128" t="inlineStr">
        <is>
          <t>زمستان</t>
        </is>
      </c>
      <c r="I416" s="128" t="inlineStr">
        <is>
          <t>پنجشنبه</t>
        </is>
      </c>
      <c r="J416" s="128" t="inlineStr">
        <is>
          <t>بله</t>
        </is>
      </c>
    </row>
    <row r="417">
      <c r="A417" s="176" t="n">
        <v>45338</v>
      </c>
      <c r="B417" s="177" t="n">
        <v>45338</v>
      </c>
      <c r="C417" s="177" t="n">
        <v>1402</v>
      </c>
      <c r="D417" s="177" t="n">
        <v>11</v>
      </c>
      <c r="E417" s="178" t="inlineStr">
        <is>
          <t>1402/11/27</t>
        </is>
      </c>
      <c r="F417" s="134" t="inlineStr">
        <is>
          <t>1402/11</t>
        </is>
      </c>
      <c r="G417" s="61" t="inlineStr">
        <is>
          <t>بهمن</t>
        </is>
      </c>
      <c r="H417" s="134" t="inlineStr">
        <is>
          <t>زمستان</t>
        </is>
      </c>
      <c r="I417" s="134" t="inlineStr">
        <is>
          <t>جمعه</t>
        </is>
      </c>
      <c r="J417" s="134" t="inlineStr">
        <is>
          <t>بله</t>
        </is>
      </c>
    </row>
    <row r="418">
      <c r="A418" s="173" t="n">
        <v>45339</v>
      </c>
      <c r="B418" s="174" t="n">
        <v>45339</v>
      </c>
      <c r="C418" s="174" t="n">
        <v>1402</v>
      </c>
      <c r="D418" s="174" t="n">
        <v>11</v>
      </c>
      <c r="E418" s="175" t="inlineStr">
        <is>
          <t>1402/11/28</t>
        </is>
      </c>
      <c r="F418" s="128" t="inlineStr">
        <is>
          <t>1402/11</t>
        </is>
      </c>
      <c r="G418" s="58" t="inlineStr">
        <is>
          <t>بهمن</t>
        </is>
      </c>
      <c r="H418" s="128" t="inlineStr">
        <is>
          <t>زمستان</t>
        </is>
      </c>
      <c r="I418" s="128" t="inlineStr">
        <is>
          <t>شنبه</t>
        </is>
      </c>
      <c r="J418" s="128" t="inlineStr">
        <is>
          <t>خیر</t>
        </is>
      </c>
    </row>
    <row r="419">
      <c r="A419" s="176" t="n">
        <v>45340</v>
      </c>
      <c r="B419" s="177" t="n">
        <v>45340</v>
      </c>
      <c r="C419" s="177" t="n">
        <v>1402</v>
      </c>
      <c r="D419" s="177" t="n">
        <v>11</v>
      </c>
      <c r="E419" s="178" t="inlineStr">
        <is>
          <t>1402/11/29</t>
        </is>
      </c>
      <c r="F419" s="134" t="inlineStr">
        <is>
          <t>1402/11</t>
        </is>
      </c>
      <c r="G419" s="61" t="inlineStr">
        <is>
          <t>بهمن</t>
        </is>
      </c>
      <c r="H419" s="134" t="inlineStr">
        <is>
          <t>زمستان</t>
        </is>
      </c>
      <c r="I419" s="134" t="inlineStr">
        <is>
          <t>یکشنبه</t>
        </is>
      </c>
      <c r="J419" s="134" t="inlineStr">
        <is>
          <t>خیر</t>
        </is>
      </c>
    </row>
    <row r="420">
      <c r="A420" s="173" t="n">
        <v>45341</v>
      </c>
      <c r="B420" s="174" t="n">
        <v>45341</v>
      </c>
      <c r="C420" s="174" t="n">
        <v>1402</v>
      </c>
      <c r="D420" s="174" t="n">
        <v>11</v>
      </c>
      <c r="E420" s="175" t="inlineStr">
        <is>
          <t>1402/11/30</t>
        </is>
      </c>
      <c r="F420" s="128" t="inlineStr">
        <is>
          <t>1402/11</t>
        </is>
      </c>
      <c r="G420" s="58" t="inlineStr">
        <is>
          <t>بهمن</t>
        </is>
      </c>
      <c r="H420" s="128" t="inlineStr">
        <is>
          <t>زمستان</t>
        </is>
      </c>
      <c r="I420" s="128" t="inlineStr">
        <is>
          <t>دوشنبه</t>
        </is>
      </c>
      <c r="J420" s="128" t="inlineStr">
        <is>
          <t>بله</t>
        </is>
      </c>
    </row>
    <row r="421">
      <c r="A421" s="176" t="n">
        <v>45342</v>
      </c>
      <c r="B421" s="177" t="n">
        <v>45342</v>
      </c>
      <c r="C421" s="177" t="n">
        <v>1402</v>
      </c>
      <c r="D421" s="177" t="n">
        <v>12</v>
      </c>
      <c r="E421" s="178" t="inlineStr">
        <is>
          <t>1402/12/01</t>
        </is>
      </c>
      <c r="F421" s="134" t="inlineStr">
        <is>
          <t>1402/12</t>
        </is>
      </c>
      <c r="G421" s="61" t="inlineStr">
        <is>
          <t>اسفند</t>
        </is>
      </c>
      <c r="H421" s="134" t="inlineStr">
        <is>
          <t>زمستان</t>
        </is>
      </c>
      <c r="I421" s="134" t="inlineStr">
        <is>
          <t>سه‌شنبه</t>
        </is>
      </c>
      <c r="J421" s="134" t="inlineStr">
        <is>
          <t>بله</t>
        </is>
      </c>
    </row>
    <row r="422">
      <c r="A422" s="173" t="n">
        <v>45343</v>
      </c>
      <c r="B422" s="174" t="n">
        <v>45343</v>
      </c>
      <c r="C422" s="174" t="n">
        <v>1402</v>
      </c>
      <c r="D422" s="174" t="n">
        <v>12</v>
      </c>
      <c r="E422" s="175" t="inlineStr">
        <is>
          <t>1402/12/02</t>
        </is>
      </c>
      <c r="F422" s="128" t="inlineStr">
        <is>
          <t>1402/12</t>
        </is>
      </c>
      <c r="G422" s="58" t="inlineStr">
        <is>
          <t>اسفند</t>
        </is>
      </c>
      <c r="H422" s="128" t="inlineStr">
        <is>
          <t>زمستان</t>
        </is>
      </c>
      <c r="I422" s="128" t="inlineStr">
        <is>
          <t>چهارشنبه</t>
        </is>
      </c>
      <c r="J422" s="128" t="inlineStr">
        <is>
          <t>بله</t>
        </is>
      </c>
    </row>
    <row r="423">
      <c r="A423" s="176" t="n">
        <v>45344</v>
      </c>
      <c r="B423" s="177" t="n">
        <v>45344</v>
      </c>
      <c r="C423" s="177" t="n">
        <v>1402</v>
      </c>
      <c r="D423" s="177" t="n">
        <v>12</v>
      </c>
      <c r="E423" s="178" t="inlineStr">
        <is>
          <t>1402/12/03</t>
        </is>
      </c>
      <c r="F423" s="134" t="inlineStr">
        <is>
          <t>1402/12</t>
        </is>
      </c>
      <c r="G423" s="61" t="inlineStr">
        <is>
          <t>اسفند</t>
        </is>
      </c>
      <c r="H423" s="134" t="inlineStr">
        <is>
          <t>زمستان</t>
        </is>
      </c>
      <c r="I423" s="134" t="inlineStr">
        <is>
          <t>پنجشنبه</t>
        </is>
      </c>
      <c r="J423" s="134" t="inlineStr">
        <is>
          <t>بله</t>
        </is>
      </c>
    </row>
    <row r="424">
      <c r="A424" s="173" t="n">
        <v>45345</v>
      </c>
      <c r="B424" s="174" t="n">
        <v>45345</v>
      </c>
      <c r="C424" s="174" t="n">
        <v>1402</v>
      </c>
      <c r="D424" s="174" t="n">
        <v>12</v>
      </c>
      <c r="E424" s="175" t="inlineStr">
        <is>
          <t>1402/12/04</t>
        </is>
      </c>
      <c r="F424" s="128" t="inlineStr">
        <is>
          <t>1402/12</t>
        </is>
      </c>
      <c r="G424" s="58" t="inlineStr">
        <is>
          <t>اسفند</t>
        </is>
      </c>
      <c r="H424" s="128" t="inlineStr">
        <is>
          <t>زمستان</t>
        </is>
      </c>
      <c r="I424" s="128" t="inlineStr">
        <is>
          <t>جمعه</t>
        </is>
      </c>
      <c r="J424" s="128" t="inlineStr">
        <is>
          <t>بله</t>
        </is>
      </c>
    </row>
    <row r="425">
      <c r="A425" s="176" t="n">
        <v>45346</v>
      </c>
      <c r="B425" s="177" t="n">
        <v>45346</v>
      </c>
      <c r="C425" s="177" t="n">
        <v>1402</v>
      </c>
      <c r="D425" s="177" t="n">
        <v>12</v>
      </c>
      <c r="E425" s="178" t="inlineStr">
        <is>
          <t>1402/12/05</t>
        </is>
      </c>
      <c r="F425" s="134" t="inlineStr">
        <is>
          <t>1402/12</t>
        </is>
      </c>
      <c r="G425" s="61" t="inlineStr">
        <is>
          <t>اسفند</t>
        </is>
      </c>
      <c r="H425" s="134" t="inlineStr">
        <is>
          <t>زمستان</t>
        </is>
      </c>
      <c r="I425" s="134" t="inlineStr">
        <is>
          <t>شنبه</t>
        </is>
      </c>
      <c r="J425" s="134" t="inlineStr">
        <is>
          <t>خیر</t>
        </is>
      </c>
    </row>
    <row r="426">
      <c r="A426" s="173" t="n">
        <v>45347</v>
      </c>
      <c r="B426" s="174" t="n">
        <v>45347</v>
      </c>
      <c r="C426" s="174" t="n">
        <v>1402</v>
      </c>
      <c r="D426" s="174" t="n">
        <v>12</v>
      </c>
      <c r="E426" s="175" t="inlineStr">
        <is>
          <t>1402/12/06</t>
        </is>
      </c>
      <c r="F426" s="128" t="inlineStr">
        <is>
          <t>1402/12</t>
        </is>
      </c>
      <c r="G426" s="58" t="inlineStr">
        <is>
          <t>اسفند</t>
        </is>
      </c>
      <c r="H426" s="128" t="inlineStr">
        <is>
          <t>زمستان</t>
        </is>
      </c>
      <c r="I426" s="128" t="inlineStr">
        <is>
          <t>یکشنبه</t>
        </is>
      </c>
      <c r="J426" s="128" t="inlineStr">
        <is>
          <t>خیر</t>
        </is>
      </c>
    </row>
    <row r="427">
      <c r="A427" s="176" t="n">
        <v>45348</v>
      </c>
      <c r="B427" s="177" t="n">
        <v>45348</v>
      </c>
      <c r="C427" s="177" t="n">
        <v>1402</v>
      </c>
      <c r="D427" s="177" t="n">
        <v>12</v>
      </c>
      <c r="E427" s="178" t="inlineStr">
        <is>
          <t>1402/12/07</t>
        </is>
      </c>
      <c r="F427" s="134" t="inlineStr">
        <is>
          <t>1402/12</t>
        </is>
      </c>
      <c r="G427" s="61" t="inlineStr">
        <is>
          <t>اسفند</t>
        </is>
      </c>
      <c r="H427" s="134" t="inlineStr">
        <is>
          <t>زمستان</t>
        </is>
      </c>
      <c r="I427" s="134" t="inlineStr">
        <is>
          <t>دوشنبه</t>
        </is>
      </c>
      <c r="J427" s="134" t="inlineStr">
        <is>
          <t>بله</t>
        </is>
      </c>
    </row>
    <row r="428">
      <c r="A428" s="173" t="n">
        <v>45349</v>
      </c>
      <c r="B428" s="174" t="n">
        <v>45349</v>
      </c>
      <c r="C428" s="174" t="n">
        <v>1402</v>
      </c>
      <c r="D428" s="174" t="n">
        <v>12</v>
      </c>
      <c r="E428" s="175" t="inlineStr">
        <is>
          <t>1402/12/08</t>
        </is>
      </c>
      <c r="F428" s="128" t="inlineStr">
        <is>
          <t>1402/12</t>
        </is>
      </c>
      <c r="G428" s="58" t="inlineStr">
        <is>
          <t>اسفند</t>
        </is>
      </c>
      <c r="H428" s="128" t="inlineStr">
        <is>
          <t>زمستان</t>
        </is>
      </c>
      <c r="I428" s="128" t="inlineStr">
        <is>
          <t>سه‌شنبه</t>
        </is>
      </c>
      <c r="J428" s="128" t="inlineStr">
        <is>
          <t>بله</t>
        </is>
      </c>
    </row>
    <row r="429">
      <c r="A429" s="176" t="n">
        <v>45350</v>
      </c>
      <c r="B429" s="177" t="n">
        <v>45350</v>
      </c>
      <c r="C429" s="177" t="n">
        <v>1402</v>
      </c>
      <c r="D429" s="177" t="n">
        <v>12</v>
      </c>
      <c r="E429" s="178" t="inlineStr">
        <is>
          <t>1402/12/09</t>
        </is>
      </c>
      <c r="F429" s="134" t="inlineStr">
        <is>
          <t>1402/12</t>
        </is>
      </c>
      <c r="G429" s="61" t="inlineStr">
        <is>
          <t>اسفند</t>
        </is>
      </c>
      <c r="H429" s="134" t="inlineStr">
        <is>
          <t>زمستان</t>
        </is>
      </c>
      <c r="I429" s="134" t="inlineStr">
        <is>
          <t>چهارشنبه</t>
        </is>
      </c>
      <c r="J429" s="134" t="inlineStr">
        <is>
          <t>بله</t>
        </is>
      </c>
    </row>
    <row r="430">
      <c r="A430" s="173" t="n">
        <v>45351</v>
      </c>
      <c r="B430" s="174" t="n">
        <v>45351</v>
      </c>
      <c r="C430" s="174" t="n">
        <v>1402</v>
      </c>
      <c r="D430" s="174" t="n">
        <v>12</v>
      </c>
      <c r="E430" s="175" t="inlineStr">
        <is>
          <t>1402/12/10</t>
        </is>
      </c>
      <c r="F430" s="128" t="inlineStr">
        <is>
          <t>1402/12</t>
        </is>
      </c>
      <c r="G430" s="58" t="inlineStr">
        <is>
          <t>اسفند</t>
        </is>
      </c>
      <c r="H430" s="128" t="inlineStr">
        <is>
          <t>زمستان</t>
        </is>
      </c>
      <c r="I430" s="128" t="inlineStr">
        <is>
          <t>پنجشنبه</t>
        </is>
      </c>
      <c r="J430" s="128" t="inlineStr">
        <is>
          <t>بله</t>
        </is>
      </c>
    </row>
    <row r="431">
      <c r="A431" s="176" t="n">
        <v>45352</v>
      </c>
      <c r="B431" s="177" t="n">
        <v>45352</v>
      </c>
      <c r="C431" s="177" t="n">
        <v>1402</v>
      </c>
      <c r="D431" s="177" t="n">
        <v>12</v>
      </c>
      <c r="E431" s="178" t="inlineStr">
        <is>
          <t>1402/12/11</t>
        </is>
      </c>
      <c r="F431" s="134" t="inlineStr">
        <is>
          <t>1402/12</t>
        </is>
      </c>
      <c r="G431" s="61" t="inlineStr">
        <is>
          <t>اسفند</t>
        </is>
      </c>
      <c r="H431" s="134" t="inlineStr">
        <is>
          <t>زمستان</t>
        </is>
      </c>
      <c r="I431" s="134" t="inlineStr">
        <is>
          <t>جمعه</t>
        </is>
      </c>
      <c r="J431" s="134" t="inlineStr">
        <is>
          <t>بله</t>
        </is>
      </c>
    </row>
    <row r="432">
      <c r="A432" s="173" t="n">
        <v>45353</v>
      </c>
      <c r="B432" s="174" t="n">
        <v>45353</v>
      </c>
      <c r="C432" s="174" t="n">
        <v>1402</v>
      </c>
      <c r="D432" s="174" t="n">
        <v>12</v>
      </c>
      <c r="E432" s="175" t="inlineStr">
        <is>
          <t>1402/12/12</t>
        </is>
      </c>
      <c r="F432" s="128" t="inlineStr">
        <is>
          <t>1402/12</t>
        </is>
      </c>
      <c r="G432" s="58" t="inlineStr">
        <is>
          <t>اسفند</t>
        </is>
      </c>
      <c r="H432" s="128" t="inlineStr">
        <is>
          <t>زمستان</t>
        </is>
      </c>
      <c r="I432" s="128" t="inlineStr">
        <is>
          <t>شنبه</t>
        </is>
      </c>
      <c r="J432" s="128" t="inlineStr">
        <is>
          <t>خیر</t>
        </is>
      </c>
    </row>
    <row r="433">
      <c r="A433" s="176" t="n">
        <v>45354</v>
      </c>
      <c r="B433" s="177" t="n">
        <v>45354</v>
      </c>
      <c r="C433" s="177" t="n">
        <v>1402</v>
      </c>
      <c r="D433" s="177" t="n">
        <v>12</v>
      </c>
      <c r="E433" s="178" t="inlineStr">
        <is>
          <t>1402/12/13</t>
        </is>
      </c>
      <c r="F433" s="134" t="inlineStr">
        <is>
          <t>1402/12</t>
        </is>
      </c>
      <c r="G433" s="61" t="inlineStr">
        <is>
          <t>اسفند</t>
        </is>
      </c>
      <c r="H433" s="134" t="inlineStr">
        <is>
          <t>زمستان</t>
        </is>
      </c>
      <c r="I433" s="134" t="inlineStr">
        <is>
          <t>یکشنبه</t>
        </is>
      </c>
      <c r="J433" s="134" t="inlineStr">
        <is>
          <t>خیر</t>
        </is>
      </c>
    </row>
    <row r="434">
      <c r="A434" s="173" t="n">
        <v>45355</v>
      </c>
      <c r="B434" s="174" t="n">
        <v>45355</v>
      </c>
      <c r="C434" s="174" t="n">
        <v>1402</v>
      </c>
      <c r="D434" s="174" t="n">
        <v>12</v>
      </c>
      <c r="E434" s="175" t="inlineStr">
        <is>
          <t>1402/12/14</t>
        </is>
      </c>
      <c r="F434" s="128" t="inlineStr">
        <is>
          <t>1402/12</t>
        </is>
      </c>
      <c r="G434" s="58" t="inlineStr">
        <is>
          <t>اسفند</t>
        </is>
      </c>
      <c r="H434" s="128" t="inlineStr">
        <is>
          <t>زمستان</t>
        </is>
      </c>
      <c r="I434" s="128" t="inlineStr">
        <is>
          <t>دوشنبه</t>
        </is>
      </c>
      <c r="J434" s="128" t="inlineStr">
        <is>
          <t>بله</t>
        </is>
      </c>
    </row>
    <row r="435">
      <c r="A435" s="176" t="n">
        <v>45356</v>
      </c>
      <c r="B435" s="177" t="n">
        <v>45356</v>
      </c>
      <c r="C435" s="177" t="n">
        <v>1402</v>
      </c>
      <c r="D435" s="177" t="n">
        <v>12</v>
      </c>
      <c r="E435" s="178" t="inlineStr">
        <is>
          <t>1402/12/15</t>
        </is>
      </c>
      <c r="F435" s="134" t="inlineStr">
        <is>
          <t>1402/12</t>
        </is>
      </c>
      <c r="G435" s="61" t="inlineStr">
        <is>
          <t>اسفند</t>
        </is>
      </c>
      <c r="H435" s="134" t="inlineStr">
        <is>
          <t>زمستان</t>
        </is>
      </c>
      <c r="I435" s="134" t="inlineStr">
        <is>
          <t>سه‌شنبه</t>
        </is>
      </c>
      <c r="J435" s="134" t="inlineStr">
        <is>
          <t>بله</t>
        </is>
      </c>
    </row>
    <row r="436">
      <c r="A436" s="173" t="n">
        <v>45357</v>
      </c>
      <c r="B436" s="174" t="n">
        <v>45357</v>
      </c>
      <c r="C436" s="174" t="n">
        <v>1402</v>
      </c>
      <c r="D436" s="174" t="n">
        <v>12</v>
      </c>
      <c r="E436" s="175" t="inlineStr">
        <is>
          <t>1402/12/16</t>
        </is>
      </c>
      <c r="F436" s="128" t="inlineStr">
        <is>
          <t>1402/12</t>
        </is>
      </c>
      <c r="G436" s="58" t="inlineStr">
        <is>
          <t>اسفند</t>
        </is>
      </c>
      <c r="H436" s="128" t="inlineStr">
        <is>
          <t>زمستان</t>
        </is>
      </c>
      <c r="I436" s="128" t="inlineStr">
        <is>
          <t>چهارشنبه</t>
        </is>
      </c>
      <c r="J436" s="128" t="inlineStr">
        <is>
          <t>بله</t>
        </is>
      </c>
    </row>
    <row r="437">
      <c r="A437" s="176" t="n">
        <v>45358</v>
      </c>
      <c r="B437" s="177" t="n">
        <v>45358</v>
      </c>
      <c r="C437" s="177" t="n">
        <v>1402</v>
      </c>
      <c r="D437" s="177" t="n">
        <v>12</v>
      </c>
      <c r="E437" s="178" t="inlineStr">
        <is>
          <t>1402/12/17</t>
        </is>
      </c>
      <c r="F437" s="134" t="inlineStr">
        <is>
          <t>1402/12</t>
        </is>
      </c>
      <c r="G437" s="61" t="inlineStr">
        <is>
          <t>اسفند</t>
        </is>
      </c>
      <c r="H437" s="134" t="inlineStr">
        <is>
          <t>زمستان</t>
        </is>
      </c>
      <c r="I437" s="134" t="inlineStr">
        <is>
          <t>پنجشنبه</t>
        </is>
      </c>
      <c r="J437" s="134" t="inlineStr">
        <is>
          <t>بله</t>
        </is>
      </c>
    </row>
    <row r="438">
      <c r="A438" s="173" t="n">
        <v>45359</v>
      </c>
      <c r="B438" s="174" t="n">
        <v>45359</v>
      </c>
      <c r="C438" s="174" t="n">
        <v>1402</v>
      </c>
      <c r="D438" s="174" t="n">
        <v>12</v>
      </c>
      <c r="E438" s="175" t="inlineStr">
        <is>
          <t>1402/12/18</t>
        </is>
      </c>
      <c r="F438" s="128" t="inlineStr">
        <is>
          <t>1402/12</t>
        </is>
      </c>
      <c r="G438" s="58" t="inlineStr">
        <is>
          <t>اسفند</t>
        </is>
      </c>
      <c r="H438" s="128" t="inlineStr">
        <is>
          <t>زمستان</t>
        </is>
      </c>
      <c r="I438" s="128" t="inlineStr">
        <is>
          <t>جمعه</t>
        </is>
      </c>
      <c r="J438" s="128" t="inlineStr">
        <is>
          <t>بله</t>
        </is>
      </c>
    </row>
    <row r="439">
      <c r="A439" s="176" t="n">
        <v>45360</v>
      </c>
      <c r="B439" s="177" t="n">
        <v>45360</v>
      </c>
      <c r="C439" s="177" t="n">
        <v>1402</v>
      </c>
      <c r="D439" s="177" t="n">
        <v>12</v>
      </c>
      <c r="E439" s="178" t="inlineStr">
        <is>
          <t>1402/12/19</t>
        </is>
      </c>
      <c r="F439" s="134" t="inlineStr">
        <is>
          <t>1402/12</t>
        </is>
      </c>
      <c r="G439" s="61" t="inlineStr">
        <is>
          <t>اسفند</t>
        </is>
      </c>
      <c r="H439" s="134" t="inlineStr">
        <is>
          <t>زمستان</t>
        </is>
      </c>
      <c r="I439" s="134" t="inlineStr">
        <is>
          <t>شنبه</t>
        </is>
      </c>
      <c r="J439" s="134" t="inlineStr">
        <is>
          <t>خیر</t>
        </is>
      </c>
    </row>
    <row r="440">
      <c r="A440" s="173" t="n">
        <v>45361</v>
      </c>
      <c r="B440" s="174" t="n">
        <v>45361</v>
      </c>
      <c r="C440" s="174" t="n">
        <v>1402</v>
      </c>
      <c r="D440" s="174" t="n">
        <v>12</v>
      </c>
      <c r="E440" s="175" t="inlineStr">
        <is>
          <t>1402/12/20</t>
        </is>
      </c>
      <c r="F440" s="128" t="inlineStr">
        <is>
          <t>1402/12</t>
        </is>
      </c>
      <c r="G440" s="58" t="inlineStr">
        <is>
          <t>اسفند</t>
        </is>
      </c>
      <c r="H440" s="128" t="inlineStr">
        <is>
          <t>زمستان</t>
        </is>
      </c>
      <c r="I440" s="128" t="inlineStr">
        <is>
          <t>یکشنبه</t>
        </is>
      </c>
      <c r="J440" s="128" t="inlineStr">
        <is>
          <t>خیر</t>
        </is>
      </c>
    </row>
    <row r="441">
      <c r="A441" s="176" t="n">
        <v>45362</v>
      </c>
      <c r="B441" s="177" t="n">
        <v>45362</v>
      </c>
      <c r="C441" s="177" t="n">
        <v>1402</v>
      </c>
      <c r="D441" s="177" t="n">
        <v>12</v>
      </c>
      <c r="E441" s="178" t="inlineStr">
        <is>
          <t>1402/12/21</t>
        </is>
      </c>
      <c r="F441" s="134" t="inlineStr">
        <is>
          <t>1402/12</t>
        </is>
      </c>
      <c r="G441" s="61" t="inlineStr">
        <is>
          <t>اسفند</t>
        </is>
      </c>
      <c r="H441" s="134" t="inlineStr">
        <is>
          <t>زمستان</t>
        </is>
      </c>
      <c r="I441" s="134" t="inlineStr">
        <is>
          <t>دوشنبه</t>
        </is>
      </c>
      <c r="J441" s="134" t="inlineStr">
        <is>
          <t>بله</t>
        </is>
      </c>
    </row>
    <row r="442">
      <c r="A442" s="173" t="n">
        <v>45363</v>
      </c>
      <c r="B442" s="174" t="n">
        <v>45363</v>
      </c>
      <c r="C442" s="174" t="n">
        <v>1402</v>
      </c>
      <c r="D442" s="174" t="n">
        <v>12</v>
      </c>
      <c r="E442" s="175" t="inlineStr">
        <is>
          <t>1402/12/22</t>
        </is>
      </c>
      <c r="F442" s="128" t="inlineStr">
        <is>
          <t>1402/12</t>
        </is>
      </c>
      <c r="G442" s="58" t="inlineStr">
        <is>
          <t>اسفند</t>
        </is>
      </c>
      <c r="H442" s="128" t="inlineStr">
        <is>
          <t>زمستان</t>
        </is>
      </c>
      <c r="I442" s="128" t="inlineStr">
        <is>
          <t>سه‌شنبه</t>
        </is>
      </c>
      <c r="J442" s="128" t="inlineStr">
        <is>
          <t>بله</t>
        </is>
      </c>
    </row>
    <row r="443">
      <c r="A443" s="176" t="n">
        <v>45364</v>
      </c>
      <c r="B443" s="177" t="n">
        <v>45364</v>
      </c>
      <c r="C443" s="177" t="n">
        <v>1402</v>
      </c>
      <c r="D443" s="177" t="n">
        <v>12</v>
      </c>
      <c r="E443" s="178" t="inlineStr">
        <is>
          <t>1402/12/23</t>
        </is>
      </c>
      <c r="F443" s="134" t="inlineStr">
        <is>
          <t>1402/12</t>
        </is>
      </c>
      <c r="G443" s="61" t="inlineStr">
        <is>
          <t>اسفند</t>
        </is>
      </c>
      <c r="H443" s="134" t="inlineStr">
        <is>
          <t>زمستان</t>
        </is>
      </c>
      <c r="I443" s="134" t="inlineStr">
        <is>
          <t>چهارشنبه</t>
        </is>
      </c>
      <c r="J443" s="134" t="inlineStr">
        <is>
          <t>بله</t>
        </is>
      </c>
    </row>
    <row r="444">
      <c r="A444" s="173" t="n">
        <v>45365</v>
      </c>
      <c r="B444" s="174" t="n">
        <v>45365</v>
      </c>
      <c r="C444" s="174" t="n">
        <v>1402</v>
      </c>
      <c r="D444" s="174" t="n">
        <v>12</v>
      </c>
      <c r="E444" s="175" t="inlineStr">
        <is>
          <t>1402/12/24</t>
        </is>
      </c>
      <c r="F444" s="128" t="inlineStr">
        <is>
          <t>1402/12</t>
        </is>
      </c>
      <c r="G444" s="58" t="inlineStr">
        <is>
          <t>اسفند</t>
        </is>
      </c>
      <c r="H444" s="128" t="inlineStr">
        <is>
          <t>زمستان</t>
        </is>
      </c>
      <c r="I444" s="128" t="inlineStr">
        <is>
          <t>پنجشنبه</t>
        </is>
      </c>
      <c r="J444" s="128" t="inlineStr">
        <is>
          <t>بله</t>
        </is>
      </c>
    </row>
    <row r="445">
      <c r="A445" s="176" t="n">
        <v>45366</v>
      </c>
      <c r="B445" s="177" t="n">
        <v>45366</v>
      </c>
      <c r="C445" s="177" t="n">
        <v>1402</v>
      </c>
      <c r="D445" s="177" t="n">
        <v>12</v>
      </c>
      <c r="E445" s="178" t="inlineStr">
        <is>
          <t>1402/12/25</t>
        </is>
      </c>
      <c r="F445" s="134" t="inlineStr">
        <is>
          <t>1402/12</t>
        </is>
      </c>
      <c r="G445" s="61" t="inlineStr">
        <is>
          <t>اسفند</t>
        </is>
      </c>
      <c r="H445" s="134" t="inlineStr">
        <is>
          <t>زمستان</t>
        </is>
      </c>
      <c r="I445" s="134" t="inlineStr">
        <is>
          <t>جمعه</t>
        </is>
      </c>
      <c r="J445" s="134" t="inlineStr">
        <is>
          <t>بله</t>
        </is>
      </c>
    </row>
    <row r="446">
      <c r="A446" s="173" t="n">
        <v>45367</v>
      </c>
      <c r="B446" s="174" t="n">
        <v>45367</v>
      </c>
      <c r="C446" s="174" t="n">
        <v>1402</v>
      </c>
      <c r="D446" s="174" t="n">
        <v>12</v>
      </c>
      <c r="E446" s="175" t="inlineStr">
        <is>
          <t>1402/12/26</t>
        </is>
      </c>
      <c r="F446" s="128" t="inlineStr">
        <is>
          <t>1402/12</t>
        </is>
      </c>
      <c r="G446" s="58" t="inlineStr">
        <is>
          <t>اسفند</t>
        </is>
      </c>
      <c r="H446" s="128" t="inlineStr">
        <is>
          <t>زمستان</t>
        </is>
      </c>
      <c r="I446" s="128" t="inlineStr">
        <is>
          <t>شنبه</t>
        </is>
      </c>
      <c r="J446" s="128" t="inlineStr">
        <is>
          <t>خیر</t>
        </is>
      </c>
    </row>
    <row r="447">
      <c r="A447" s="176" t="n">
        <v>45368</v>
      </c>
      <c r="B447" s="177" t="n">
        <v>45368</v>
      </c>
      <c r="C447" s="177" t="n">
        <v>1402</v>
      </c>
      <c r="D447" s="177" t="n">
        <v>12</v>
      </c>
      <c r="E447" s="178" t="inlineStr">
        <is>
          <t>1402/12/27</t>
        </is>
      </c>
      <c r="F447" s="134" t="inlineStr">
        <is>
          <t>1402/12</t>
        </is>
      </c>
      <c r="G447" s="61" t="inlineStr">
        <is>
          <t>اسفند</t>
        </is>
      </c>
      <c r="H447" s="134" t="inlineStr">
        <is>
          <t>زمستان</t>
        </is>
      </c>
      <c r="I447" s="134" t="inlineStr">
        <is>
          <t>یکشنبه</t>
        </is>
      </c>
      <c r="J447" s="134" t="inlineStr">
        <is>
          <t>خیر</t>
        </is>
      </c>
    </row>
    <row r="448">
      <c r="A448" s="173" t="n">
        <v>45369</v>
      </c>
      <c r="B448" s="174" t="n">
        <v>45369</v>
      </c>
      <c r="C448" s="174" t="n">
        <v>1402</v>
      </c>
      <c r="D448" s="174" t="n">
        <v>12</v>
      </c>
      <c r="E448" s="175" t="inlineStr">
        <is>
          <t>1402/12/28</t>
        </is>
      </c>
      <c r="F448" s="128" t="inlineStr">
        <is>
          <t>1402/12</t>
        </is>
      </c>
      <c r="G448" s="58" t="inlineStr">
        <is>
          <t>اسفند</t>
        </is>
      </c>
      <c r="H448" s="128" t="inlineStr">
        <is>
          <t>زمستان</t>
        </is>
      </c>
      <c r="I448" s="128" t="inlineStr">
        <is>
          <t>دوشنبه</t>
        </is>
      </c>
      <c r="J448" s="128" t="inlineStr">
        <is>
          <t>بله</t>
        </is>
      </c>
    </row>
    <row r="449">
      <c r="A449" s="176" t="n">
        <v>45370</v>
      </c>
      <c r="B449" s="177" t="n">
        <v>45370</v>
      </c>
      <c r="C449" s="177" t="n">
        <v>1402</v>
      </c>
      <c r="D449" s="177" t="n">
        <v>12</v>
      </c>
      <c r="E449" s="178" t="inlineStr">
        <is>
          <t>1402/12/29</t>
        </is>
      </c>
      <c r="F449" s="134" t="inlineStr">
        <is>
          <t>1402/12</t>
        </is>
      </c>
      <c r="G449" s="61" t="inlineStr">
        <is>
          <t>اسفند</t>
        </is>
      </c>
      <c r="H449" s="134" t="inlineStr">
        <is>
          <t>زمستان</t>
        </is>
      </c>
      <c r="I449" s="134" t="inlineStr">
        <is>
          <t>سه‌شنبه</t>
        </is>
      </c>
      <c r="J449" s="134" t="inlineStr">
        <is>
          <t>بله</t>
        </is>
      </c>
    </row>
    <row r="450">
      <c r="A450" s="173" t="n">
        <v>45371</v>
      </c>
      <c r="B450" s="174" t="n">
        <v>45371</v>
      </c>
      <c r="C450" s="174" t="n">
        <v>1403</v>
      </c>
      <c r="D450" s="174" t="n">
        <v>1</v>
      </c>
      <c r="E450" s="175" t="inlineStr">
        <is>
          <t>1403/01/01</t>
        </is>
      </c>
      <c r="F450" s="128" t="inlineStr">
        <is>
          <t>1403/01</t>
        </is>
      </c>
      <c r="G450" s="58" t="inlineStr">
        <is>
          <t>فروردین</t>
        </is>
      </c>
      <c r="H450" s="128" t="inlineStr">
        <is>
          <t>بهار</t>
        </is>
      </c>
      <c r="I450" s="128" t="inlineStr">
        <is>
          <t>چهارشنبه</t>
        </is>
      </c>
      <c r="J450" s="128" t="inlineStr">
        <is>
          <t>بله</t>
        </is>
      </c>
    </row>
    <row r="451">
      <c r="A451" s="176" t="n">
        <v>45372</v>
      </c>
      <c r="B451" s="177" t="n">
        <v>45372</v>
      </c>
      <c r="C451" s="177" t="n">
        <v>1403</v>
      </c>
      <c r="D451" s="177" t="n">
        <v>1</v>
      </c>
      <c r="E451" s="178" t="inlineStr">
        <is>
          <t>1403/01/02</t>
        </is>
      </c>
      <c r="F451" s="134" t="inlineStr">
        <is>
          <t>1403/01</t>
        </is>
      </c>
      <c r="G451" s="61" t="inlineStr">
        <is>
          <t>فروردین</t>
        </is>
      </c>
      <c r="H451" s="134" t="inlineStr">
        <is>
          <t>بهار</t>
        </is>
      </c>
      <c r="I451" s="134" t="inlineStr">
        <is>
          <t>پنجشنبه</t>
        </is>
      </c>
      <c r="J451" s="134" t="inlineStr">
        <is>
          <t>بله</t>
        </is>
      </c>
    </row>
    <row r="452">
      <c r="A452" s="173" t="n">
        <v>45373</v>
      </c>
      <c r="B452" s="174" t="n">
        <v>45373</v>
      </c>
      <c r="C452" s="174" t="n">
        <v>1403</v>
      </c>
      <c r="D452" s="174" t="n">
        <v>1</v>
      </c>
      <c r="E452" s="175" t="inlineStr">
        <is>
          <t>1403/01/03</t>
        </is>
      </c>
      <c r="F452" s="128" t="inlineStr">
        <is>
          <t>1403/01</t>
        </is>
      </c>
      <c r="G452" s="58" t="inlineStr">
        <is>
          <t>فروردین</t>
        </is>
      </c>
      <c r="H452" s="128" t="inlineStr">
        <is>
          <t>بهار</t>
        </is>
      </c>
      <c r="I452" s="128" t="inlineStr">
        <is>
          <t>جمعه</t>
        </is>
      </c>
      <c r="J452" s="128" t="inlineStr">
        <is>
          <t>بله</t>
        </is>
      </c>
    </row>
    <row r="453">
      <c r="A453" s="176" t="n">
        <v>45374</v>
      </c>
      <c r="B453" s="177" t="n">
        <v>45374</v>
      </c>
      <c r="C453" s="177" t="n">
        <v>1403</v>
      </c>
      <c r="D453" s="177" t="n">
        <v>1</v>
      </c>
      <c r="E453" s="178" t="inlineStr">
        <is>
          <t>1403/01/04</t>
        </is>
      </c>
      <c r="F453" s="134" t="inlineStr">
        <is>
          <t>1403/01</t>
        </is>
      </c>
      <c r="G453" s="61" t="inlineStr">
        <is>
          <t>فروردین</t>
        </is>
      </c>
      <c r="H453" s="134" t="inlineStr">
        <is>
          <t>بهار</t>
        </is>
      </c>
      <c r="I453" s="134" t="inlineStr">
        <is>
          <t>شنبه</t>
        </is>
      </c>
      <c r="J453" s="134" t="inlineStr">
        <is>
          <t>خیر</t>
        </is>
      </c>
    </row>
    <row r="454">
      <c r="A454" s="173" t="n">
        <v>45375</v>
      </c>
      <c r="B454" s="174" t="n">
        <v>45375</v>
      </c>
      <c r="C454" s="174" t="n">
        <v>1403</v>
      </c>
      <c r="D454" s="174" t="n">
        <v>1</v>
      </c>
      <c r="E454" s="175" t="inlineStr">
        <is>
          <t>1403/01/05</t>
        </is>
      </c>
      <c r="F454" s="128" t="inlineStr">
        <is>
          <t>1403/01</t>
        </is>
      </c>
      <c r="G454" s="58" t="inlineStr">
        <is>
          <t>فروردین</t>
        </is>
      </c>
      <c r="H454" s="128" t="inlineStr">
        <is>
          <t>بهار</t>
        </is>
      </c>
      <c r="I454" s="128" t="inlineStr">
        <is>
          <t>یکشنبه</t>
        </is>
      </c>
      <c r="J454" s="128" t="inlineStr">
        <is>
          <t>خیر</t>
        </is>
      </c>
    </row>
    <row r="455">
      <c r="A455" s="176" t="n">
        <v>45376</v>
      </c>
      <c r="B455" s="177" t="n">
        <v>45376</v>
      </c>
      <c r="C455" s="177" t="n">
        <v>1403</v>
      </c>
      <c r="D455" s="177" t="n">
        <v>1</v>
      </c>
      <c r="E455" s="178" t="inlineStr">
        <is>
          <t>1403/01/06</t>
        </is>
      </c>
      <c r="F455" s="134" t="inlineStr">
        <is>
          <t>1403/01</t>
        </is>
      </c>
      <c r="G455" s="61" t="inlineStr">
        <is>
          <t>فروردین</t>
        </is>
      </c>
      <c r="H455" s="134" t="inlineStr">
        <is>
          <t>بهار</t>
        </is>
      </c>
      <c r="I455" s="134" t="inlineStr">
        <is>
          <t>دوشنبه</t>
        </is>
      </c>
      <c r="J455" s="134" t="inlineStr">
        <is>
          <t>بله</t>
        </is>
      </c>
    </row>
    <row r="456">
      <c r="A456" s="173" t="n">
        <v>45377</v>
      </c>
      <c r="B456" s="174" t="n">
        <v>45377</v>
      </c>
      <c r="C456" s="174" t="n">
        <v>1403</v>
      </c>
      <c r="D456" s="174" t="n">
        <v>1</v>
      </c>
      <c r="E456" s="175" t="inlineStr">
        <is>
          <t>1403/01/07</t>
        </is>
      </c>
      <c r="F456" s="128" t="inlineStr">
        <is>
          <t>1403/01</t>
        </is>
      </c>
      <c r="G456" s="58" t="inlineStr">
        <is>
          <t>فروردین</t>
        </is>
      </c>
      <c r="H456" s="128" t="inlineStr">
        <is>
          <t>بهار</t>
        </is>
      </c>
      <c r="I456" s="128" t="inlineStr">
        <is>
          <t>سه‌شنبه</t>
        </is>
      </c>
      <c r="J456" s="128" t="inlineStr">
        <is>
          <t>بله</t>
        </is>
      </c>
    </row>
    <row r="457">
      <c r="A457" s="176" t="n">
        <v>45378</v>
      </c>
      <c r="B457" s="177" t="n">
        <v>45378</v>
      </c>
      <c r="C457" s="177" t="n">
        <v>1403</v>
      </c>
      <c r="D457" s="177" t="n">
        <v>1</v>
      </c>
      <c r="E457" s="178" t="inlineStr">
        <is>
          <t>1403/01/08</t>
        </is>
      </c>
      <c r="F457" s="134" t="inlineStr">
        <is>
          <t>1403/01</t>
        </is>
      </c>
      <c r="G457" s="61" t="inlineStr">
        <is>
          <t>فروردین</t>
        </is>
      </c>
      <c r="H457" s="134" t="inlineStr">
        <is>
          <t>بهار</t>
        </is>
      </c>
      <c r="I457" s="134" t="inlineStr">
        <is>
          <t>چهارشنبه</t>
        </is>
      </c>
      <c r="J457" s="134" t="inlineStr">
        <is>
          <t>بله</t>
        </is>
      </c>
    </row>
    <row r="458">
      <c r="A458" s="173" t="n">
        <v>45379</v>
      </c>
      <c r="B458" s="174" t="n">
        <v>45379</v>
      </c>
      <c r="C458" s="174" t="n">
        <v>1403</v>
      </c>
      <c r="D458" s="174" t="n">
        <v>1</v>
      </c>
      <c r="E458" s="175" t="inlineStr">
        <is>
          <t>1403/01/09</t>
        </is>
      </c>
      <c r="F458" s="128" t="inlineStr">
        <is>
          <t>1403/01</t>
        </is>
      </c>
      <c r="G458" s="58" t="inlineStr">
        <is>
          <t>فروردین</t>
        </is>
      </c>
      <c r="H458" s="128" t="inlineStr">
        <is>
          <t>بهار</t>
        </is>
      </c>
      <c r="I458" s="128" t="inlineStr">
        <is>
          <t>پنجشنبه</t>
        </is>
      </c>
      <c r="J458" s="128" t="inlineStr">
        <is>
          <t>بله</t>
        </is>
      </c>
    </row>
    <row r="459">
      <c r="A459" s="176" t="n">
        <v>45380</v>
      </c>
      <c r="B459" s="177" t="n">
        <v>45380</v>
      </c>
      <c r="C459" s="177" t="n">
        <v>1403</v>
      </c>
      <c r="D459" s="177" t="n">
        <v>1</v>
      </c>
      <c r="E459" s="178" t="inlineStr">
        <is>
          <t>1403/01/10</t>
        </is>
      </c>
      <c r="F459" s="134" t="inlineStr">
        <is>
          <t>1403/01</t>
        </is>
      </c>
      <c r="G459" s="61" t="inlineStr">
        <is>
          <t>فروردین</t>
        </is>
      </c>
      <c r="H459" s="134" t="inlineStr">
        <is>
          <t>بهار</t>
        </is>
      </c>
      <c r="I459" s="134" t="inlineStr">
        <is>
          <t>جمعه</t>
        </is>
      </c>
      <c r="J459" s="134" t="inlineStr">
        <is>
          <t>بله</t>
        </is>
      </c>
    </row>
    <row r="460">
      <c r="A460" s="173" t="n">
        <v>45381</v>
      </c>
      <c r="B460" s="174" t="n">
        <v>45381</v>
      </c>
      <c r="C460" s="174" t="n">
        <v>1403</v>
      </c>
      <c r="D460" s="174" t="n">
        <v>1</v>
      </c>
      <c r="E460" s="175" t="inlineStr">
        <is>
          <t>1403/01/11</t>
        </is>
      </c>
      <c r="F460" s="128" t="inlineStr">
        <is>
          <t>1403/01</t>
        </is>
      </c>
      <c r="G460" s="58" t="inlineStr">
        <is>
          <t>فروردین</t>
        </is>
      </c>
      <c r="H460" s="128" t="inlineStr">
        <is>
          <t>بهار</t>
        </is>
      </c>
      <c r="I460" s="128" t="inlineStr">
        <is>
          <t>شنبه</t>
        </is>
      </c>
      <c r="J460" s="128" t="inlineStr">
        <is>
          <t>خیر</t>
        </is>
      </c>
    </row>
    <row r="461">
      <c r="A461" s="176" t="n">
        <v>45382</v>
      </c>
      <c r="B461" s="177" t="n">
        <v>45382</v>
      </c>
      <c r="C461" s="177" t="n">
        <v>1403</v>
      </c>
      <c r="D461" s="177" t="n">
        <v>1</v>
      </c>
      <c r="E461" s="178" t="inlineStr">
        <is>
          <t>1403/01/12</t>
        </is>
      </c>
      <c r="F461" s="134" t="inlineStr">
        <is>
          <t>1403/01</t>
        </is>
      </c>
      <c r="G461" s="61" t="inlineStr">
        <is>
          <t>فروردین</t>
        </is>
      </c>
      <c r="H461" s="134" t="inlineStr">
        <is>
          <t>بهار</t>
        </is>
      </c>
      <c r="I461" s="134" t="inlineStr">
        <is>
          <t>یکشنبه</t>
        </is>
      </c>
      <c r="J461" s="134" t="inlineStr">
        <is>
          <t>خیر</t>
        </is>
      </c>
    </row>
    <row r="462">
      <c r="A462" s="173" t="n">
        <v>45383</v>
      </c>
      <c r="B462" s="174" t="n">
        <v>45383</v>
      </c>
      <c r="C462" s="174" t="n">
        <v>1403</v>
      </c>
      <c r="D462" s="174" t="n">
        <v>1</v>
      </c>
      <c r="E462" s="175" t="inlineStr">
        <is>
          <t>1403/01/13</t>
        </is>
      </c>
      <c r="F462" s="128" t="inlineStr">
        <is>
          <t>1403/01</t>
        </is>
      </c>
      <c r="G462" s="58" t="inlineStr">
        <is>
          <t>فروردین</t>
        </is>
      </c>
      <c r="H462" s="128" t="inlineStr">
        <is>
          <t>بهار</t>
        </is>
      </c>
      <c r="I462" s="128" t="inlineStr">
        <is>
          <t>دوشنبه</t>
        </is>
      </c>
      <c r="J462" s="128" t="inlineStr">
        <is>
          <t>بله</t>
        </is>
      </c>
    </row>
    <row r="463">
      <c r="A463" s="176" t="n">
        <v>45384</v>
      </c>
      <c r="B463" s="177" t="n">
        <v>45384</v>
      </c>
      <c r="C463" s="177" t="n">
        <v>1403</v>
      </c>
      <c r="D463" s="177" t="n">
        <v>1</v>
      </c>
      <c r="E463" s="178" t="inlineStr">
        <is>
          <t>1403/01/14</t>
        </is>
      </c>
      <c r="F463" s="134" t="inlineStr">
        <is>
          <t>1403/01</t>
        </is>
      </c>
      <c r="G463" s="61" t="inlineStr">
        <is>
          <t>فروردین</t>
        </is>
      </c>
      <c r="H463" s="134" t="inlineStr">
        <is>
          <t>بهار</t>
        </is>
      </c>
      <c r="I463" s="134" t="inlineStr">
        <is>
          <t>سه‌شنبه</t>
        </is>
      </c>
      <c r="J463" s="134" t="inlineStr">
        <is>
          <t>بله</t>
        </is>
      </c>
    </row>
    <row r="464">
      <c r="A464" s="173" t="n">
        <v>45385</v>
      </c>
      <c r="B464" s="174" t="n">
        <v>45385</v>
      </c>
      <c r="C464" s="174" t="n">
        <v>1403</v>
      </c>
      <c r="D464" s="174" t="n">
        <v>1</v>
      </c>
      <c r="E464" s="175" t="inlineStr">
        <is>
          <t>1403/01/15</t>
        </is>
      </c>
      <c r="F464" s="128" t="inlineStr">
        <is>
          <t>1403/01</t>
        </is>
      </c>
      <c r="G464" s="58" t="inlineStr">
        <is>
          <t>فروردین</t>
        </is>
      </c>
      <c r="H464" s="128" t="inlineStr">
        <is>
          <t>بهار</t>
        </is>
      </c>
      <c r="I464" s="128" t="inlineStr">
        <is>
          <t>چهارشنبه</t>
        </is>
      </c>
      <c r="J464" s="128" t="inlineStr">
        <is>
          <t>بله</t>
        </is>
      </c>
    </row>
    <row r="465">
      <c r="A465" s="176" t="n">
        <v>45386</v>
      </c>
      <c r="B465" s="177" t="n">
        <v>45386</v>
      </c>
      <c r="C465" s="177" t="n">
        <v>1403</v>
      </c>
      <c r="D465" s="177" t="n">
        <v>1</v>
      </c>
      <c r="E465" s="178" t="inlineStr">
        <is>
          <t>1403/01/16</t>
        </is>
      </c>
      <c r="F465" s="134" t="inlineStr">
        <is>
          <t>1403/01</t>
        </is>
      </c>
      <c r="G465" s="61" t="inlineStr">
        <is>
          <t>فروردین</t>
        </is>
      </c>
      <c r="H465" s="134" t="inlineStr">
        <is>
          <t>بهار</t>
        </is>
      </c>
      <c r="I465" s="134" t="inlineStr">
        <is>
          <t>پنجشنبه</t>
        </is>
      </c>
      <c r="J465" s="134" t="inlineStr">
        <is>
          <t>بله</t>
        </is>
      </c>
    </row>
    <row r="466">
      <c r="A466" s="173" t="n">
        <v>45387</v>
      </c>
      <c r="B466" s="174" t="n">
        <v>45387</v>
      </c>
      <c r="C466" s="174" t="n">
        <v>1403</v>
      </c>
      <c r="D466" s="174" t="n">
        <v>1</v>
      </c>
      <c r="E466" s="175" t="inlineStr">
        <is>
          <t>1403/01/17</t>
        </is>
      </c>
      <c r="F466" s="128" t="inlineStr">
        <is>
          <t>1403/01</t>
        </is>
      </c>
      <c r="G466" s="58" t="inlineStr">
        <is>
          <t>فروردین</t>
        </is>
      </c>
      <c r="H466" s="128" t="inlineStr">
        <is>
          <t>بهار</t>
        </is>
      </c>
      <c r="I466" s="128" t="inlineStr">
        <is>
          <t>جمعه</t>
        </is>
      </c>
      <c r="J466" s="128" t="inlineStr">
        <is>
          <t>بله</t>
        </is>
      </c>
    </row>
    <row r="467">
      <c r="A467" s="176" t="n">
        <v>45388</v>
      </c>
      <c r="B467" s="177" t="n">
        <v>45388</v>
      </c>
      <c r="C467" s="177" t="n">
        <v>1403</v>
      </c>
      <c r="D467" s="177" t="n">
        <v>1</v>
      </c>
      <c r="E467" s="178" t="inlineStr">
        <is>
          <t>1403/01/18</t>
        </is>
      </c>
      <c r="F467" s="134" t="inlineStr">
        <is>
          <t>1403/01</t>
        </is>
      </c>
      <c r="G467" s="61" t="inlineStr">
        <is>
          <t>فروردین</t>
        </is>
      </c>
      <c r="H467" s="134" t="inlineStr">
        <is>
          <t>بهار</t>
        </is>
      </c>
      <c r="I467" s="134" t="inlineStr">
        <is>
          <t>شنبه</t>
        </is>
      </c>
      <c r="J467" s="134" t="inlineStr">
        <is>
          <t>خیر</t>
        </is>
      </c>
    </row>
    <row r="468">
      <c r="A468" s="173" t="n">
        <v>45389</v>
      </c>
      <c r="B468" s="174" t="n">
        <v>45389</v>
      </c>
      <c r="C468" s="174" t="n">
        <v>1403</v>
      </c>
      <c r="D468" s="174" t="n">
        <v>1</v>
      </c>
      <c r="E468" s="175" t="inlineStr">
        <is>
          <t>1403/01/19</t>
        </is>
      </c>
      <c r="F468" s="128" t="inlineStr">
        <is>
          <t>1403/01</t>
        </is>
      </c>
      <c r="G468" s="58" t="inlineStr">
        <is>
          <t>فروردین</t>
        </is>
      </c>
      <c r="H468" s="128" t="inlineStr">
        <is>
          <t>بهار</t>
        </is>
      </c>
      <c r="I468" s="128" t="inlineStr">
        <is>
          <t>یکشنبه</t>
        </is>
      </c>
      <c r="J468" s="128" t="inlineStr">
        <is>
          <t>خیر</t>
        </is>
      </c>
    </row>
    <row r="469">
      <c r="A469" s="176" t="n">
        <v>45390</v>
      </c>
      <c r="B469" s="177" t="n">
        <v>45390</v>
      </c>
      <c r="C469" s="177" t="n">
        <v>1403</v>
      </c>
      <c r="D469" s="177" t="n">
        <v>1</v>
      </c>
      <c r="E469" s="178" t="inlineStr">
        <is>
          <t>1403/01/20</t>
        </is>
      </c>
      <c r="F469" s="134" t="inlineStr">
        <is>
          <t>1403/01</t>
        </is>
      </c>
      <c r="G469" s="61" t="inlineStr">
        <is>
          <t>فروردین</t>
        </is>
      </c>
      <c r="H469" s="134" t="inlineStr">
        <is>
          <t>بهار</t>
        </is>
      </c>
      <c r="I469" s="134" t="inlineStr">
        <is>
          <t>دوشنبه</t>
        </is>
      </c>
      <c r="J469" s="134" t="inlineStr">
        <is>
          <t>بله</t>
        </is>
      </c>
    </row>
    <row r="470">
      <c r="A470" s="173" t="n">
        <v>45391</v>
      </c>
      <c r="B470" s="174" t="n">
        <v>45391</v>
      </c>
      <c r="C470" s="174" t="n">
        <v>1403</v>
      </c>
      <c r="D470" s="174" t="n">
        <v>1</v>
      </c>
      <c r="E470" s="175" t="inlineStr">
        <is>
          <t>1403/01/21</t>
        </is>
      </c>
      <c r="F470" s="128" t="inlineStr">
        <is>
          <t>1403/01</t>
        </is>
      </c>
      <c r="G470" s="58" t="inlineStr">
        <is>
          <t>فروردین</t>
        </is>
      </c>
      <c r="H470" s="128" t="inlineStr">
        <is>
          <t>بهار</t>
        </is>
      </c>
      <c r="I470" s="128" t="inlineStr">
        <is>
          <t>سه‌شنبه</t>
        </is>
      </c>
      <c r="J470" s="128" t="inlineStr">
        <is>
          <t>بله</t>
        </is>
      </c>
    </row>
    <row r="471">
      <c r="A471" s="176" t="n">
        <v>45392</v>
      </c>
      <c r="B471" s="177" t="n">
        <v>45392</v>
      </c>
      <c r="C471" s="177" t="n">
        <v>1403</v>
      </c>
      <c r="D471" s="177" t="n">
        <v>1</v>
      </c>
      <c r="E471" s="178" t="inlineStr">
        <is>
          <t>1403/01/22</t>
        </is>
      </c>
      <c r="F471" s="134" t="inlineStr">
        <is>
          <t>1403/01</t>
        </is>
      </c>
      <c r="G471" s="61" t="inlineStr">
        <is>
          <t>فروردین</t>
        </is>
      </c>
      <c r="H471" s="134" t="inlineStr">
        <is>
          <t>بهار</t>
        </is>
      </c>
      <c r="I471" s="134" t="inlineStr">
        <is>
          <t>چهارشنبه</t>
        </is>
      </c>
      <c r="J471" s="134" t="inlineStr">
        <is>
          <t>بله</t>
        </is>
      </c>
    </row>
    <row r="472">
      <c r="A472" s="173" t="n">
        <v>45393</v>
      </c>
      <c r="B472" s="174" t="n">
        <v>45393</v>
      </c>
      <c r="C472" s="174" t="n">
        <v>1403</v>
      </c>
      <c r="D472" s="174" t="n">
        <v>1</v>
      </c>
      <c r="E472" s="175" t="inlineStr">
        <is>
          <t>1403/01/23</t>
        </is>
      </c>
      <c r="F472" s="128" t="inlineStr">
        <is>
          <t>1403/01</t>
        </is>
      </c>
      <c r="G472" s="58" t="inlineStr">
        <is>
          <t>فروردین</t>
        </is>
      </c>
      <c r="H472" s="128" t="inlineStr">
        <is>
          <t>بهار</t>
        </is>
      </c>
      <c r="I472" s="128" t="inlineStr">
        <is>
          <t>پنجشنبه</t>
        </is>
      </c>
      <c r="J472" s="128" t="inlineStr">
        <is>
          <t>بله</t>
        </is>
      </c>
    </row>
    <row r="473">
      <c r="A473" s="176" t="n">
        <v>45394</v>
      </c>
      <c r="B473" s="177" t="n">
        <v>45394</v>
      </c>
      <c r="C473" s="177" t="n">
        <v>1403</v>
      </c>
      <c r="D473" s="177" t="n">
        <v>1</v>
      </c>
      <c r="E473" s="178" t="inlineStr">
        <is>
          <t>1403/01/24</t>
        </is>
      </c>
      <c r="F473" s="134" t="inlineStr">
        <is>
          <t>1403/01</t>
        </is>
      </c>
      <c r="G473" s="61" t="inlineStr">
        <is>
          <t>فروردین</t>
        </is>
      </c>
      <c r="H473" s="134" t="inlineStr">
        <is>
          <t>بهار</t>
        </is>
      </c>
      <c r="I473" s="134" t="inlineStr">
        <is>
          <t>جمعه</t>
        </is>
      </c>
      <c r="J473" s="134" t="inlineStr">
        <is>
          <t>بله</t>
        </is>
      </c>
    </row>
    <row r="474">
      <c r="A474" s="173" t="n">
        <v>45395</v>
      </c>
      <c r="B474" s="174" t="n">
        <v>45395</v>
      </c>
      <c r="C474" s="174" t="n">
        <v>1403</v>
      </c>
      <c r="D474" s="174" t="n">
        <v>1</v>
      </c>
      <c r="E474" s="175" t="inlineStr">
        <is>
          <t>1403/01/25</t>
        </is>
      </c>
      <c r="F474" s="128" t="inlineStr">
        <is>
          <t>1403/01</t>
        </is>
      </c>
      <c r="G474" s="58" t="inlineStr">
        <is>
          <t>فروردین</t>
        </is>
      </c>
      <c r="H474" s="128" t="inlineStr">
        <is>
          <t>بهار</t>
        </is>
      </c>
      <c r="I474" s="128" t="inlineStr">
        <is>
          <t>شنبه</t>
        </is>
      </c>
      <c r="J474" s="128" t="inlineStr">
        <is>
          <t>خیر</t>
        </is>
      </c>
    </row>
    <row r="475">
      <c r="A475" s="176" t="n">
        <v>45396</v>
      </c>
      <c r="B475" s="177" t="n">
        <v>45396</v>
      </c>
      <c r="C475" s="177" t="n">
        <v>1403</v>
      </c>
      <c r="D475" s="177" t="n">
        <v>1</v>
      </c>
      <c r="E475" s="178" t="inlineStr">
        <is>
          <t>1403/01/26</t>
        </is>
      </c>
      <c r="F475" s="134" t="inlineStr">
        <is>
          <t>1403/01</t>
        </is>
      </c>
      <c r="G475" s="61" t="inlineStr">
        <is>
          <t>فروردین</t>
        </is>
      </c>
      <c r="H475" s="134" t="inlineStr">
        <is>
          <t>بهار</t>
        </is>
      </c>
      <c r="I475" s="134" t="inlineStr">
        <is>
          <t>یکشنبه</t>
        </is>
      </c>
      <c r="J475" s="134" t="inlineStr">
        <is>
          <t>خیر</t>
        </is>
      </c>
    </row>
    <row r="476">
      <c r="A476" s="173" t="n">
        <v>45397</v>
      </c>
      <c r="B476" s="174" t="n">
        <v>45397</v>
      </c>
      <c r="C476" s="174" t="n">
        <v>1403</v>
      </c>
      <c r="D476" s="174" t="n">
        <v>1</v>
      </c>
      <c r="E476" s="175" t="inlineStr">
        <is>
          <t>1403/01/27</t>
        </is>
      </c>
      <c r="F476" s="128" t="inlineStr">
        <is>
          <t>1403/01</t>
        </is>
      </c>
      <c r="G476" s="58" t="inlineStr">
        <is>
          <t>فروردین</t>
        </is>
      </c>
      <c r="H476" s="128" t="inlineStr">
        <is>
          <t>بهار</t>
        </is>
      </c>
      <c r="I476" s="128" t="inlineStr">
        <is>
          <t>دوشنبه</t>
        </is>
      </c>
      <c r="J476" s="128" t="inlineStr">
        <is>
          <t>بله</t>
        </is>
      </c>
    </row>
    <row r="477">
      <c r="A477" s="176" t="n">
        <v>45398</v>
      </c>
      <c r="B477" s="177" t="n">
        <v>45398</v>
      </c>
      <c r="C477" s="177" t="n">
        <v>1403</v>
      </c>
      <c r="D477" s="177" t="n">
        <v>1</v>
      </c>
      <c r="E477" s="178" t="inlineStr">
        <is>
          <t>1403/01/28</t>
        </is>
      </c>
      <c r="F477" s="134" t="inlineStr">
        <is>
          <t>1403/01</t>
        </is>
      </c>
      <c r="G477" s="61" t="inlineStr">
        <is>
          <t>فروردین</t>
        </is>
      </c>
      <c r="H477" s="134" t="inlineStr">
        <is>
          <t>بهار</t>
        </is>
      </c>
      <c r="I477" s="134" t="inlineStr">
        <is>
          <t>سه‌شنبه</t>
        </is>
      </c>
      <c r="J477" s="134" t="inlineStr">
        <is>
          <t>بله</t>
        </is>
      </c>
    </row>
    <row r="478">
      <c r="A478" s="173" t="n">
        <v>45399</v>
      </c>
      <c r="B478" s="174" t="n">
        <v>45399</v>
      </c>
      <c r="C478" s="174" t="n">
        <v>1403</v>
      </c>
      <c r="D478" s="174" t="n">
        <v>1</v>
      </c>
      <c r="E478" s="175" t="inlineStr">
        <is>
          <t>1403/01/29</t>
        </is>
      </c>
      <c r="F478" s="128" t="inlineStr">
        <is>
          <t>1403/01</t>
        </is>
      </c>
      <c r="G478" s="58" t="inlineStr">
        <is>
          <t>فروردین</t>
        </is>
      </c>
      <c r="H478" s="128" t="inlineStr">
        <is>
          <t>بهار</t>
        </is>
      </c>
      <c r="I478" s="128" t="inlineStr">
        <is>
          <t>چهارشنبه</t>
        </is>
      </c>
      <c r="J478" s="128" t="inlineStr">
        <is>
          <t>بله</t>
        </is>
      </c>
    </row>
    <row r="479">
      <c r="A479" s="176" t="n">
        <v>45400</v>
      </c>
      <c r="B479" s="177" t="n">
        <v>45400</v>
      </c>
      <c r="C479" s="177" t="n">
        <v>1403</v>
      </c>
      <c r="D479" s="177" t="n">
        <v>1</v>
      </c>
      <c r="E479" s="178" t="inlineStr">
        <is>
          <t>1403/01/30</t>
        </is>
      </c>
      <c r="F479" s="134" t="inlineStr">
        <is>
          <t>1403/01</t>
        </is>
      </c>
      <c r="G479" s="61" t="inlineStr">
        <is>
          <t>فروردین</t>
        </is>
      </c>
      <c r="H479" s="134" t="inlineStr">
        <is>
          <t>بهار</t>
        </is>
      </c>
      <c r="I479" s="134" t="inlineStr">
        <is>
          <t>پنجشنبه</t>
        </is>
      </c>
      <c r="J479" s="134" t="inlineStr">
        <is>
          <t>بله</t>
        </is>
      </c>
    </row>
    <row r="480">
      <c r="A480" s="173" t="n">
        <v>45401</v>
      </c>
      <c r="B480" s="174" t="n">
        <v>45401</v>
      </c>
      <c r="C480" s="174" t="n">
        <v>1403</v>
      </c>
      <c r="D480" s="174" t="n">
        <v>1</v>
      </c>
      <c r="E480" s="175" t="inlineStr">
        <is>
          <t>1403/01/31</t>
        </is>
      </c>
      <c r="F480" s="128" t="inlineStr">
        <is>
          <t>1403/01</t>
        </is>
      </c>
      <c r="G480" s="58" t="inlineStr">
        <is>
          <t>فروردین</t>
        </is>
      </c>
      <c r="H480" s="128" t="inlineStr">
        <is>
          <t>بهار</t>
        </is>
      </c>
      <c r="I480" s="128" t="inlineStr">
        <is>
          <t>جمعه</t>
        </is>
      </c>
      <c r="J480" s="128" t="inlineStr">
        <is>
          <t>بله</t>
        </is>
      </c>
    </row>
    <row r="481">
      <c r="A481" s="176" t="n">
        <v>45402</v>
      </c>
      <c r="B481" s="177" t="n">
        <v>45402</v>
      </c>
      <c r="C481" s="177" t="n">
        <v>1403</v>
      </c>
      <c r="D481" s="177" t="n">
        <v>2</v>
      </c>
      <c r="E481" s="178" t="inlineStr">
        <is>
          <t>1403/02/01</t>
        </is>
      </c>
      <c r="F481" s="134" t="inlineStr">
        <is>
          <t>1403/02</t>
        </is>
      </c>
      <c r="G481" s="61" t="inlineStr">
        <is>
          <t>اردیبهشت</t>
        </is>
      </c>
      <c r="H481" s="134" t="inlineStr">
        <is>
          <t>بهار</t>
        </is>
      </c>
      <c r="I481" s="134" t="inlineStr">
        <is>
          <t>شنبه</t>
        </is>
      </c>
      <c r="J481" s="134" t="inlineStr">
        <is>
          <t>خیر</t>
        </is>
      </c>
    </row>
    <row r="482">
      <c r="A482" s="173" t="n">
        <v>45403</v>
      </c>
      <c r="B482" s="174" t="n">
        <v>45403</v>
      </c>
      <c r="C482" s="174" t="n">
        <v>1403</v>
      </c>
      <c r="D482" s="174" t="n">
        <v>2</v>
      </c>
      <c r="E482" s="175" t="inlineStr">
        <is>
          <t>1403/02/02</t>
        </is>
      </c>
      <c r="F482" s="128" t="inlineStr">
        <is>
          <t>1403/02</t>
        </is>
      </c>
      <c r="G482" s="58" t="inlineStr">
        <is>
          <t>اردیبهشت</t>
        </is>
      </c>
      <c r="H482" s="128" t="inlineStr">
        <is>
          <t>بهار</t>
        </is>
      </c>
      <c r="I482" s="128" t="inlineStr">
        <is>
          <t>یکشنبه</t>
        </is>
      </c>
      <c r="J482" s="128" t="inlineStr">
        <is>
          <t>خیر</t>
        </is>
      </c>
    </row>
    <row r="483">
      <c r="A483" s="176" t="n">
        <v>45404</v>
      </c>
      <c r="B483" s="177" t="n">
        <v>45404</v>
      </c>
      <c r="C483" s="177" t="n">
        <v>1403</v>
      </c>
      <c r="D483" s="177" t="n">
        <v>2</v>
      </c>
      <c r="E483" s="178" t="inlineStr">
        <is>
          <t>1403/02/03</t>
        </is>
      </c>
      <c r="F483" s="134" t="inlineStr">
        <is>
          <t>1403/02</t>
        </is>
      </c>
      <c r="G483" s="61" t="inlineStr">
        <is>
          <t>اردیبهشت</t>
        </is>
      </c>
      <c r="H483" s="134" t="inlineStr">
        <is>
          <t>بهار</t>
        </is>
      </c>
      <c r="I483" s="134" t="inlineStr">
        <is>
          <t>دوشنبه</t>
        </is>
      </c>
      <c r="J483" s="134" t="inlineStr">
        <is>
          <t>بله</t>
        </is>
      </c>
    </row>
    <row r="484">
      <c r="A484" s="173" t="n">
        <v>45405</v>
      </c>
      <c r="B484" s="174" t="n">
        <v>45405</v>
      </c>
      <c r="C484" s="174" t="n">
        <v>1403</v>
      </c>
      <c r="D484" s="174" t="n">
        <v>2</v>
      </c>
      <c r="E484" s="175" t="inlineStr">
        <is>
          <t>1403/02/04</t>
        </is>
      </c>
      <c r="F484" s="128" t="inlineStr">
        <is>
          <t>1403/02</t>
        </is>
      </c>
      <c r="G484" s="58" t="inlineStr">
        <is>
          <t>اردیبهشت</t>
        </is>
      </c>
      <c r="H484" s="128" t="inlineStr">
        <is>
          <t>بهار</t>
        </is>
      </c>
      <c r="I484" s="128" t="inlineStr">
        <is>
          <t>سه‌شنبه</t>
        </is>
      </c>
      <c r="J484" s="128" t="inlineStr">
        <is>
          <t>بله</t>
        </is>
      </c>
    </row>
    <row r="485">
      <c r="A485" s="176" t="n">
        <v>45406</v>
      </c>
      <c r="B485" s="177" t="n">
        <v>45406</v>
      </c>
      <c r="C485" s="177" t="n">
        <v>1403</v>
      </c>
      <c r="D485" s="177" t="n">
        <v>2</v>
      </c>
      <c r="E485" s="178" t="inlineStr">
        <is>
          <t>1403/02/05</t>
        </is>
      </c>
      <c r="F485" s="134" t="inlineStr">
        <is>
          <t>1403/02</t>
        </is>
      </c>
      <c r="G485" s="61" t="inlineStr">
        <is>
          <t>اردیبهشت</t>
        </is>
      </c>
      <c r="H485" s="134" t="inlineStr">
        <is>
          <t>بهار</t>
        </is>
      </c>
      <c r="I485" s="134" t="inlineStr">
        <is>
          <t>چهارشنبه</t>
        </is>
      </c>
      <c r="J485" s="134" t="inlineStr">
        <is>
          <t>بله</t>
        </is>
      </c>
    </row>
    <row r="486">
      <c r="A486" s="173" t="n">
        <v>45407</v>
      </c>
      <c r="B486" s="174" t="n">
        <v>45407</v>
      </c>
      <c r="C486" s="174" t="n">
        <v>1403</v>
      </c>
      <c r="D486" s="174" t="n">
        <v>2</v>
      </c>
      <c r="E486" s="175" t="inlineStr">
        <is>
          <t>1403/02/06</t>
        </is>
      </c>
      <c r="F486" s="128" t="inlineStr">
        <is>
          <t>1403/02</t>
        </is>
      </c>
      <c r="G486" s="58" t="inlineStr">
        <is>
          <t>اردیبهشت</t>
        </is>
      </c>
      <c r="H486" s="128" t="inlineStr">
        <is>
          <t>بهار</t>
        </is>
      </c>
      <c r="I486" s="128" t="inlineStr">
        <is>
          <t>پنجشنبه</t>
        </is>
      </c>
      <c r="J486" s="128" t="inlineStr">
        <is>
          <t>بله</t>
        </is>
      </c>
    </row>
    <row r="487">
      <c r="A487" s="176" t="n">
        <v>45408</v>
      </c>
      <c r="B487" s="177" t="n">
        <v>45408</v>
      </c>
      <c r="C487" s="177" t="n">
        <v>1403</v>
      </c>
      <c r="D487" s="177" t="n">
        <v>2</v>
      </c>
      <c r="E487" s="178" t="inlineStr">
        <is>
          <t>1403/02/07</t>
        </is>
      </c>
      <c r="F487" s="134" t="inlineStr">
        <is>
          <t>1403/02</t>
        </is>
      </c>
      <c r="G487" s="61" t="inlineStr">
        <is>
          <t>اردیبهشت</t>
        </is>
      </c>
      <c r="H487" s="134" t="inlineStr">
        <is>
          <t>بهار</t>
        </is>
      </c>
      <c r="I487" s="134" t="inlineStr">
        <is>
          <t>جمعه</t>
        </is>
      </c>
      <c r="J487" s="134" t="inlineStr">
        <is>
          <t>بله</t>
        </is>
      </c>
    </row>
    <row r="488">
      <c r="A488" s="173" t="n">
        <v>45409</v>
      </c>
      <c r="B488" s="174" t="n">
        <v>45409</v>
      </c>
      <c r="C488" s="174" t="n">
        <v>1403</v>
      </c>
      <c r="D488" s="174" t="n">
        <v>2</v>
      </c>
      <c r="E488" s="175" t="inlineStr">
        <is>
          <t>1403/02/08</t>
        </is>
      </c>
      <c r="F488" s="128" t="inlineStr">
        <is>
          <t>1403/02</t>
        </is>
      </c>
      <c r="G488" s="58" t="inlineStr">
        <is>
          <t>اردیبهشت</t>
        </is>
      </c>
      <c r="H488" s="128" t="inlineStr">
        <is>
          <t>بهار</t>
        </is>
      </c>
      <c r="I488" s="128" t="inlineStr">
        <is>
          <t>شنبه</t>
        </is>
      </c>
      <c r="J488" s="128" t="inlineStr">
        <is>
          <t>خیر</t>
        </is>
      </c>
    </row>
    <row r="489">
      <c r="A489" s="176" t="n">
        <v>45410</v>
      </c>
      <c r="B489" s="177" t="n">
        <v>45410</v>
      </c>
      <c r="C489" s="177" t="n">
        <v>1403</v>
      </c>
      <c r="D489" s="177" t="n">
        <v>2</v>
      </c>
      <c r="E489" s="178" t="inlineStr">
        <is>
          <t>1403/02/09</t>
        </is>
      </c>
      <c r="F489" s="134" t="inlineStr">
        <is>
          <t>1403/02</t>
        </is>
      </c>
      <c r="G489" s="61" t="inlineStr">
        <is>
          <t>اردیبهشت</t>
        </is>
      </c>
      <c r="H489" s="134" t="inlineStr">
        <is>
          <t>بهار</t>
        </is>
      </c>
      <c r="I489" s="134" t="inlineStr">
        <is>
          <t>یکشنبه</t>
        </is>
      </c>
      <c r="J489" s="134" t="inlineStr">
        <is>
          <t>خیر</t>
        </is>
      </c>
    </row>
    <row r="490">
      <c r="A490" s="173" t="n">
        <v>45411</v>
      </c>
      <c r="B490" s="174" t="n">
        <v>45411</v>
      </c>
      <c r="C490" s="174" t="n">
        <v>1403</v>
      </c>
      <c r="D490" s="174" t="n">
        <v>2</v>
      </c>
      <c r="E490" s="175" t="inlineStr">
        <is>
          <t>1403/02/10</t>
        </is>
      </c>
      <c r="F490" s="128" t="inlineStr">
        <is>
          <t>1403/02</t>
        </is>
      </c>
      <c r="G490" s="58" t="inlineStr">
        <is>
          <t>اردیبهشت</t>
        </is>
      </c>
      <c r="H490" s="128" t="inlineStr">
        <is>
          <t>بهار</t>
        </is>
      </c>
      <c r="I490" s="128" t="inlineStr">
        <is>
          <t>دوشنبه</t>
        </is>
      </c>
      <c r="J490" s="128" t="inlineStr">
        <is>
          <t>بله</t>
        </is>
      </c>
    </row>
    <row r="491">
      <c r="A491" s="176" t="n">
        <v>45412</v>
      </c>
      <c r="B491" s="177" t="n">
        <v>45412</v>
      </c>
      <c r="C491" s="177" t="n">
        <v>1403</v>
      </c>
      <c r="D491" s="177" t="n">
        <v>2</v>
      </c>
      <c r="E491" s="178" t="inlineStr">
        <is>
          <t>1403/02/11</t>
        </is>
      </c>
      <c r="F491" s="134" t="inlineStr">
        <is>
          <t>1403/02</t>
        </is>
      </c>
      <c r="G491" s="61" t="inlineStr">
        <is>
          <t>اردیبهشت</t>
        </is>
      </c>
      <c r="H491" s="134" t="inlineStr">
        <is>
          <t>بهار</t>
        </is>
      </c>
      <c r="I491" s="134" t="inlineStr">
        <is>
          <t>سه‌شنبه</t>
        </is>
      </c>
      <c r="J491" s="134" t="inlineStr">
        <is>
          <t>بله</t>
        </is>
      </c>
    </row>
    <row r="492">
      <c r="A492" s="173" t="n">
        <v>45413</v>
      </c>
      <c r="B492" s="174" t="n">
        <v>45413</v>
      </c>
      <c r="C492" s="174" t="n">
        <v>1403</v>
      </c>
      <c r="D492" s="174" t="n">
        <v>2</v>
      </c>
      <c r="E492" s="175" t="inlineStr">
        <is>
          <t>1403/02/12</t>
        </is>
      </c>
      <c r="F492" s="128" t="inlineStr">
        <is>
          <t>1403/02</t>
        </is>
      </c>
      <c r="G492" s="58" t="inlineStr">
        <is>
          <t>اردیبهشت</t>
        </is>
      </c>
      <c r="H492" s="128" t="inlineStr">
        <is>
          <t>بهار</t>
        </is>
      </c>
      <c r="I492" s="128" t="inlineStr">
        <is>
          <t>چهارشنبه</t>
        </is>
      </c>
      <c r="J492" s="128" t="inlineStr">
        <is>
          <t>بله</t>
        </is>
      </c>
    </row>
    <row r="493">
      <c r="A493" s="176" t="n">
        <v>45414</v>
      </c>
      <c r="B493" s="177" t="n">
        <v>45414</v>
      </c>
      <c r="C493" s="177" t="n">
        <v>1403</v>
      </c>
      <c r="D493" s="177" t="n">
        <v>2</v>
      </c>
      <c r="E493" s="178" t="inlineStr">
        <is>
          <t>1403/02/13</t>
        </is>
      </c>
      <c r="F493" s="134" t="inlineStr">
        <is>
          <t>1403/02</t>
        </is>
      </c>
      <c r="G493" s="61" t="inlineStr">
        <is>
          <t>اردیبهشت</t>
        </is>
      </c>
      <c r="H493" s="134" t="inlineStr">
        <is>
          <t>بهار</t>
        </is>
      </c>
      <c r="I493" s="134" t="inlineStr">
        <is>
          <t>پنجشنبه</t>
        </is>
      </c>
      <c r="J493" s="134" t="inlineStr">
        <is>
          <t>بله</t>
        </is>
      </c>
    </row>
    <row r="494">
      <c r="A494" s="173" t="n">
        <v>45415</v>
      </c>
      <c r="B494" s="174" t="n">
        <v>45415</v>
      </c>
      <c r="C494" s="174" t="n">
        <v>1403</v>
      </c>
      <c r="D494" s="174" t="n">
        <v>2</v>
      </c>
      <c r="E494" s="175" t="inlineStr">
        <is>
          <t>1403/02/14</t>
        </is>
      </c>
      <c r="F494" s="128" t="inlineStr">
        <is>
          <t>1403/02</t>
        </is>
      </c>
      <c r="G494" s="58" t="inlineStr">
        <is>
          <t>اردیبهشت</t>
        </is>
      </c>
      <c r="H494" s="128" t="inlineStr">
        <is>
          <t>بهار</t>
        </is>
      </c>
      <c r="I494" s="128" t="inlineStr">
        <is>
          <t>جمعه</t>
        </is>
      </c>
      <c r="J494" s="128" t="inlineStr">
        <is>
          <t>بله</t>
        </is>
      </c>
    </row>
    <row r="495">
      <c r="A495" s="176" t="n">
        <v>45416</v>
      </c>
      <c r="B495" s="177" t="n">
        <v>45416</v>
      </c>
      <c r="C495" s="177" t="n">
        <v>1403</v>
      </c>
      <c r="D495" s="177" t="n">
        <v>2</v>
      </c>
      <c r="E495" s="178" t="inlineStr">
        <is>
          <t>1403/02/15</t>
        </is>
      </c>
      <c r="F495" s="134" t="inlineStr">
        <is>
          <t>1403/02</t>
        </is>
      </c>
      <c r="G495" s="61" t="inlineStr">
        <is>
          <t>اردیبهشت</t>
        </is>
      </c>
      <c r="H495" s="134" t="inlineStr">
        <is>
          <t>بهار</t>
        </is>
      </c>
      <c r="I495" s="134" t="inlineStr">
        <is>
          <t>شنبه</t>
        </is>
      </c>
      <c r="J495" s="134" t="inlineStr">
        <is>
          <t>خیر</t>
        </is>
      </c>
    </row>
    <row r="496">
      <c r="A496" s="173" t="n">
        <v>45417</v>
      </c>
      <c r="B496" s="174" t="n">
        <v>45417</v>
      </c>
      <c r="C496" s="174" t="n">
        <v>1403</v>
      </c>
      <c r="D496" s="174" t="n">
        <v>2</v>
      </c>
      <c r="E496" s="175" t="inlineStr">
        <is>
          <t>1403/02/16</t>
        </is>
      </c>
      <c r="F496" s="128" t="inlineStr">
        <is>
          <t>1403/02</t>
        </is>
      </c>
      <c r="G496" s="58" t="inlineStr">
        <is>
          <t>اردیبهشت</t>
        </is>
      </c>
      <c r="H496" s="128" t="inlineStr">
        <is>
          <t>بهار</t>
        </is>
      </c>
      <c r="I496" s="128" t="inlineStr">
        <is>
          <t>یکشنبه</t>
        </is>
      </c>
      <c r="J496" s="128" t="inlineStr">
        <is>
          <t>خیر</t>
        </is>
      </c>
    </row>
    <row r="497">
      <c r="A497" s="176" t="n">
        <v>45418</v>
      </c>
      <c r="B497" s="177" t="n">
        <v>45418</v>
      </c>
      <c r="C497" s="177" t="n">
        <v>1403</v>
      </c>
      <c r="D497" s="177" t="n">
        <v>2</v>
      </c>
      <c r="E497" s="178" t="inlineStr">
        <is>
          <t>1403/02/17</t>
        </is>
      </c>
      <c r="F497" s="134" t="inlineStr">
        <is>
          <t>1403/02</t>
        </is>
      </c>
      <c r="G497" s="61" t="inlineStr">
        <is>
          <t>اردیبهشت</t>
        </is>
      </c>
      <c r="H497" s="134" t="inlineStr">
        <is>
          <t>بهار</t>
        </is>
      </c>
      <c r="I497" s="134" t="inlineStr">
        <is>
          <t>دوشنبه</t>
        </is>
      </c>
      <c r="J497" s="134" t="inlineStr">
        <is>
          <t>بله</t>
        </is>
      </c>
    </row>
    <row r="498">
      <c r="A498" s="173" t="n">
        <v>45419</v>
      </c>
      <c r="B498" s="174" t="n">
        <v>45419</v>
      </c>
      <c r="C498" s="174" t="n">
        <v>1403</v>
      </c>
      <c r="D498" s="174" t="n">
        <v>2</v>
      </c>
      <c r="E498" s="175" t="inlineStr">
        <is>
          <t>1403/02/18</t>
        </is>
      </c>
      <c r="F498" s="128" t="inlineStr">
        <is>
          <t>1403/02</t>
        </is>
      </c>
      <c r="G498" s="58" t="inlineStr">
        <is>
          <t>اردیبهشت</t>
        </is>
      </c>
      <c r="H498" s="128" t="inlineStr">
        <is>
          <t>بهار</t>
        </is>
      </c>
      <c r="I498" s="128" t="inlineStr">
        <is>
          <t>سه‌شنبه</t>
        </is>
      </c>
      <c r="J498" s="128" t="inlineStr">
        <is>
          <t>بله</t>
        </is>
      </c>
    </row>
    <row r="499">
      <c r="A499" s="176" t="n">
        <v>45420</v>
      </c>
      <c r="B499" s="177" t="n">
        <v>45420</v>
      </c>
      <c r="C499" s="177" t="n">
        <v>1403</v>
      </c>
      <c r="D499" s="177" t="n">
        <v>2</v>
      </c>
      <c r="E499" s="178" t="inlineStr">
        <is>
          <t>1403/02/19</t>
        </is>
      </c>
      <c r="F499" s="134" t="inlineStr">
        <is>
          <t>1403/02</t>
        </is>
      </c>
      <c r="G499" s="61" t="inlineStr">
        <is>
          <t>اردیبهشت</t>
        </is>
      </c>
      <c r="H499" s="134" t="inlineStr">
        <is>
          <t>بهار</t>
        </is>
      </c>
      <c r="I499" s="134" t="inlineStr">
        <is>
          <t>چهارشنبه</t>
        </is>
      </c>
      <c r="J499" s="134" t="inlineStr">
        <is>
          <t>بله</t>
        </is>
      </c>
    </row>
    <row r="500">
      <c r="A500" s="173" t="n">
        <v>45421</v>
      </c>
      <c r="B500" s="174" t="n">
        <v>45421</v>
      </c>
      <c r="C500" s="174" t="n">
        <v>1403</v>
      </c>
      <c r="D500" s="174" t="n">
        <v>2</v>
      </c>
      <c r="E500" s="175" t="inlineStr">
        <is>
          <t>1403/02/20</t>
        </is>
      </c>
      <c r="F500" s="128" t="inlineStr">
        <is>
          <t>1403/02</t>
        </is>
      </c>
      <c r="G500" s="58" t="inlineStr">
        <is>
          <t>اردیبهشت</t>
        </is>
      </c>
      <c r="H500" s="128" t="inlineStr">
        <is>
          <t>بهار</t>
        </is>
      </c>
      <c r="I500" s="128" t="inlineStr">
        <is>
          <t>پنجشنبه</t>
        </is>
      </c>
      <c r="J500" s="128" t="inlineStr">
        <is>
          <t>بله</t>
        </is>
      </c>
    </row>
    <row r="501">
      <c r="A501" s="176" t="n">
        <v>45422</v>
      </c>
      <c r="B501" s="177" t="n">
        <v>45422</v>
      </c>
      <c r="C501" s="177" t="n">
        <v>1403</v>
      </c>
      <c r="D501" s="177" t="n">
        <v>2</v>
      </c>
      <c r="E501" s="178" t="inlineStr">
        <is>
          <t>1403/02/21</t>
        </is>
      </c>
      <c r="F501" s="134" t="inlineStr">
        <is>
          <t>1403/02</t>
        </is>
      </c>
      <c r="G501" s="61" t="inlineStr">
        <is>
          <t>اردیبهشت</t>
        </is>
      </c>
      <c r="H501" s="134" t="inlineStr">
        <is>
          <t>بهار</t>
        </is>
      </c>
      <c r="I501" s="134" t="inlineStr">
        <is>
          <t>جمعه</t>
        </is>
      </c>
      <c r="J501" s="134" t="inlineStr">
        <is>
          <t>بله</t>
        </is>
      </c>
    </row>
    <row r="502">
      <c r="A502" s="173" t="n">
        <v>45423</v>
      </c>
      <c r="B502" s="174" t="n">
        <v>45423</v>
      </c>
      <c r="C502" s="174" t="n">
        <v>1403</v>
      </c>
      <c r="D502" s="174" t="n">
        <v>2</v>
      </c>
      <c r="E502" s="175" t="inlineStr">
        <is>
          <t>1403/02/22</t>
        </is>
      </c>
      <c r="F502" s="128" t="inlineStr">
        <is>
          <t>1403/02</t>
        </is>
      </c>
      <c r="G502" s="58" t="inlineStr">
        <is>
          <t>اردیبهشت</t>
        </is>
      </c>
      <c r="H502" s="128" t="inlineStr">
        <is>
          <t>بهار</t>
        </is>
      </c>
      <c r="I502" s="128" t="inlineStr">
        <is>
          <t>شنبه</t>
        </is>
      </c>
      <c r="J502" s="128" t="inlineStr">
        <is>
          <t>خیر</t>
        </is>
      </c>
    </row>
    <row r="503">
      <c r="A503" s="176" t="n">
        <v>45424</v>
      </c>
      <c r="B503" s="177" t="n">
        <v>45424</v>
      </c>
      <c r="C503" s="177" t="n">
        <v>1403</v>
      </c>
      <c r="D503" s="177" t="n">
        <v>2</v>
      </c>
      <c r="E503" s="178" t="inlineStr">
        <is>
          <t>1403/02/23</t>
        </is>
      </c>
      <c r="F503" s="134" t="inlineStr">
        <is>
          <t>1403/02</t>
        </is>
      </c>
      <c r="G503" s="61" t="inlineStr">
        <is>
          <t>اردیبهشت</t>
        </is>
      </c>
      <c r="H503" s="134" t="inlineStr">
        <is>
          <t>بهار</t>
        </is>
      </c>
      <c r="I503" s="134" t="inlineStr">
        <is>
          <t>یکشنبه</t>
        </is>
      </c>
      <c r="J503" s="134" t="inlineStr">
        <is>
          <t>خیر</t>
        </is>
      </c>
    </row>
    <row r="504">
      <c r="A504" s="173" t="n">
        <v>45425</v>
      </c>
      <c r="B504" s="174" t="n">
        <v>45425</v>
      </c>
      <c r="C504" s="174" t="n">
        <v>1403</v>
      </c>
      <c r="D504" s="174" t="n">
        <v>2</v>
      </c>
      <c r="E504" s="175" t="inlineStr">
        <is>
          <t>1403/02/24</t>
        </is>
      </c>
      <c r="F504" s="128" t="inlineStr">
        <is>
          <t>1403/02</t>
        </is>
      </c>
      <c r="G504" s="58" t="inlineStr">
        <is>
          <t>اردیبهشت</t>
        </is>
      </c>
      <c r="H504" s="128" t="inlineStr">
        <is>
          <t>بهار</t>
        </is>
      </c>
      <c r="I504" s="128" t="inlineStr">
        <is>
          <t>دوشنبه</t>
        </is>
      </c>
      <c r="J504" s="128" t="inlineStr">
        <is>
          <t>بله</t>
        </is>
      </c>
    </row>
    <row r="505">
      <c r="A505" s="176" t="n">
        <v>45426</v>
      </c>
      <c r="B505" s="177" t="n">
        <v>45426</v>
      </c>
      <c r="C505" s="177" t="n">
        <v>1403</v>
      </c>
      <c r="D505" s="177" t="n">
        <v>2</v>
      </c>
      <c r="E505" s="178" t="inlineStr">
        <is>
          <t>1403/02/25</t>
        </is>
      </c>
      <c r="F505" s="134" t="inlineStr">
        <is>
          <t>1403/02</t>
        </is>
      </c>
      <c r="G505" s="61" t="inlineStr">
        <is>
          <t>اردیبهشت</t>
        </is>
      </c>
      <c r="H505" s="134" t="inlineStr">
        <is>
          <t>بهار</t>
        </is>
      </c>
      <c r="I505" s="134" t="inlineStr">
        <is>
          <t>سه‌شنبه</t>
        </is>
      </c>
      <c r="J505" s="134" t="inlineStr">
        <is>
          <t>بله</t>
        </is>
      </c>
    </row>
    <row r="506">
      <c r="A506" s="173" t="n">
        <v>45427</v>
      </c>
      <c r="B506" s="174" t="n">
        <v>45427</v>
      </c>
      <c r="C506" s="174" t="n">
        <v>1403</v>
      </c>
      <c r="D506" s="174" t="n">
        <v>2</v>
      </c>
      <c r="E506" s="175" t="inlineStr">
        <is>
          <t>1403/02/26</t>
        </is>
      </c>
      <c r="F506" s="128" t="inlineStr">
        <is>
          <t>1403/02</t>
        </is>
      </c>
      <c r="G506" s="58" t="inlineStr">
        <is>
          <t>اردیبهشت</t>
        </is>
      </c>
      <c r="H506" s="128" t="inlineStr">
        <is>
          <t>بهار</t>
        </is>
      </c>
      <c r="I506" s="128" t="inlineStr">
        <is>
          <t>چهارشنبه</t>
        </is>
      </c>
      <c r="J506" s="128" t="inlineStr">
        <is>
          <t>بله</t>
        </is>
      </c>
    </row>
    <row r="507">
      <c r="A507" s="176" t="n">
        <v>45428</v>
      </c>
      <c r="B507" s="177" t="n">
        <v>45428</v>
      </c>
      <c r="C507" s="177" t="n">
        <v>1403</v>
      </c>
      <c r="D507" s="177" t="n">
        <v>2</v>
      </c>
      <c r="E507" s="178" t="inlineStr">
        <is>
          <t>1403/02/27</t>
        </is>
      </c>
      <c r="F507" s="134" t="inlineStr">
        <is>
          <t>1403/02</t>
        </is>
      </c>
      <c r="G507" s="61" t="inlineStr">
        <is>
          <t>اردیبهشت</t>
        </is>
      </c>
      <c r="H507" s="134" t="inlineStr">
        <is>
          <t>بهار</t>
        </is>
      </c>
      <c r="I507" s="134" t="inlineStr">
        <is>
          <t>پنجشنبه</t>
        </is>
      </c>
      <c r="J507" s="134" t="inlineStr">
        <is>
          <t>بله</t>
        </is>
      </c>
    </row>
    <row r="508">
      <c r="A508" s="173" t="n">
        <v>45429</v>
      </c>
      <c r="B508" s="174" t="n">
        <v>45429</v>
      </c>
      <c r="C508" s="174" t="n">
        <v>1403</v>
      </c>
      <c r="D508" s="174" t="n">
        <v>2</v>
      </c>
      <c r="E508" s="175" t="inlineStr">
        <is>
          <t>1403/02/28</t>
        </is>
      </c>
      <c r="F508" s="128" t="inlineStr">
        <is>
          <t>1403/02</t>
        </is>
      </c>
      <c r="G508" s="58" t="inlineStr">
        <is>
          <t>اردیبهشت</t>
        </is>
      </c>
      <c r="H508" s="128" t="inlineStr">
        <is>
          <t>بهار</t>
        </is>
      </c>
      <c r="I508" s="128" t="inlineStr">
        <is>
          <t>جمعه</t>
        </is>
      </c>
      <c r="J508" s="128" t="inlineStr">
        <is>
          <t>بله</t>
        </is>
      </c>
    </row>
    <row r="509">
      <c r="A509" s="176" t="n">
        <v>45430</v>
      </c>
      <c r="B509" s="177" t="n">
        <v>45430</v>
      </c>
      <c r="C509" s="177" t="n">
        <v>1403</v>
      </c>
      <c r="D509" s="177" t="n">
        <v>2</v>
      </c>
      <c r="E509" s="178" t="inlineStr">
        <is>
          <t>1403/02/29</t>
        </is>
      </c>
      <c r="F509" s="134" t="inlineStr">
        <is>
          <t>1403/02</t>
        </is>
      </c>
      <c r="G509" s="61" t="inlineStr">
        <is>
          <t>اردیبهشت</t>
        </is>
      </c>
      <c r="H509" s="134" t="inlineStr">
        <is>
          <t>بهار</t>
        </is>
      </c>
      <c r="I509" s="134" t="inlineStr">
        <is>
          <t>شنبه</t>
        </is>
      </c>
      <c r="J509" s="134" t="inlineStr">
        <is>
          <t>خیر</t>
        </is>
      </c>
    </row>
    <row r="510">
      <c r="A510" s="173" t="n">
        <v>45431</v>
      </c>
      <c r="B510" s="174" t="n">
        <v>45431</v>
      </c>
      <c r="C510" s="174" t="n">
        <v>1403</v>
      </c>
      <c r="D510" s="174" t="n">
        <v>2</v>
      </c>
      <c r="E510" s="175" t="inlineStr">
        <is>
          <t>1403/02/30</t>
        </is>
      </c>
      <c r="F510" s="128" t="inlineStr">
        <is>
          <t>1403/02</t>
        </is>
      </c>
      <c r="G510" s="58" t="inlineStr">
        <is>
          <t>اردیبهشت</t>
        </is>
      </c>
      <c r="H510" s="128" t="inlineStr">
        <is>
          <t>بهار</t>
        </is>
      </c>
      <c r="I510" s="128" t="inlineStr">
        <is>
          <t>یکشنبه</t>
        </is>
      </c>
      <c r="J510" s="128" t="inlineStr">
        <is>
          <t>خیر</t>
        </is>
      </c>
    </row>
    <row r="511">
      <c r="A511" s="176" t="n">
        <v>45432</v>
      </c>
      <c r="B511" s="177" t="n">
        <v>45432</v>
      </c>
      <c r="C511" s="177" t="n">
        <v>1403</v>
      </c>
      <c r="D511" s="177" t="n">
        <v>2</v>
      </c>
      <c r="E511" s="178" t="inlineStr">
        <is>
          <t>1403/02/31</t>
        </is>
      </c>
      <c r="F511" s="134" t="inlineStr">
        <is>
          <t>1403/02</t>
        </is>
      </c>
      <c r="G511" s="61" t="inlineStr">
        <is>
          <t>اردیبهشت</t>
        </is>
      </c>
      <c r="H511" s="134" t="inlineStr">
        <is>
          <t>بهار</t>
        </is>
      </c>
      <c r="I511" s="134" t="inlineStr">
        <is>
          <t>دوشنبه</t>
        </is>
      </c>
      <c r="J511" s="134" t="inlineStr">
        <is>
          <t>بله</t>
        </is>
      </c>
    </row>
    <row r="512">
      <c r="A512" s="173" t="n">
        <v>45433</v>
      </c>
      <c r="B512" s="174" t="n">
        <v>45433</v>
      </c>
      <c r="C512" s="174" t="n">
        <v>1403</v>
      </c>
      <c r="D512" s="174" t="n">
        <v>3</v>
      </c>
      <c r="E512" s="175" t="inlineStr">
        <is>
          <t>1403/03/01</t>
        </is>
      </c>
      <c r="F512" s="128" t="inlineStr">
        <is>
          <t>1403/03</t>
        </is>
      </c>
      <c r="G512" s="58" t="inlineStr">
        <is>
          <t>خرداد</t>
        </is>
      </c>
      <c r="H512" s="128" t="inlineStr">
        <is>
          <t>بهار</t>
        </is>
      </c>
      <c r="I512" s="128" t="inlineStr">
        <is>
          <t>سه‌شنبه</t>
        </is>
      </c>
      <c r="J512" s="128" t="inlineStr">
        <is>
          <t>بله</t>
        </is>
      </c>
    </row>
    <row r="513">
      <c r="A513" s="176" t="n">
        <v>45434</v>
      </c>
      <c r="B513" s="177" t="n">
        <v>45434</v>
      </c>
      <c r="C513" s="177" t="n">
        <v>1403</v>
      </c>
      <c r="D513" s="177" t="n">
        <v>3</v>
      </c>
      <c r="E513" s="178" t="inlineStr">
        <is>
          <t>1403/03/02</t>
        </is>
      </c>
      <c r="F513" s="134" t="inlineStr">
        <is>
          <t>1403/03</t>
        </is>
      </c>
      <c r="G513" s="61" t="inlineStr">
        <is>
          <t>خرداد</t>
        </is>
      </c>
      <c r="H513" s="134" t="inlineStr">
        <is>
          <t>بهار</t>
        </is>
      </c>
      <c r="I513" s="134" t="inlineStr">
        <is>
          <t>چهارشنبه</t>
        </is>
      </c>
      <c r="J513" s="134" t="inlineStr">
        <is>
          <t>بله</t>
        </is>
      </c>
    </row>
    <row r="514">
      <c r="A514" s="173" t="n">
        <v>45435</v>
      </c>
      <c r="B514" s="174" t="n">
        <v>45435</v>
      </c>
      <c r="C514" s="174" t="n">
        <v>1403</v>
      </c>
      <c r="D514" s="174" t="n">
        <v>3</v>
      </c>
      <c r="E514" s="175" t="inlineStr">
        <is>
          <t>1403/03/03</t>
        </is>
      </c>
      <c r="F514" s="128" t="inlineStr">
        <is>
          <t>1403/03</t>
        </is>
      </c>
      <c r="G514" s="58" t="inlineStr">
        <is>
          <t>خرداد</t>
        </is>
      </c>
      <c r="H514" s="128" t="inlineStr">
        <is>
          <t>بهار</t>
        </is>
      </c>
      <c r="I514" s="128" t="inlineStr">
        <is>
          <t>پنجشنبه</t>
        </is>
      </c>
      <c r="J514" s="128" t="inlineStr">
        <is>
          <t>بله</t>
        </is>
      </c>
    </row>
    <row r="515">
      <c r="A515" s="176" t="n">
        <v>45436</v>
      </c>
      <c r="B515" s="177" t="n">
        <v>45436</v>
      </c>
      <c r="C515" s="177" t="n">
        <v>1403</v>
      </c>
      <c r="D515" s="177" t="n">
        <v>3</v>
      </c>
      <c r="E515" s="178" t="inlineStr">
        <is>
          <t>1403/03/04</t>
        </is>
      </c>
      <c r="F515" s="134" t="inlineStr">
        <is>
          <t>1403/03</t>
        </is>
      </c>
      <c r="G515" s="61" t="inlineStr">
        <is>
          <t>خرداد</t>
        </is>
      </c>
      <c r="H515" s="134" t="inlineStr">
        <is>
          <t>بهار</t>
        </is>
      </c>
      <c r="I515" s="134" t="inlineStr">
        <is>
          <t>جمعه</t>
        </is>
      </c>
      <c r="J515" s="134" t="inlineStr">
        <is>
          <t>بله</t>
        </is>
      </c>
    </row>
    <row r="516">
      <c r="A516" s="173" t="n">
        <v>45437</v>
      </c>
      <c r="B516" s="174" t="n">
        <v>45437</v>
      </c>
      <c r="C516" s="174" t="n">
        <v>1403</v>
      </c>
      <c r="D516" s="174" t="n">
        <v>3</v>
      </c>
      <c r="E516" s="175" t="inlineStr">
        <is>
          <t>1403/03/05</t>
        </is>
      </c>
      <c r="F516" s="128" t="inlineStr">
        <is>
          <t>1403/03</t>
        </is>
      </c>
      <c r="G516" s="58" t="inlineStr">
        <is>
          <t>خرداد</t>
        </is>
      </c>
      <c r="H516" s="128" t="inlineStr">
        <is>
          <t>بهار</t>
        </is>
      </c>
      <c r="I516" s="128" t="inlineStr">
        <is>
          <t>شنبه</t>
        </is>
      </c>
      <c r="J516" s="128" t="inlineStr">
        <is>
          <t>خیر</t>
        </is>
      </c>
    </row>
    <row r="517">
      <c r="A517" s="176" t="n">
        <v>45438</v>
      </c>
      <c r="B517" s="177" t="n">
        <v>45438</v>
      </c>
      <c r="C517" s="177" t="n">
        <v>1403</v>
      </c>
      <c r="D517" s="177" t="n">
        <v>3</v>
      </c>
      <c r="E517" s="178" t="inlineStr">
        <is>
          <t>1403/03/06</t>
        </is>
      </c>
      <c r="F517" s="134" t="inlineStr">
        <is>
          <t>1403/03</t>
        </is>
      </c>
      <c r="G517" s="61" t="inlineStr">
        <is>
          <t>خرداد</t>
        </is>
      </c>
      <c r="H517" s="134" t="inlineStr">
        <is>
          <t>بهار</t>
        </is>
      </c>
      <c r="I517" s="134" t="inlineStr">
        <is>
          <t>یکشنبه</t>
        </is>
      </c>
      <c r="J517" s="134" t="inlineStr">
        <is>
          <t>خیر</t>
        </is>
      </c>
    </row>
    <row r="518">
      <c r="A518" s="173" t="n">
        <v>45439</v>
      </c>
      <c r="B518" s="174" t="n">
        <v>45439</v>
      </c>
      <c r="C518" s="174" t="n">
        <v>1403</v>
      </c>
      <c r="D518" s="174" t="n">
        <v>3</v>
      </c>
      <c r="E518" s="175" t="inlineStr">
        <is>
          <t>1403/03/07</t>
        </is>
      </c>
      <c r="F518" s="128" t="inlineStr">
        <is>
          <t>1403/03</t>
        </is>
      </c>
      <c r="G518" s="58" t="inlineStr">
        <is>
          <t>خرداد</t>
        </is>
      </c>
      <c r="H518" s="128" t="inlineStr">
        <is>
          <t>بهار</t>
        </is>
      </c>
      <c r="I518" s="128" t="inlineStr">
        <is>
          <t>دوشنبه</t>
        </is>
      </c>
      <c r="J518" s="128" t="inlineStr">
        <is>
          <t>بله</t>
        </is>
      </c>
    </row>
    <row r="519">
      <c r="A519" s="176" t="n">
        <v>45440</v>
      </c>
      <c r="B519" s="177" t="n">
        <v>45440</v>
      </c>
      <c r="C519" s="177" t="n">
        <v>1403</v>
      </c>
      <c r="D519" s="177" t="n">
        <v>3</v>
      </c>
      <c r="E519" s="178" t="inlineStr">
        <is>
          <t>1403/03/08</t>
        </is>
      </c>
      <c r="F519" s="134" t="inlineStr">
        <is>
          <t>1403/03</t>
        </is>
      </c>
      <c r="G519" s="61" t="inlineStr">
        <is>
          <t>خرداد</t>
        </is>
      </c>
      <c r="H519" s="134" t="inlineStr">
        <is>
          <t>بهار</t>
        </is>
      </c>
      <c r="I519" s="134" t="inlineStr">
        <is>
          <t>سه‌شنبه</t>
        </is>
      </c>
      <c r="J519" s="134" t="inlineStr">
        <is>
          <t>بله</t>
        </is>
      </c>
    </row>
    <row r="520">
      <c r="A520" s="173" t="n">
        <v>45441</v>
      </c>
      <c r="B520" s="174" t="n">
        <v>45441</v>
      </c>
      <c r="C520" s="174" t="n">
        <v>1403</v>
      </c>
      <c r="D520" s="174" t="n">
        <v>3</v>
      </c>
      <c r="E520" s="175" t="inlineStr">
        <is>
          <t>1403/03/09</t>
        </is>
      </c>
      <c r="F520" s="128" t="inlineStr">
        <is>
          <t>1403/03</t>
        </is>
      </c>
      <c r="G520" s="58" t="inlineStr">
        <is>
          <t>خرداد</t>
        </is>
      </c>
      <c r="H520" s="128" t="inlineStr">
        <is>
          <t>بهار</t>
        </is>
      </c>
      <c r="I520" s="128" t="inlineStr">
        <is>
          <t>چهارشنبه</t>
        </is>
      </c>
      <c r="J520" s="128" t="inlineStr">
        <is>
          <t>بله</t>
        </is>
      </c>
    </row>
    <row r="521">
      <c r="A521" s="176" t="n">
        <v>45442</v>
      </c>
      <c r="B521" s="177" t="n">
        <v>45442</v>
      </c>
      <c r="C521" s="177" t="n">
        <v>1403</v>
      </c>
      <c r="D521" s="177" t="n">
        <v>3</v>
      </c>
      <c r="E521" s="178" t="inlineStr">
        <is>
          <t>1403/03/10</t>
        </is>
      </c>
      <c r="F521" s="134" t="inlineStr">
        <is>
          <t>1403/03</t>
        </is>
      </c>
      <c r="G521" s="61" t="inlineStr">
        <is>
          <t>خرداد</t>
        </is>
      </c>
      <c r="H521" s="134" t="inlineStr">
        <is>
          <t>بهار</t>
        </is>
      </c>
      <c r="I521" s="134" t="inlineStr">
        <is>
          <t>پنجشنبه</t>
        </is>
      </c>
      <c r="J521" s="134" t="inlineStr">
        <is>
          <t>بله</t>
        </is>
      </c>
    </row>
    <row r="522">
      <c r="A522" s="173" t="n">
        <v>45443</v>
      </c>
      <c r="B522" s="174" t="n">
        <v>45443</v>
      </c>
      <c r="C522" s="174" t="n">
        <v>1403</v>
      </c>
      <c r="D522" s="174" t="n">
        <v>3</v>
      </c>
      <c r="E522" s="175" t="inlineStr">
        <is>
          <t>1403/03/11</t>
        </is>
      </c>
      <c r="F522" s="128" t="inlineStr">
        <is>
          <t>1403/03</t>
        </is>
      </c>
      <c r="G522" s="58" t="inlineStr">
        <is>
          <t>خرداد</t>
        </is>
      </c>
      <c r="H522" s="128" t="inlineStr">
        <is>
          <t>بهار</t>
        </is>
      </c>
      <c r="I522" s="128" t="inlineStr">
        <is>
          <t>جمعه</t>
        </is>
      </c>
      <c r="J522" s="128" t="inlineStr">
        <is>
          <t>بله</t>
        </is>
      </c>
    </row>
    <row r="523">
      <c r="A523" s="176" t="n">
        <v>45444</v>
      </c>
      <c r="B523" s="177" t="n">
        <v>45444</v>
      </c>
      <c r="C523" s="177" t="n">
        <v>1403</v>
      </c>
      <c r="D523" s="177" t="n">
        <v>3</v>
      </c>
      <c r="E523" s="178" t="inlineStr">
        <is>
          <t>1403/03/12</t>
        </is>
      </c>
      <c r="F523" s="134" t="inlineStr">
        <is>
          <t>1403/03</t>
        </is>
      </c>
      <c r="G523" s="61" t="inlineStr">
        <is>
          <t>خرداد</t>
        </is>
      </c>
      <c r="H523" s="134" t="inlineStr">
        <is>
          <t>بهار</t>
        </is>
      </c>
      <c r="I523" s="134" t="inlineStr">
        <is>
          <t>شنبه</t>
        </is>
      </c>
      <c r="J523" s="134" t="inlineStr">
        <is>
          <t>خیر</t>
        </is>
      </c>
    </row>
    <row r="524">
      <c r="A524" s="173" t="n">
        <v>45445</v>
      </c>
      <c r="B524" s="174" t="n">
        <v>45445</v>
      </c>
      <c r="C524" s="174" t="n">
        <v>1403</v>
      </c>
      <c r="D524" s="174" t="n">
        <v>3</v>
      </c>
      <c r="E524" s="175" t="inlineStr">
        <is>
          <t>1403/03/13</t>
        </is>
      </c>
      <c r="F524" s="128" t="inlineStr">
        <is>
          <t>1403/03</t>
        </is>
      </c>
      <c r="G524" s="58" t="inlineStr">
        <is>
          <t>خرداد</t>
        </is>
      </c>
      <c r="H524" s="128" t="inlineStr">
        <is>
          <t>بهار</t>
        </is>
      </c>
      <c r="I524" s="128" t="inlineStr">
        <is>
          <t>یکشنبه</t>
        </is>
      </c>
      <c r="J524" s="128" t="inlineStr">
        <is>
          <t>خیر</t>
        </is>
      </c>
    </row>
    <row r="525">
      <c r="A525" s="176" t="n">
        <v>45446</v>
      </c>
      <c r="B525" s="177" t="n">
        <v>45446</v>
      </c>
      <c r="C525" s="177" t="n">
        <v>1403</v>
      </c>
      <c r="D525" s="177" t="n">
        <v>3</v>
      </c>
      <c r="E525" s="178" t="inlineStr">
        <is>
          <t>1403/03/14</t>
        </is>
      </c>
      <c r="F525" s="134" t="inlineStr">
        <is>
          <t>1403/03</t>
        </is>
      </c>
      <c r="G525" s="61" t="inlineStr">
        <is>
          <t>خرداد</t>
        </is>
      </c>
      <c r="H525" s="134" t="inlineStr">
        <is>
          <t>بهار</t>
        </is>
      </c>
      <c r="I525" s="134" t="inlineStr">
        <is>
          <t>دوشنبه</t>
        </is>
      </c>
      <c r="J525" s="134" t="inlineStr">
        <is>
          <t>بله</t>
        </is>
      </c>
    </row>
    <row r="526">
      <c r="A526" s="173" t="n">
        <v>45447</v>
      </c>
      <c r="B526" s="174" t="n">
        <v>45447</v>
      </c>
      <c r="C526" s="174" t="n">
        <v>1403</v>
      </c>
      <c r="D526" s="174" t="n">
        <v>3</v>
      </c>
      <c r="E526" s="175" t="inlineStr">
        <is>
          <t>1403/03/15</t>
        </is>
      </c>
      <c r="F526" s="128" t="inlineStr">
        <is>
          <t>1403/03</t>
        </is>
      </c>
      <c r="G526" s="58" t="inlineStr">
        <is>
          <t>خرداد</t>
        </is>
      </c>
      <c r="H526" s="128" t="inlineStr">
        <is>
          <t>بهار</t>
        </is>
      </c>
      <c r="I526" s="128" t="inlineStr">
        <is>
          <t>سه‌شنبه</t>
        </is>
      </c>
      <c r="J526" s="128" t="inlineStr">
        <is>
          <t>بله</t>
        </is>
      </c>
    </row>
    <row r="527">
      <c r="A527" s="176" t="n">
        <v>45448</v>
      </c>
      <c r="B527" s="177" t="n">
        <v>45448</v>
      </c>
      <c r="C527" s="177" t="n">
        <v>1403</v>
      </c>
      <c r="D527" s="177" t="n">
        <v>3</v>
      </c>
      <c r="E527" s="178" t="inlineStr">
        <is>
          <t>1403/03/16</t>
        </is>
      </c>
      <c r="F527" s="134" t="inlineStr">
        <is>
          <t>1403/03</t>
        </is>
      </c>
      <c r="G527" s="61" t="inlineStr">
        <is>
          <t>خرداد</t>
        </is>
      </c>
      <c r="H527" s="134" t="inlineStr">
        <is>
          <t>بهار</t>
        </is>
      </c>
      <c r="I527" s="134" t="inlineStr">
        <is>
          <t>چهارشنبه</t>
        </is>
      </c>
      <c r="J527" s="134" t="inlineStr">
        <is>
          <t>بله</t>
        </is>
      </c>
    </row>
    <row r="528">
      <c r="A528" s="173" t="n">
        <v>45449</v>
      </c>
      <c r="B528" s="174" t="n">
        <v>45449</v>
      </c>
      <c r="C528" s="174" t="n">
        <v>1403</v>
      </c>
      <c r="D528" s="174" t="n">
        <v>3</v>
      </c>
      <c r="E528" s="175" t="inlineStr">
        <is>
          <t>1403/03/17</t>
        </is>
      </c>
      <c r="F528" s="128" t="inlineStr">
        <is>
          <t>1403/03</t>
        </is>
      </c>
      <c r="G528" s="58" t="inlineStr">
        <is>
          <t>خرداد</t>
        </is>
      </c>
      <c r="H528" s="128" t="inlineStr">
        <is>
          <t>بهار</t>
        </is>
      </c>
      <c r="I528" s="128" t="inlineStr">
        <is>
          <t>پنجشنبه</t>
        </is>
      </c>
      <c r="J528" s="128" t="inlineStr">
        <is>
          <t>بله</t>
        </is>
      </c>
    </row>
    <row r="529">
      <c r="A529" s="176" t="n">
        <v>45450</v>
      </c>
      <c r="B529" s="177" t="n">
        <v>45450</v>
      </c>
      <c r="C529" s="177" t="n">
        <v>1403</v>
      </c>
      <c r="D529" s="177" t="n">
        <v>3</v>
      </c>
      <c r="E529" s="178" t="inlineStr">
        <is>
          <t>1403/03/18</t>
        </is>
      </c>
      <c r="F529" s="134" t="inlineStr">
        <is>
          <t>1403/03</t>
        </is>
      </c>
      <c r="G529" s="61" t="inlineStr">
        <is>
          <t>خرداد</t>
        </is>
      </c>
      <c r="H529" s="134" t="inlineStr">
        <is>
          <t>بهار</t>
        </is>
      </c>
      <c r="I529" s="134" t="inlineStr">
        <is>
          <t>جمعه</t>
        </is>
      </c>
      <c r="J529" s="134" t="inlineStr">
        <is>
          <t>بله</t>
        </is>
      </c>
    </row>
    <row r="530">
      <c r="A530" s="173" t="n">
        <v>45451</v>
      </c>
      <c r="B530" s="174" t="n">
        <v>45451</v>
      </c>
      <c r="C530" s="174" t="n">
        <v>1403</v>
      </c>
      <c r="D530" s="174" t="n">
        <v>3</v>
      </c>
      <c r="E530" s="175" t="inlineStr">
        <is>
          <t>1403/03/19</t>
        </is>
      </c>
      <c r="F530" s="128" t="inlineStr">
        <is>
          <t>1403/03</t>
        </is>
      </c>
      <c r="G530" s="58" t="inlineStr">
        <is>
          <t>خرداد</t>
        </is>
      </c>
      <c r="H530" s="128" t="inlineStr">
        <is>
          <t>بهار</t>
        </is>
      </c>
      <c r="I530" s="128" t="inlineStr">
        <is>
          <t>شنبه</t>
        </is>
      </c>
      <c r="J530" s="128" t="inlineStr">
        <is>
          <t>خیر</t>
        </is>
      </c>
    </row>
    <row r="531">
      <c r="A531" s="176" t="n">
        <v>45452</v>
      </c>
      <c r="B531" s="177" t="n">
        <v>45452</v>
      </c>
      <c r="C531" s="177" t="n">
        <v>1403</v>
      </c>
      <c r="D531" s="177" t="n">
        <v>3</v>
      </c>
      <c r="E531" s="178" t="inlineStr">
        <is>
          <t>1403/03/20</t>
        </is>
      </c>
      <c r="F531" s="134" t="inlineStr">
        <is>
          <t>1403/03</t>
        </is>
      </c>
      <c r="G531" s="61" t="inlineStr">
        <is>
          <t>خرداد</t>
        </is>
      </c>
      <c r="H531" s="134" t="inlineStr">
        <is>
          <t>بهار</t>
        </is>
      </c>
      <c r="I531" s="134" t="inlineStr">
        <is>
          <t>یکشنبه</t>
        </is>
      </c>
      <c r="J531" s="134" t="inlineStr">
        <is>
          <t>خیر</t>
        </is>
      </c>
    </row>
    <row r="532">
      <c r="A532" s="173" t="n">
        <v>45453</v>
      </c>
      <c r="B532" s="174" t="n">
        <v>45453</v>
      </c>
      <c r="C532" s="174" t="n">
        <v>1403</v>
      </c>
      <c r="D532" s="174" t="n">
        <v>3</v>
      </c>
      <c r="E532" s="175" t="inlineStr">
        <is>
          <t>1403/03/21</t>
        </is>
      </c>
      <c r="F532" s="128" t="inlineStr">
        <is>
          <t>1403/03</t>
        </is>
      </c>
      <c r="G532" s="58" t="inlineStr">
        <is>
          <t>خرداد</t>
        </is>
      </c>
      <c r="H532" s="128" t="inlineStr">
        <is>
          <t>بهار</t>
        </is>
      </c>
      <c r="I532" s="128" t="inlineStr">
        <is>
          <t>دوشنبه</t>
        </is>
      </c>
      <c r="J532" s="128" t="inlineStr">
        <is>
          <t>بله</t>
        </is>
      </c>
    </row>
    <row r="533">
      <c r="A533" s="176" t="n">
        <v>45454</v>
      </c>
      <c r="B533" s="177" t="n">
        <v>45454</v>
      </c>
      <c r="C533" s="177" t="n">
        <v>1403</v>
      </c>
      <c r="D533" s="177" t="n">
        <v>3</v>
      </c>
      <c r="E533" s="178" t="inlineStr">
        <is>
          <t>1403/03/22</t>
        </is>
      </c>
      <c r="F533" s="134" t="inlineStr">
        <is>
          <t>1403/03</t>
        </is>
      </c>
      <c r="G533" s="61" t="inlineStr">
        <is>
          <t>خرداد</t>
        </is>
      </c>
      <c r="H533" s="134" t="inlineStr">
        <is>
          <t>بهار</t>
        </is>
      </c>
      <c r="I533" s="134" t="inlineStr">
        <is>
          <t>سه‌شنبه</t>
        </is>
      </c>
      <c r="J533" s="134" t="inlineStr">
        <is>
          <t>بله</t>
        </is>
      </c>
    </row>
    <row r="534">
      <c r="A534" s="173" t="n">
        <v>45455</v>
      </c>
      <c r="B534" s="174" t="n">
        <v>45455</v>
      </c>
      <c r="C534" s="174" t="n">
        <v>1403</v>
      </c>
      <c r="D534" s="174" t="n">
        <v>3</v>
      </c>
      <c r="E534" s="175" t="inlineStr">
        <is>
          <t>1403/03/23</t>
        </is>
      </c>
      <c r="F534" s="128" t="inlineStr">
        <is>
          <t>1403/03</t>
        </is>
      </c>
      <c r="G534" s="58" t="inlineStr">
        <is>
          <t>خرداد</t>
        </is>
      </c>
      <c r="H534" s="128" t="inlineStr">
        <is>
          <t>بهار</t>
        </is>
      </c>
      <c r="I534" s="128" t="inlineStr">
        <is>
          <t>چهارشنبه</t>
        </is>
      </c>
      <c r="J534" s="128" t="inlineStr">
        <is>
          <t>بله</t>
        </is>
      </c>
    </row>
    <row r="535">
      <c r="A535" s="176" t="n">
        <v>45456</v>
      </c>
      <c r="B535" s="177" t="n">
        <v>45456</v>
      </c>
      <c r="C535" s="177" t="n">
        <v>1403</v>
      </c>
      <c r="D535" s="177" t="n">
        <v>3</v>
      </c>
      <c r="E535" s="178" t="inlineStr">
        <is>
          <t>1403/03/24</t>
        </is>
      </c>
      <c r="F535" s="134" t="inlineStr">
        <is>
          <t>1403/03</t>
        </is>
      </c>
      <c r="G535" s="61" t="inlineStr">
        <is>
          <t>خرداد</t>
        </is>
      </c>
      <c r="H535" s="134" t="inlineStr">
        <is>
          <t>بهار</t>
        </is>
      </c>
      <c r="I535" s="134" t="inlineStr">
        <is>
          <t>پنجشنبه</t>
        </is>
      </c>
      <c r="J535" s="134" t="inlineStr">
        <is>
          <t>بله</t>
        </is>
      </c>
    </row>
    <row r="536">
      <c r="A536" s="173" t="n">
        <v>45457</v>
      </c>
      <c r="B536" s="174" t="n">
        <v>45457</v>
      </c>
      <c r="C536" s="174" t="n">
        <v>1403</v>
      </c>
      <c r="D536" s="174" t="n">
        <v>3</v>
      </c>
      <c r="E536" s="175" t="inlineStr">
        <is>
          <t>1403/03/25</t>
        </is>
      </c>
      <c r="F536" s="128" t="inlineStr">
        <is>
          <t>1403/03</t>
        </is>
      </c>
      <c r="G536" s="58" t="inlineStr">
        <is>
          <t>خرداد</t>
        </is>
      </c>
      <c r="H536" s="128" t="inlineStr">
        <is>
          <t>بهار</t>
        </is>
      </c>
      <c r="I536" s="128" t="inlineStr">
        <is>
          <t>جمعه</t>
        </is>
      </c>
      <c r="J536" s="128" t="inlineStr">
        <is>
          <t>بله</t>
        </is>
      </c>
    </row>
    <row r="537">
      <c r="A537" s="176" t="n">
        <v>45458</v>
      </c>
      <c r="B537" s="177" t="n">
        <v>45458</v>
      </c>
      <c r="C537" s="177" t="n">
        <v>1403</v>
      </c>
      <c r="D537" s="177" t="n">
        <v>3</v>
      </c>
      <c r="E537" s="178" t="inlineStr">
        <is>
          <t>1403/03/26</t>
        </is>
      </c>
      <c r="F537" s="134" t="inlineStr">
        <is>
          <t>1403/03</t>
        </is>
      </c>
      <c r="G537" s="61" t="inlineStr">
        <is>
          <t>خرداد</t>
        </is>
      </c>
      <c r="H537" s="134" t="inlineStr">
        <is>
          <t>بهار</t>
        </is>
      </c>
      <c r="I537" s="134" t="inlineStr">
        <is>
          <t>شنبه</t>
        </is>
      </c>
      <c r="J537" s="134" t="inlineStr">
        <is>
          <t>خیر</t>
        </is>
      </c>
    </row>
    <row r="538">
      <c r="A538" s="173" t="n">
        <v>45459</v>
      </c>
      <c r="B538" s="174" t="n">
        <v>45459</v>
      </c>
      <c r="C538" s="174" t="n">
        <v>1403</v>
      </c>
      <c r="D538" s="174" t="n">
        <v>3</v>
      </c>
      <c r="E538" s="175" t="inlineStr">
        <is>
          <t>1403/03/27</t>
        </is>
      </c>
      <c r="F538" s="128" t="inlineStr">
        <is>
          <t>1403/03</t>
        </is>
      </c>
      <c r="G538" s="58" t="inlineStr">
        <is>
          <t>خرداد</t>
        </is>
      </c>
      <c r="H538" s="128" t="inlineStr">
        <is>
          <t>بهار</t>
        </is>
      </c>
      <c r="I538" s="128" t="inlineStr">
        <is>
          <t>یکشنبه</t>
        </is>
      </c>
      <c r="J538" s="128" t="inlineStr">
        <is>
          <t>خیر</t>
        </is>
      </c>
    </row>
    <row r="539">
      <c r="A539" s="176" t="n">
        <v>45460</v>
      </c>
      <c r="B539" s="177" t="n">
        <v>45460</v>
      </c>
      <c r="C539" s="177" t="n">
        <v>1403</v>
      </c>
      <c r="D539" s="177" t="n">
        <v>3</v>
      </c>
      <c r="E539" s="178" t="inlineStr">
        <is>
          <t>1403/03/28</t>
        </is>
      </c>
      <c r="F539" s="134" t="inlineStr">
        <is>
          <t>1403/03</t>
        </is>
      </c>
      <c r="G539" s="61" t="inlineStr">
        <is>
          <t>خرداد</t>
        </is>
      </c>
      <c r="H539" s="134" t="inlineStr">
        <is>
          <t>بهار</t>
        </is>
      </c>
      <c r="I539" s="134" t="inlineStr">
        <is>
          <t>دوشنبه</t>
        </is>
      </c>
      <c r="J539" s="134" t="inlineStr">
        <is>
          <t>بله</t>
        </is>
      </c>
    </row>
    <row r="540">
      <c r="A540" s="173" t="n">
        <v>45461</v>
      </c>
      <c r="B540" s="174" t="n">
        <v>45461</v>
      </c>
      <c r="C540" s="174" t="n">
        <v>1403</v>
      </c>
      <c r="D540" s="174" t="n">
        <v>3</v>
      </c>
      <c r="E540" s="175" t="inlineStr">
        <is>
          <t>1403/03/29</t>
        </is>
      </c>
      <c r="F540" s="128" t="inlineStr">
        <is>
          <t>1403/03</t>
        </is>
      </c>
      <c r="G540" s="58" t="inlineStr">
        <is>
          <t>خرداد</t>
        </is>
      </c>
      <c r="H540" s="128" t="inlineStr">
        <is>
          <t>بهار</t>
        </is>
      </c>
      <c r="I540" s="128" t="inlineStr">
        <is>
          <t>سه‌شنبه</t>
        </is>
      </c>
      <c r="J540" s="128" t="inlineStr">
        <is>
          <t>بله</t>
        </is>
      </c>
    </row>
    <row r="541">
      <c r="A541" s="176" t="n">
        <v>45462</v>
      </c>
      <c r="B541" s="177" t="n">
        <v>45462</v>
      </c>
      <c r="C541" s="177" t="n">
        <v>1403</v>
      </c>
      <c r="D541" s="177" t="n">
        <v>3</v>
      </c>
      <c r="E541" s="178" t="inlineStr">
        <is>
          <t>1403/03/30</t>
        </is>
      </c>
      <c r="F541" s="134" t="inlineStr">
        <is>
          <t>1403/03</t>
        </is>
      </c>
      <c r="G541" s="61" t="inlineStr">
        <is>
          <t>خرداد</t>
        </is>
      </c>
      <c r="H541" s="134" t="inlineStr">
        <is>
          <t>بهار</t>
        </is>
      </c>
      <c r="I541" s="134" t="inlineStr">
        <is>
          <t>چهارشنبه</t>
        </is>
      </c>
      <c r="J541" s="134" t="inlineStr">
        <is>
          <t>بله</t>
        </is>
      </c>
    </row>
    <row r="542">
      <c r="A542" s="173" t="n">
        <v>45463</v>
      </c>
      <c r="B542" s="174" t="n">
        <v>45463</v>
      </c>
      <c r="C542" s="174" t="n">
        <v>1403</v>
      </c>
      <c r="D542" s="174" t="n">
        <v>3</v>
      </c>
      <c r="E542" s="175" t="inlineStr">
        <is>
          <t>1403/03/31</t>
        </is>
      </c>
      <c r="F542" s="128" t="inlineStr">
        <is>
          <t>1403/03</t>
        </is>
      </c>
      <c r="G542" s="58" t="inlineStr">
        <is>
          <t>خرداد</t>
        </is>
      </c>
      <c r="H542" s="128" t="inlineStr">
        <is>
          <t>بهار</t>
        </is>
      </c>
      <c r="I542" s="128" t="inlineStr">
        <is>
          <t>پنجشنبه</t>
        </is>
      </c>
      <c r="J542" s="128" t="inlineStr">
        <is>
          <t>بله</t>
        </is>
      </c>
    </row>
    <row r="543">
      <c r="A543" s="176" t="n">
        <v>45464</v>
      </c>
      <c r="B543" s="177" t="n">
        <v>45464</v>
      </c>
      <c r="C543" s="177" t="n">
        <v>1403</v>
      </c>
      <c r="D543" s="177" t="n">
        <v>4</v>
      </c>
      <c r="E543" s="178" t="inlineStr">
        <is>
          <t>1403/04/01</t>
        </is>
      </c>
      <c r="F543" s="134" t="inlineStr">
        <is>
          <t>1403/04</t>
        </is>
      </c>
      <c r="G543" s="61" t="inlineStr">
        <is>
          <t>تیر</t>
        </is>
      </c>
      <c r="H543" s="134" t="inlineStr">
        <is>
          <t>تابستان</t>
        </is>
      </c>
      <c r="I543" s="134" t="inlineStr">
        <is>
          <t>جمعه</t>
        </is>
      </c>
      <c r="J543" s="134" t="inlineStr">
        <is>
          <t>بله</t>
        </is>
      </c>
    </row>
    <row r="544">
      <c r="A544" s="173" t="n">
        <v>45465</v>
      </c>
      <c r="B544" s="174" t="n">
        <v>45465</v>
      </c>
      <c r="C544" s="174" t="n">
        <v>1403</v>
      </c>
      <c r="D544" s="174" t="n">
        <v>4</v>
      </c>
      <c r="E544" s="175" t="inlineStr">
        <is>
          <t>1403/04/02</t>
        </is>
      </c>
      <c r="F544" s="128" t="inlineStr">
        <is>
          <t>1403/04</t>
        </is>
      </c>
      <c r="G544" s="58" t="inlineStr">
        <is>
          <t>تیر</t>
        </is>
      </c>
      <c r="H544" s="128" t="inlineStr">
        <is>
          <t>تابستان</t>
        </is>
      </c>
      <c r="I544" s="128" t="inlineStr">
        <is>
          <t>شنبه</t>
        </is>
      </c>
      <c r="J544" s="128" t="inlineStr">
        <is>
          <t>خیر</t>
        </is>
      </c>
    </row>
    <row r="545">
      <c r="A545" s="176" t="n">
        <v>45466</v>
      </c>
      <c r="B545" s="177" t="n">
        <v>45466</v>
      </c>
      <c r="C545" s="177" t="n">
        <v>1403</v>
      </c>
      <c r="D545" s="177" t="n">
        <v>4</v>
      </c>
      <c r="E545" s="178" t="inlineStr">
        <is>
          <t>1403/04/03</t>
        </is>
      </c>
      <c r="F545" s="134" t="inlineStr">
        <is>
          <t>1403/04</t>
        </is>
      </c>
      <c r="G545" s="61" t="inlineStr">
        <is>
          <t>تیر</t>
        </is>
      </c>
      <c r="H545" s="134" t="inlineStr">
        <is>
          <t>تابستان</t>
        </is>
      </c>
      <c r="I545" s="134" t="inlineStr">
        <is>
          <t>یکشنبه</t>
        </is>
      </c>
      <c r="J545" s="134" t="inlineStr">
        <is>
          <t>خیر</t>
        </is>
      </c>
    </row>
    <row r="546">
      <c r="A546" s="173" t="n">
        <v>45467</v>
      </c>
      <c r="B546" s="174" t="n">
        <v>45467</v>
      </c>
      <c r="C546" s="174" t="n">
        <v>1403</v>
      </c>
      <c r="D546" s="174" t="n">
        <v>4</v>
      </c>
      <c r="E546" s="175" t="inlineStr">
        <is>
          <t>1403/04/04</t>
        </is>
      </c>
      <c r="F546" s="128" t="inlineStr">
        <is>
          <t>1403/04</t>
        </is>
      </c>
      <c r="G546" s="58" t="inlineStr">
        <is>
          <t>تیر</t>
        </is>
      </c>
      <c r="H546" s="128" t="inlineStr">
        <is>
          <t>تابستان</t>
        </is>
      </c>
      <c r="I546" s="128" t="inlineStr">
        <is>
          <t>دوشنبه</t>
        </is>
      </c>
      <c r="J546" s="128" t="inlineStr">
        <is>
          <t>بله</t>
        </is>
      </c>
    </row>
    <row r="547">
      <c r="A547" s="176" t="n">
        <v>45468</v>
      </c>
      <c r="B547" s="177" t="n">
        <v>45468</v>
      </c>
      <c r="C547" s="177" t="n">
        <v>1403</v>
      </c>
      <c r="D547" s="177" t="n">
        <v>4</v>
      </c>
      <c r="E547" s="178" t="inlineStr">
        <is>
          <t>1403/04/05</t>
        </is>
      </c>
      <c r="F547" s="134" t="inlineStr">
        <is>
          <t>1403/04</t>
        </is>
      </c>
      <c r="G547" s="61" t="inlineStr">
        <is>
          <t>تیر</t>
        </is>
      </c>
      <c r="H547" s="134" t="inlineStr">
        <is>
          <t>تابستان</t>
        </is>
      </c>
      <c r="I547" s="134" t="inlineStr">
        <is>
          <t>سه‌شنبه</t>
        </is>
      </c>
      <c r="J547" s="134" t="inlineStr">
        <is>
          <t>بله</t>
        </is>
      </c>
    </row>
    <row r="548">
      <c r="A548" s="173" t="n">
        <v>45469</v>
      </c>
      <c r="B548" s="174" t="n">
        <v>45469</v>
      </c>
      <c r="C548" s="174" t="n">
        <v>1403</v>
      </c>
      <c r="D548" s="174" t="n">
        <v>4</v>
      </c>
      <c r="E548" s="175" t="inlineStr">
        <is>
          <t>1403/04/06</t>
        </is>
      </c>
      <c r="F548" s="128" t="inlineStr">
        <is>
          <t>1403/04</t>
        </is>
      </c>
      <c r="G548" s="58" t="inlineStr">
        <is>
          <t>تیر</t>
        </is>
      </c>
      <c r="H548" s="128" t="inlineStr">
        <is>
          <t>تابستان</t>
        </is>
      </c>
      <c r="I548" s="128" t="inlineStr">
        <is>
          <t>چهارشنبه</t>
        </is>
      </c>
      <c r="J548" s="128" t="inlineStr">
        <is>
          <t>بله</t>
        </is>
      </c>
    </row>
    <row r="549">
      <c r="A549" s="176" t="n">
        <v>45470</v>
      </c>
      <c r="B549" s="177" t="n">
        <v>45470</v>
      </c>
      <c r="C549" s="177" t="n">
        <v>1403</v>
      </c>
      <c r="D549" s="177" t="n">
        <v>4</v>
      </c>
      <c r="E549" s="178" t="inlineStr">
        <is>
          <t>1403/04/07</t>
        </is>
      </c>
      <c r="F549" s="134" t="inlineStr">
        <is>
          <t>1403/04</t>
        </is>
      </c>
      <c r="G549" s="61" t="inlineStr">
        <is>
          <t>تیر</t>
        </is>
      </c>
      <c r="H549" s="134" t="inlineStr">
        <is>
          <t>تابستان</t>
        </is>
      </c>
      <c r="I549" s="134" t="inlineStr">
        <is>
          <t>پنجشنبه</t>
        </is>
      </c>
      <c r="J549" s="134" t="inlineStr">
        <is>
          <t>بله</t>
        </is>
      </c>
    </row>
    <row r="550">
      <c r="A550" s="173" t="n">
        <v>45471</v>
      </c>
      <c r="B550" s="174" t="n">
        <v>45471</v>
      </c>
      <c r="C550" s="174" t="n">
        <v>1403</v>
      </c>
      <c r="D550" s="174" t="n">
        <v>4</v>
      </c>
      <c r="E550" s="175" t="inlineStr">
        <is>
          <t>1403/04/08</t>
        </is>
      </c>
      <c r="F550" s="128" t="inlineStr">
        <is>
          <t>1403/04</t>
        </is>
      </c>
      <c r="G550" s="58" t="inlineStr">
        <is>
          <t>تیر</t>
        </is>
      </c>
      <c r="H550" s="128" t="inlineStr">
        <is>
          <t>تابستان</t>
        </is>
      </c>
      <c r="I550" s="128" t="inlineStr">
        <is>
          <t>جمعه</t>
        </is>
      </c>
      <c r="J550" s="128" t="inlineStr">
        <is>
          <t>بله</t>
        </is>
      </c>
    </row>
    <row r="551">
      <c r="A551" s="176" t="n">
        <v>45472</v>
      </c>
      <c r="B551" s="177" t="n">
        <v>45472</v>
      </c>
      <c r="C551" s="177" t="n">
        <v>1403</v>
      </c>
      <c r="D551" s="177" t="n">
        <v>4</v>
      </c>
      <c r="E551" s="178" t="inlineStr">
        <is>
          <t>1403/04/09</t>
        </is>
      </c>
      <c r="F551" s="134" t="inlineStr">
        <is>
          <t>1403/04</t>
        </is>
      </c>
      <c r="G551" s="61" t="inlineStr">
        <is>
          <t>تیر</t>
        </is>
      </c>
      <c r="H551" s="134" t="inlineStr">
        <is>
          <t>تابستان</t>
        </is>
      </c>
      <c r="I551" s="134" t="inlineStr">
        <is>
          <t>شنبه</t>
        </is>
      </c>
      <c r="J551" s="134" t="inlineStr">
        <is>
          <t>خیر</t>
        </is>
      </c>
    </row>
    <row r="552">
      <c r="A552" s="173" t="n">
        <v>45473</v>
      </c>
      <c r="B552" s="174" t="n">
        <v>45473</v>
      </c>
      <c r="C552" s="174" t="n">
        <v>1403</v>
      </c>
      <c r="D552" s="174" t="n">
        <v>4</v>
      </c>
      <c r="E552" s="175" t="inlineStr">
        <is>
          <t>1403/04/10</t>
        </is>
      </c>
      <c r="F552" s="128" t="inlineStr">
        <is>
          <t>1403/04</t>
        </is>
      </c>
      <c r="G552" s="58" t="inlineStr">
        <is>
          <t>تیر</t>
        </is>
      </c>
      <c r="H552" s="128" t="inlineStr">
        <is>
          <t>تابستان</t>
        </is>
      </c>
      <c r="I552" s="128" t="inlineStr">
        <is>
          <t>یکشنبه</t>
        </is>
      </c>
      <c r="J552" s="128" t="inlineStr">
        <is>
          <t>خیر</t>
        </is>
      </c>
    </row>
    <row r="553">
      <c r="A553" s="176" t="n">
        <v>45474</v>
      </c>
      <c r="B553" s="177" t="n">
        <v>45474</v>
      </c>
      <c r="C553" s="177" t="n">
        <v>1403</v>
      </c>
      <c r="D553" s="177" t="n">
        <v>4</v>
      </c>
      <c r="E553" s="178" t="inlineStr">
        <is>
          <t>1403/04/11</t>
        </is>
      </c>
      <c r="F553" s="134" t="inlineStr">
        <is>
          <t>1403/04</t>
        </is>
      </c>
      <c r="G553" s="61" t="inlineStr">
        <is>
          <t>تیر</t>
        </is>
      </c>
      <c r="H553" s="134" t="inlineStr">
        <is>
          <t>تابستان</t>
        </is>
      </c>
      <c r="I553" s="134" t="inlineStr">
        <is>
          <t>دوشنبه</t>
        </is>
      </c>
      <c r="J553" s="134" t="inlineStr">
        <is>
          <t>بله</t>
        </is>
      </c>
    </row>
    <row r="554">
      <c r="A554" s="173" t="n">
        <v>45475</v>
      </c>
      <c r="B554" s="174" t="n">
        <v>45475</v>
      </c>
      <c r="C554" s="174" t="n">
        <v>1403</v>
      </c>
      <c r="D554" s="174" t="n">
        <v>4</v>
      </c>
      <c r="E554" s="175" t="inlineStr">
        <is>
          <t>1403/04/12</t>
        </is>
      </c>
      <c r="F554" s="128" t="inlineStr">
        <is>
          <t>1403/04</t>
        </is>
      </c>
      <c r="G554" s="58" t="inlineStr">
        <is>
          <t>تیر</t>
        </is>
      </c>
      <c r="H554" s="128" t="inlineStr">
        <is>
          <t>تابستان</t>
        </is>
      </c>
      <c r="I554" s="128" t="inlineStr">
        <is>
          <t>سه‌شنبه</t>
        </is>
      </c>
      <c r="J554" s="128" t="inlineStr">
        <is>
          <t>بله</t>
        </is>
      </c>
    </row>
    <row r="555">
      <c r="A555" s="176" t="n">
        <v>45476</v>
      </c>
      <c r="B555" s="177" t="n">
        <v>45476</v>
      </c>
      <c r="C555" s="177" t="n">
        <v>1403</v>
      </c>
      <c r="D555" s="177" t="n">
        <v>4</v>
      </c>
      <c r="E555" s="178" t="inlineStr">
        <is>
          <t>1403/04/13</t>
        </is>
      </c>
      <c r="F555" s="134" t="inlineStr">
        <is>
          <t>1403/04</t>
        </is>
      </c>
      <c r="G555" s="61" t="inlineStr">
        <is>
          <t>تیر</t>
        </is>
      </c>
      <c r="H555" s="134" t="inlineStr">
        <is>
          <t>تابستان</t>
        </is>
      </c>
      <c r="I555" s="134" t="inlineStr">
        <is>
          <t>چهارشنبه</t>
        </is>
      </c>
      <c r="J555" s="134" t="inlineStr">
        <is>
          <t>بله</t>
        </is>
      </c>
    </row>
    <row r="556">
      <c r="A556" s="173" t="n">
        <v>45477</v>
      </c>
      <c r="B556" s="174" t="n">
        <v>45477</v>
      </c>
      <c r="C556" s="174" t="n">
        <v>1403</v>
      </c>
      <c r="D556" s="174" t="n">
        <v>4</v>
      </c>
      <c r="E556" s="175" t="inlineStr">
        <is>
          <t>1403/04/14</t>
        </is>
      </c>
      <c r="F556" s="128" t="inlineStr">
        <is>
          <t>1403/04</t>
        </is>
      </c>
      <c r="G556" s="58" t="inlineStr">
        <is>
          <t>تیر</t>
        </is>
      </c>
      <c r="H556" s="128" t="inlineStr">
        <is>
          <t>تابستان</t>
        </is>
      </c>
      <c r="I556" s="128" t="inlineStr">
        <is>
          <t>پنجشنبه</t>
        </is>
      </c>
      <c r="J556" s="128" t="inlineStr">
        <is>
          <t>بله</t>
        </is>
      </c>
    </row>
    <row r="557">
      <c r="A557" s="176" t="n">
        <v>45478</v>
      </c>
      <c r="B557" s="177" t="n">
        <v>45478</v>
      </c>
      <c r="C557" s="177" t="n">
        <v>1403</v>
      </c>
      <c r="D557" s="177" t="n">
        <v>4</v>
      </c>
      <c r="E557" s="178" t="inlineStr">
        <is>
          <t>1403/04/15</t>
        </is>
      </c>
      <c r="F557" s="134" t="inlineStr">
        <is>
          <t>1403/04</t>
        </is>
      </c>
      <c r="G557" s="61" t="inlineStr">
        <is>
          <t>تیر</t>
        </is>
      </c>
      <c r="H557" s="134" t="inlineStr">
        <is>
          <t>تابستان</t>
        </is>
      </c>
      <c r="I557" s="134" t="inlineStr">
        <is>
          <t>جمعه</t>
        </is>
      </c>
      <c r="J557" s="134" t="inlineStr">
        <is>
          <t>بله</t>
        </is>
      </c>
    </row>
    <row r="558">
      <c r="A558" s="173" t="n">
        <v>45479</v>
      </c>
      <c r="B558" s="174" t="n">
        <v>45479</v>
      </c>
      <c r="C558" s="174" t="n">
        <v>1403</v>
      </c>
      <c r="D558" s="174" t="n">
        <v>4</v>
      </c>
      <c r="E558" s="175" t="inlineStr">
        <is>
          <t>1403/04/16</t>
        </is>
      </c>
      <c r="F558" s="128" t="inlineStr">
        <is>
          <t>1403/04</t>
        </is>
      </c>
      <c r="G558" s="58" t="inlineStr">
        <is>
          <t>تیر</t>
        </is>
      </c>
      <c r="H558" s="128" t="inlineStr">
        <is>
          <t>تابستان</t>
        </is>
      </c>
      <c r="I558" s="128" t="inlineStr">
        <is>
          <t>شنبه</t>
        </is>
      </c>
      <c r="J558" s="128" t="inlineStr">
        <is>
          <t>خیر</t>
        </is>
      </c>
    </row>
    <row r="559">
      <c r="A559" s="176" t="n">
        <v>45480</v>
      </c>
      <c r="B559" s="177" t="n">
        <v>45480</v>
      </c>
      <c r="C559" s="177" t="n">
        <v>1403</v>
      </c>
      <c r="D559" s="177" t="n">
        <v>4</v>
      </c>
      <c r="E559" s="178" t="inlineStr">
        <is>
          <t>1403/04/17</t>
        </is>
      </c>
      <c r="F559" s="134" t="inlineStr">
        <is>
          <t>1403/04</t>
        </is>
      </c>
      <c r="G559" s="61" t="inlineStr">
        <is>
          <t>تیر</t>
        </is>
      </c>
      <c r="H559" s="134" t="inlineStr">
        <is>
          <t>تابستان</t>
        </is>
      </c>
      <c r="I559" s="134" t="inlineStr">
        <is>
          <t>یکشنبه</t>
        </is>
      </c>
      <c r="J559" s="134" t="inlineStr">
        <is>
          <t>خیر</t>
        </is>
      </c>
    </row>
    <row r="560">
      <c r="A560" s="173" t="n">
        <v>45481</v>
      </c>
      <c r="B560" s="174" t="n">
        <v>45481</v>
      </c>
      <c r="C560" s="174" t="n">
        <v>1403</v>
      </c>
      <c r="D560" s="174" t="n">
        <v>4</v>
      </c>
      <c r="E560" s="175" t="inlineStr">
        <is>
          <t>1403/04/18</t>
        </is>
      </c>
      <c r="F560" s="128" t="inlineStr">
        <is>
          <t>1403/04</t>
        </is>
      </c>
      <c r="G560" s="58" t="inlineStr">
        <is>
          <t>تیر</t>
        </is>
      </c>
      <c r="H560" s="128" t="inlineStr">
        <is>
          <t>تابستان</t>
        </is>
      </c>
      <c r="I560" s="128" t="inlineStr">
        <is>
          <t>دوشنبه</t>
        </is>
      </c>
      <c r="J560" s="128" t="inlineStr">
        <is>
          <t>بله</t>
        </is>
      </c>
    </row>
    <row r="561">
      <c r="A561" s="176" t="n">
        <v>45482</v>
      </c>
      <c r="B561" s="177" t="n">
        <v>45482</v>
      </c>
      <c r="C561" s="177" t="n">
        <v>1403</v>
      </c>
      <c r="D561" s="177" t="n">
        <v>4</v>
      </c>
      <c r="E561" s="178" t="inlineStr">
        <is>
          <t>1403/04/19</t>
        </is>
      </c>
      <c r="F561" s="134" t="inlineStr">
        <is>
          <t>1403/04</t>
        </is>
      </c>
      <c r="G561" s="61" t="inlineStr">
        <is>
          <t>تیر</t>
        </is>
      </c>
      <c r="H561" s="134" t="inlineStr">
        <is>
          <t>تابستان</t>
        </is>
      </c>
      <c r="I561" s="134" t="inlineStr">
        <is>
          <t>سه‌شنبه</t>
        </is>
      </c>
      <c r="J561" s="134" t="inlineStr">
        <is>
          <t>بله</t>
        </is>
      </c>
    </row>
    <row r="562">
      <c r="A562" s="173" t="n">
        <v>45483</v>
      </c>
      <c r="B562" s="174" t="n">
        <v>45483</v>
      </c>
      <c r="C562" s="174" t="n">
        <v>1403</v>
      </c>
      <c r="D562" s="174" t="n">
        <v>4</v>
      </c>
      <c r="E562" s="175" t="inlineStr">
        <is>
          <t>1403/04/20</t>
        </is>
      </c>
      <c r="F562" s="128" t="inlineStr">
        <is>
          <t>1403/04</t>
        </is>
      </c>
      <c r="G562" s="58" t="inlineStr">
        <is>
          <t>تیر</t>
        </is>
      </c>
      <c r="H562" s="128" t="inlineStr">
        <is>
          <t>تابستان</t>
        </is>
      </c>
      <c r="I562" s="128" t="inlineStr">
        <is>
          <t>چهارشنبه</t>
        </is>
      </c>
      <c r="J562" s="128" t="inlineStr">
        <is>
          <t>بله</t>
        </is>
      </c>
    </row>
    <row r="563">
      <c r="A563" s="176" t="n">
        <v>45484</v>
      </c>
      <c r="B563" s="177" t="n">
        <v>45484</v>
      </c>
      <c r="C563" s="177" t="n">
        <v>1403</v>
      </c>
      <c r="D563" s="177" t="n">
        <v>4</v>
      </c>
      <c r="E563" s="178" t="inlineStr">
        <is>
          <t>1403/04/21</t>
        </is>
      </c>
      <c r="F563" s="134" t="inlineStr">
        <is>
          <t>1403/04</t>
        </is>
      </c>
      <c r="G563" s="61" t="inlineStr">
        <is>
          <t>تیر</t>
        </is>
      </c>
      <c r="H563" s="134" t="inlineStr">
        <is>
          <t>تابستان</t>
        </is>
      </c>
      <c r="I563" s="134" t="inlineStr">
        <is>
          <t>پنجشنبه</t>
        </is>
      </c>
      <c r="J563" s="134" t="inlineStr">
        <is>
          <t>بله</t>
        </is>
      </c>
    </row>
    <row r="564">
      <c r="A564" s="173" t="n">
        <v>45485</v>
      </c>
      <c r="B564" s="174" t="n">
        <v>45485</v>
      </c>
      <c r="C564" s="174" t="n">
        <v>1403</v>
      </c>
      <c r="D564" s="174" t="n">
        <v>4</v>
      </c>
      <c r="E564" s="175" t="inlineStr">
        <is>
          <t>1403/04/22</t>
        </is>
      </c>
      <c r="F564" s="128" t="inlineStr">
        <is>
          <t>1403/04</t>
        </is>
      </c>
      <c r="G564" s="58" t="inlineStr">
        <is>
          <t>تیر</t>
        </is>
      </c>
      <c r="H564" s="128" t="inlineStr">
        <is>
          <t>تابستان</t>
        </is>
      </c>
      <c r="I564" s="128" t="inlineStr">
        <is>
          <t>جمعه</t>
        </is>
      </c>
      <c r="J564" s="128" t="inlineStr">
        <is>
          <t>بله</t>
        </is>
      </c>
    </row>
    <row r="565">
      <c r="A565" s="176" t="n">
        <v>45486</v>
      </c>
      <c r="B565" s="177" t="n">
        <v>45486</v>
      </c>
      <c r="C565" s="177" t="n">
        <v>1403</v>
      </c>
      <c r="D565" s="177" t="n">
        <v>4</v>
      </c>
      <c r="E565" s="178" t="inlineStr">
        <is>
          <t>1403/04/23</t>
        </is>
      </c>
      <c r="F565" s="134" t="inlineStr">
        <is>
          <t>1403/04</t>
        </is>
      </c>
      <c r="G565" s="61" t="inlineStr">
        <is>
          <t>تیر</t>
        </is>
      </c>
      <c r="H565" s="134" t="inlineStr">
        <is>
          <t>تابستان</t>
        </is>
      </c>
      <c r="I565" s="134" t="inlineStr">
        <is>
          <t>شنبه</t>
        </is>
      </c>
      <c r="J565" s="134" t="inlineStr">
        <is>
          <t>خیر</t>
        </is>
      </c>
    </row>
    <row r="566">
      <c r="A566" s="173" t="n">
        <v>45487</v>
      </c>
      <c r="B566" s="174" t="n">
        <v>45487</v>
      </c>
      <c r="C566" s="174" t="n">
        <v>1403</v>
      </c>
      <c r="D566" s="174" t="n">
        <v>4</v>
      </c>
      <c r="E566" s="175" t="inlineStr">
        <is>
          <t>1403/04/24</t>
        </is>
      </c>
      <c r="F566" s="128" t="inlineStr">
        <is>
          <t>1403/04</t>
        </is>
      </c>
      <c r="G566" s="58" t="inlineStr">
        <is>
          <t>تیر</t>
        </is>
      </c>
      <c r="H566" s="128" t="inlineStr">
        <is>
          <t>تابستان</t>
        </is>
      </c>
      <c r="I566" s="128" t="inlineStr">
        <is>
          <t>یکشنبه</t>
        </is>
      </c>
      <c r="J566" s="128" t="inlineStr">
        <is>
          <t>خیر</t>
        </is>
      </c>
    </row>
    <row r="567">
      <c r="A567" s="176" t="n">
        <v>45488</v>
      </c>
      <c r="B567" s="177" t="n">
        <v>45488</v>
      </c>
      <c r="C567" s="177" t="n">
        <v>1403</v>
      </c>
      <c r="D567" s="177" t="n">
        <v>4</v>
      </c>
      <c r="E567" s="178" t="inlineStr">
        <is>
          <t>1403/04/25</t>
        </is>
      </c>
      <c r="F567" s="134" t="inlineStr">
        <is>
          <t>1403/04</t>
        </is>
      </c>
      <c r="G567" s="61" t="inlineStr">
        <is>
          <t>تیر</t>
        </is>
      </c>
      <c r="H567" s="134" t="inlineStr">
        <is>
          <t>تابستان</t>
        </is>
      </c>
      <c r="I567" s="134" t="inlineStr">
        <is>
          <t>دوشنبه</t>
        </is>
      </c>
      <c r="J567" s="134" t="inlineStr">
        <is>
          <t>بله</t>
        </is>
      </c>
    </row>
    <row r="568">
      <c r="A568" s="173" t="n">
        <v>45489</v>
      </c>
      <c r="B568" s="174" t="n">
        <v>45489</v>
      </c>
      <c r="C568" s="174" t="n">
        <v>1403</v>
      </c>
      <c r="D568" s="174" t="n">
        <v>4</v>
      </c>
      <c r="E568" s="175" t="inlineStr">
        <is>
          <t>1403/04/26</t>
        </is>
      </c>
      <c r="F568" s="128" t="inlineStr">
        <is>
          <t>1403/04</t>
        </is>
      </c>
      <c r="G568" s="58" t="inlineStr">
        <is>
          <t>تیر</t>
        </is>
      </c>
      <c r="H568" s="128" t="inlineStr">
        <is>
          <t>تابستان</t>
        </is>
      </c>
      <c r="I568" s="128" t="inlineStr">
        <is>
          <t>سه‌شنبه</t>
        </is>
      </c>
      <c r="J568" s="128" t="inlineStr">
        <is>
          <t>بله</t>
        </is>
      </c>
    </row>
    <row r="569">
      <c r="A569" s="176" t="n">
        <v>45490</v>
      </c>
      <c r="B569" s="177" t="n">
        <v>45490</v>
      </c>
      <c r="C569" s="177" t="n">
        <v>1403</v>
      </c>
      <c r="D569" s="177" t="n">
        <v>4</v>
      </c>
      <c r="E569" s="178" t="inlineStr">
        <is>
          <t>1403/04/27</t>
        </is>
      </c>
      <c r="F569" s="134" t="inlineStr">
        <is>
          <t>1403/04</t>
        </is>
      </c>
      <c r="G569" s="61" t="inlineStr">
        <is>
          <t>تیر</t>
        </is>
      </c>
      <c r="H569" s="134" t="inlineStr">
        <is>
          <t>تابستان</t>
        </is>
      </c>
      <c r="I569" s="134" t="inlineStr">
        <is>
          <t>چهارشنبه</t>
        </is>
      </c>
      <c r="J569" s="134" t="inlineStr">
        <is>
          <t>بله</t>
        </is>
      </c>
    </row>
    <row r="570">
      <c r="A570" s="173" t="n">
        <v>45491</v>
      </c>
      <c r="B570" s="174" t="n">
        <v>45491</v>
      </c>
      <c r="C570" s="174" t="n">
        <v>1403</v>
      </c>
      <c r="D570" s="174" t="n">
        <v>4</v>
      </c>
      <c r="E570" s="175" t="inlineStr">
        <is>
          <t>1403/04/28</t>
        </is>
      </c>
      <c r="F570" s="128" t="inlineStr">
        <is>
          <t>1403/04</t>
        </is>
      </c>
      <c r="G570" s="58" t="inlineStr">
        <is>
          <t>تیر</t>
        </is>
      </c>
      <c r="H570" s="128" t="inlineStr">
        <is>
          <t>تابستان</t>
        </is>
      </c>
      <c r="I570" s="128" t="inlineStr">
        <is>
          <t>پنجشنبه</t>
        </is>
      </c>
      <c r="J570" s="128" t="inlineStr">
        <is>
          <t>بله</t>
        </is>
      </c>
    </row>
    <row r="571">
      <c r="A571" s="176" t="n">
        <v>45492</v>
      </c>
      <c r="B571" s="177" t="n">
        <v>45492</v>
      </c>
      <c r="C571" s="177" t="n">
        <v>1403</v>
      </c>
      <c r="D571" s="177" t="n">
        <v>4</v>
      </c>
      <c r="E571" s="178" t="inlineStr">
        <is>
          <t>1403/04/29</t>
        </is>
      </c>
      <c r="F571" s="134" t="inlineStr">
        <is>
          <t>1403/04</t>
        </is>
      </c>
      <c r="G571" s="61" t="inlineStr">
        <is>
          <t>تیر</t>
        </is>
      </c>
      <c r="H571" s="134" t="inlineStr">
        <is>
          <t>تابستان</t>
        </is>
      </c>
      <c r="I571" s="134" t="inlineStr">
        <is>
          <t>جمعه</t>
        </is>
      </c>
      <c r="J571" s="134" t="inlineStr">
        <is>
          <t>بله</t>
        </is>
      </c>
    </row>
    <row r="572">
      <c r="A572" s="173" t="n">
        <v>45493</v>
      </c>
      <c r="B572" s="174" t="n">
        <v>45493</v>
      </c>
      <c r="C572" s="174" t="n">
        <v>1403</v>
      </c>
      <c r="D572" s="174" t="n">
        <v>4</v>
      </c>
      <c r="E572" s="175" t="inlineStr">
        <is>
          <t>1403/04/30</t>
        </is>
      </c>
      <c r="F572" s="128" t="inlineStr">
        <is>
          <t>1403/04</t>
        </is>
      </c>
      <c r="G572" s="58" t="inlineStr">
        <is>
          <t>تیر</t>
        </is>
      </c>
      <c r="H572" s="128" t="inlineStr">
        <is>
          <t>تابستان</t>
        </is>
      </c>
      <c r="I572" s="128" t="inlineStr">
        <is>
          <t>شنبه</t>
        </is>
      </c>
      <c r="J572" s="128" t="inlineStr">
        <is>
          <t>خیر</t>
        </is>
      </c>
    </row>
    <row r="573">
      <c r="A573" s="176" t="n">
        <v>45494</v>
      </c>
      <c r="B573" s="177" t="n">
        <v>45494</v>
      </c>
      <c r="C573" s="177" t="n">
        <v>1403</v>
      </c>
      <c r="D573" s="177" t="n">
        <v>4</v>
      </c>
      <c r="E573" s="178" t="inlineStr">
        <is>
          <t>1403/04/31</t>
        </is>
      </c>
      <c r="F573" s="134" t="inlineStr">
        <is>
          <t>1403/04</t>
        </is>
      </c>
      <c r="G573" s="61" t="inlineStr">
        <is>
          <t>تیر</t>
        </is>
      </c>
      <c r="H573" s="134" t="inlineStr">
        <is>
          <t>تابستان</t>
        </is>
      </c>
      <c r="I573" s="134" t="inlineStr">
        <is>
          <t>یکشنبه</t>
        </is>
      </c>
      <c r="J573" s="134" t="inlineStr">
        <is>
          <t>خیر</t>
        </is>
      </c>
    </row>
    <row r="574">
      <c r="A574" s="173" t="n">
        <v>45495</v>
      </c>
      <c r="B574" s="174" t="n">
        <v>45495</v>
      </c>
      <c r="C574" s="174" t="n">
        <v>1403</v>
      </c>
      <c r="D574" s="174" t="n">
        <v>5</v>
      </c>
      <c r="E574" s="175" t="inlineStr">
        <is>
          <t>1403/05/01</t>
        </is>
      </c>
      <c r="F574" s="128" t="inlineStr">
        <is>
          <t>1403/05</t>
        </is>
      </c>
      <c r="G574" s="58" t="inlineStr">
        <is>
          <t>مرداد</t>
        </is>
      </c>
      <c r="H574" s="128" t="inlineStr">
        <is>
          <t>تابستان</t>
        </is>
      </c>
      <c r="I574" s="128" t="inlineStr">
        <is>
          <t>دوشنبه</t>
        </is>
      </c>
      <c r="J574" s="128" t="inlineStr">
        <is>
          <t>بله</t>
        </is>
      </c>
    </row>
    <row r="575">
      <c r="A575" s="176" t="n">
        <v>45496</v>
      </c>
      <c r="B575" s="177" t="n">
        <v>45496</v>
      </c>
      <c r="C575" s="177" t="n">
        <v>1403</v>
      </c>
      <c r="D575" s="177" t="n">
        <v>5</v>
      </c>
      <c r="E575" s="178" t="inlineStr">
        <is>
          <t>1403/05/02</t>
        </is>
      </c>
      <c r="F575" s="134" t="inlineStr">
        <is>
          <t>1403/05</t>
        </is>
      </c>
      <c r="G575" s="61" t="inlineStr">
        <is>
          <t>مرداد</t>
        </is>
      </c>
      <c r="H575" s="134" t="inlineStr">
        <is>
          <t>تابستان</t>
        </is>
      </c>
      <c r="I575" s="134" t="inlineStr">
        <is>
          <t>سه‌شنبه</t>
        </is>
      </c>
      <c r="J575" s="134" t="inlineStr">
        <is>
          <t>بله</t>
        </is>
      </c>
    </row>
    <row r="576">
      <c r="A576" s="173" t="n">
        <v>45497</v>
      </c>
      <c r="B576" s="174" t="n">
        <v>45497</v>
      </c>
      <c r="C576" s="174" t="n">
        <v>1403</v>
      </c>
      <c r="D576" s="174" t="n">
        <v>5</v>
      </c>
      <c r="E576" s="175" t="inlineStr">
        <is>
          <t>1403/05/03</t>
        </is>
      </c>
      <c r="F576" s="128" t="inlineStr">
        <is>
          <t>1403/05</t>
        </is>
      </c>
      <c r="G576" s="58" t="inlineStr">
        <is>
          <t>مرداد</t>
        </is>
      </c>
      <c r="H576" s="128" t="inlineStr">
        <is>
          <t>تابستان</t>
        </is>
      </c>
      <c r="I576" s="128" t="inlineStr">
        <is>
          <t>چهارشنبه</t>
        </is>
      </c>
      <c r="J576" s="128" t="inlineStr">
        <is>
          <t>بله</t>
        </is>
      </c>
    </row>
    <row r="577">
      <c r="A577" s="176" t="n">
        <v>45498</v>
      </c>
      <c r="B577" s="177" t="n">
        <v>45498</v>
      </c>
      <c r="C577" s="177" t="n">
        <v>1403</v>
      </c>
      <c r="D577" s="177" t="n">
        <v>5</v>
      </c>
      <c r="E577" s="178" t="inlineStr">
        <is>
          <t>1403/05/04</t>
        </is>
      </c>
      <c r="F577" s="134" t="inlineStr">
        <is>
          <t>1403/05</t>
        </is>
      </c>
      <c r="G577" s="61" t="inlineStr">
        <is>
          <t>مرداد</t>
        </is>
      </c>
      <c r="H577" s="134" t="inlineStr">
        <is>
          <t>تابستان</t>
        </is>
      </c>
      <c r="I577" s="134" t="inlineStr">
        <is>
          <t>پنجشنبه</t>
        </is>
      </c>
      <c r="J577" s="134" t="inlineStr">
        <is>
          <t>بله</t>
        </is>
      </c>
    </row>
    <row r="578">
      <c r="A578" s="173" t="n">
        <v>45499</v>
      </c>
      <c r="B578" s="174" t="n">
        <v>45499</v>
      </c>
      <c r="C578" s="174" t="n">
        <v>1403</v>
      </c>
      <c r="D578" s="174" t="n">
        <v>5</v>
      </c>
      <c r="E578" s="175" t="inlineStr">
        <is>
          <t>1403/05/05</t>
        </is>
      </c>
      <c r="F578" s="128" t="inlineStr">
        <is>
          <t>1403/05</t>
        </is>
      </c>
      <c r="G578" s="58" t="inlineStr">
        <is>
          <t>مرداد</t>
        </is>
      </c>
      <c r="H578" s="128" t="inlineStr">
        <is>
          <t>تابستان</t>
        </is>
      </c>
      <c r="I578" s="128" t="inlineStr">
        <is>
          <t>جمعه</t>
        </is>
      </c>
      <c r="J578" s="128" t="inlineStr">
        <is>
          <t>بله</t>
        </is>
      </c>
    </row>
    <row r="579">
      <c r="A579" s="176" t="n">
        <v>45500</v>
      </c>
      <c r="B579" s="177" t="n">
        <v>45500</v>
      </c>
      <c r="C579" s="177" t="n">
        <v>1403</v>
      </c>
      <c r="D579" s="177" t="n">
        <v>5</v>
      </c>
      <c r="E579" s="178" t="inlineStr">
        <is>
          <t>1403/05/06</t>
        </is>
      </c>
      <c r="F579" s="134" t="inlineStr">
        <is>
          <t>1403/05</t>
        </is>
      </c>
      <c r="G579" s="61" t="inlineStr">
        <is>
          <t>مرداد</t>
        </is>
      </c>
      <c r="H579" s="134" t="inlineStr">
        <is>
          <t>تابستان</t>
        </is>
      </c>
      <c r="I579" s="134" t="inlineStr">
        <is>
          <t>شنبه</t>
        </is>
      </c>
      <c r="J579" s="134" t="inlineStr">
        <is>
          <t>خیر</t>
        </is>
      </c>
    </row>
    <row r="580">
      <c r="A580" s="173" t="n">
        <v>45501</v>
      </c>
      <c r="B580" s="174" t="n">
        <v>45501</v>
      </c>
      <c r="C580" s="174" t="n">
        <v>1403</v>
      </c>
      <c r="D580" s="174" t="n">
        <v>5</v>
      </c>
      <c r="E580" s="175" t="inlineStr">
        <is>
          <t>1403/05/07</t>
        </is>
      </c>
      <c r="F580" s="128" t="inlineStr">
        <is>
          <t>1403/05</t>
        </is>
      </c>
      <c r="G580" s="58" t="inlineStr">
        <is>
          <t>مرداد</t>
        </is>
      </c>
      <c r="H580" s="128" t="inlineStr">
        <is>
          <t>تابستان</t>
        </is>
      </c>
      <c r="I580" s="128" t="inlineStr">
        <is>
          <t>یکشنبه</t>
        </is>
      </c>
      <c r="J580" s="128" t="inlineStr">
        <is>
          <t>خیر</t>
        </is>
      </c>
    </row>
    <row r="581">
      <c r="A581" s="176" t="n">
        <v>45502</v>
      </c>
      <c r="B581" s="177" t="n">
        <v>45502</v>
      </c>
      <c r="C581" s="177" t="n">
        <v>1403</v>
      </c>
      <c r="D581" s="177" t="n">
        <v>5</v>
      </c>
      <c r="E581" s="178" t="inlineStr">
        <is>
          <t>1403/05/08</t>
        </is>
      </c>
      <c r="F581" s="134" t="inlineStr">
        <is>
          <t>1403/05</t>
        </is>
      </c>
      <c r="G581" s="61" t="inlineStr">
        <is>
          <t>مرداد</t>
        </is>
      </c>
      <c r="H581" s="134" t="inlineStr">
        <is>
          <t>تابستان</t>
        </is>
      </c>
      <c r="I581" s="134" t="inlineStr">
        <is>
          <t>دوشنبه</t>
        </is>
      </c>
      <c r="J581" s="134" t="inlineStr">
        <is>
          <t>بله</t>
        </is>
      </c>
    </row>
    <row r="582">
      <c r="A582" s="173" t="n">
        <v>45503</v>
      </c>
      <c r="B582" s="174" t="n">
        <v>45503</v>
      </c>
      <c r="C582" s="174" t="n">
        <v>1403</v>
      </c>
      <c r="D582" s="174" t="n">
        <v>5</v>
      </c>
      <c r="E582" s="175" t="inlineStr">
        <is>
          <t>1403/05/09</t>
        </is>
      </c>
      <c r="F582" s="128" t="inlineStr">
        <is>
          <t>1403/05</t>
        </is>
      </c>
      <c r="G582" s="58" t="inlineStr">
        <is>
          <t>مرداد</t>
        </is>
      </c>
      <c r="H582" s="128" t="inlineStr">
        <is>
          <t>تابستان</t>
        </is>
      </c>
      <c r="I582" s="128" t="inlineStr">
        <is>
          <t>سه‌شنبه</t>
        </is>
      </c>
      <c r="J582" s="128" t="inlineStr">
        <is>
          <t>بله</t>
        </is>
      </c>
    </row>
    <row r="583">
      <c r="A583" s="176" t="n">
        <v>45504</v>
      </c>
      <c r="B583" s="177" t="n">
        <v>45504</v>
      </c>
      <c r="C583" s="177" t="n">
        <v>1403</v>
      </c>
      <c r="D583" s="177" t="n">
        <v>5</v>
      </c>
      <c r="E583" s="178" t="inlineStr">
        <is>
          <t>1403/05/10</t>
        </is>
      </c>
      <c r="F583" s="134" t="inlineStr">
        <is>
          <t>1403/05</t>
        </is>
      </c>
      <c r="G583" s="61" t="inlineStr">
        <is>
          <t>مرداد</t>
        </is>
      </c>
      <c r="H583" s="134" t="inlineStr">
        <is>
          <t>تابستان</t>
        </is>
      </c>
      <c r="I583" s="134" t="inlineStr">
        <is>
          <t>چهارشنبه</t>
        </is>
      </c>
      <c r="J583" s="134" t="inlineStr">
        <is>
          <t>بله</t>
        </is>
      </c>
    </row>
    <row r="584">
      <c r="A584" s="173" t="n">
        <v>45505</v>
      </c>
      <c r="B584" s="174" t="n">
        <v>45505</v>
      </c>
      <c r="C584" s="174" t="n">
        <v>1403</v>
      </c>
      <c r="D584" s="174" t="n">
        <v>5</v>
      </c>
      <c r="E584" s="175" t="inlineStr">
        <is>
          <t>1403/05/11</t>
        </is>
      </c>
      <c r="F584" s="128" t="inlineStr">
        <is>
          <t>1403/05</t>
        </is>
      </c>
      <c r="G584" s="58" t="inlineStr">
        <is>
          <t>مرداد</t>
        </is>
      </c>
      <c r="H584" s="128" t="inlineStr">
        <is>
          <t>تابستان</t>
        </is>
      </c>
      <c r="I584" s="128" t="inlineStr">
        <is>
          <t>پنجشنبه</t>
        </is>
      </c>
      <c r="J584" s="128" t="inlineStr">
        <is>
          <t>بله</t>
        </is>
      </c>
    </row>
    <row r="585">
      <c r="A585" s="176" t="n">
        <v>45506</v>
      </c>
      <c r="B585" s="177" t="n">
        <v>45506</v>
      </c>
      <c r="C585" s="177" t="n">
        <v>1403</v>
      </c>
      <c r="D585" s="177" t="n">
        <v>5</v>
      </c>
      <c r="E585" s="178" t="inlineStr">
        <is>
          <t>1403/05/12</t>
        </is>
      </c>
      <c r="F585" s="134" t="inlineStr">
        <is>
          <t>1403/05</t>
        </is>
      </c>
      <c r="G585" s="61" t="inlineStr">
        <is>
          <t>مرداد</t>
        </is>
      </c>
      <c r="H585" s="134" t="inlineStr">
        <is>
          <t>تابستان</t>
        </is>
      </c>
      <c r="I585" s="134" t="inlineStr">
        <is>
          <t>جمعه</t>
        </is>
      </c>
      <c r="J585" s="134" t="inlineStr">
        <is>
          <t>بله</t>
        </is>
      </c>
    </row>
    <row r="586">
      <c r="A586" s="173" t="n">
        <v>45507</v>
      </c>
      <c r="B586" s="174" t="n">
        <v>45507</v>
      </c>
      <c r="C586" s="174" t="n">
        <v>1403</v>
      </c>
      <c r="D586" s="174" t="n">
        <v>5</v>
      </c>
      <c r="E586" s="175" t="inlineStr">
        <is>
          <t>1403/05/13</t>
        </is>
      </c>
      <c r="F586" s="128" t="inlineStr">
        <is>
          <t>1403/05</t>
        </is>
      </c>
      <c r="G586" s="58" t="inlineStr">
        <is>
          <t>مرداد</t>
        </is>
      </c>
      <c r="H586" s="128" t="inlineStr">
        <is>
          <t>تابستان</t>
        </is>
      </c>
      <c r="I586" s="128" t="inlineStr">
        <is>
          <t>شنبه</t>
        </is>
      </c>
      <c r="J586" s="128" t="inlineStr">
        <is>
          <t>خیر</t>
        </is>
      </c>
    </row>
    <row r="587">
      <c r="A587" s="176" t="n">
        <v>45508</v>
      </c>
      <c r="B587" s="177" t="n">
        <v>45508</v>
      </c>
      <c r="C587" s="177" t="n">
        <v>1403</v>
      </c>
      <c r="D587" s="177" t="n">
        <v>5</v>
      </c>
      <c r="E587" s="178" t="inlineStr">
        <is>
          <t>1403/05/14</t>
        </is>
      </c>
      <c r="F587" s="134" t="inlineStr">
        <is>
          <t>1403/05</t>
        </is>
      </c>
      <c r="G587" s="61" t="inlineStr">
        <is>
          <t>مرداد</t>
        </is>
      </c>
      <c r="H587" s="134" t="inlineStr">
        <is>
          <t>تابستان</t>
        </is>
      </c>
      <c r="I587" s="134" t="inlineStr">
        <is>
          <t>یکشنبه</t>
        </is>
      </c>
      <c r="J587" s="134" t="inlineStr">
        <is>
          <t>خیر</t>
        </is>
      </c>
    </row>
    <row r="588">
      <c r="A588" s="173" t="n">
        <v>45509</v>
      </c>
      <c r="B588" s="174" t="n">
        <v>45509</v>
      </c>
      <c r="C588" s="174" t="n">
        <v>1403</v>
      </c>
      <c r="D588" s="174" t="n">
        <v>5</v>
      </c>
      <c r="E588" s="175" t="inlineStr">
        <is>
          <t>1403/05/15</t>
        </is>
      </c>
      <c r="F588" s="128" t="inlineStr">
        <is>
          <t>1403/05</t>
        </is>
      </c>
      <c r="G588" s="58" t="inlineStr">
        <is>
          <t>مرداد</t>
        </is>
      </c>
      <c r="H588" s="128" t="inlineStr">
        <is>
          <t>تابستان</t>
        </is>
      </c>
      <c r="I588" s="128" t="inlineStr">
        <is>
          <t>دوشنبه</t>
        </is>
      </c>
      <c r="J588" s="128" t="inlineStr">
        <is>
          <t>بله</t>
        </is>
      </c>
    </row>
    <row r="589">
      <c r="A589" s="176" t="n">
        <v>45510</v>
      </c>
      <c r="B589" s="177" t="n">
        <v>45510</v>
      </c>
      <c r="C589" s="177" t="n">
        <v>1403</v>
      </c>
      <c r="D589" s="177" t="n">
        <v>5</v>
      </c>
      <c r="E589" s="178" t="inlineStr">
        <is>
          <t>1403/05/16</t>
        </is>
      </c>
      <c r="F589" s="134" t="inlineStr">
        <is>
          <t>1403/05</t>
        </is>
      </c>
      <c r="G589" s="61" t="inlineStr">
        <is>
          <t>مرداد</t>
        </is>
      </c>
      <c r="H589" s="134" t="inlineStr">
        <is>
          <t>تابستان</t>
        </is>
      </c>
      <c r="I589" s="134" t="inlineStr">
        <is>
          <t>سه‌شنبه</t>
        </is>
      </c>
      <c r="J589" s="134" t="inlineStr">
        <is>
          <t>بله</t>
        </is>
      </c>
    </row>
    <row r="590">
      <c r="A590" s="173" t="n">
        <v>45511</v>
      </c>
      <c r="B590" s="174" t="n">
        <v>45511</v>
      </c>
      <c r="C590" s="174" t="n">
        <v>1403</v>
      </c>
      <c r="D590" s="174" t="n">
        <v>5</v>
      </c>
      <c r="E590" s="175" t="inlineStr">
        <is>
          <t>1403/05/17</t>
        </is>
      </c>
      <c r="F590" s="128" t="inlineStr">
        <is>
          <t>1403/05</t>
        </is>
      </c>
      <c r="G590" s="58" t="inlineStr">
        <is>
          <t>مرداد</t>
        </is>
      </c>
      <c r="H590" s="128" t="inlineStr">
        <is>
          <t>تابستان</t>
        </is>
      </c>
      <c r="I590" s="128" t="inlineStr">
        <is>
          <t>چهارشنبه</t>
        </is>
      </c>
      <c r="J590" s="128" t="inlineStr">
        <is>
          <t>بله</t>
        </is>
      </c>
    </row>
    <row r="591">
      <c r="A591" s="176" t="n">
        <v>45512</v>
      </c>
      <c r="B591" s="177" t="n">
        <v>45512</v>
      </c>
      <c r="C591" s="177" t="n">
        <v>1403</v>
      </c>
      <c r="D591" s="177" t="n">
        <v>5</v>
      </c>
      <c r="E591" s="178" t="inlineStr">
        <is>
          <t>1403/05/18</t>
        </is>
      </c>
      <c r="F591" s="134" t="inlineStr">
        <is>
          <t>1403/05</t>
        </is>
      </c>
      <c r="G591" s="61" t="inlineStr">
        <is>
          <t>مرداد</t>
        </is>
      </c>
      <c r="H591" s="134" t="inlineStr">
        <is>
          <t>تابستان</t>
        </is>
      </c>
      <c r="I591" s="134" t="inlineStr">
        <is>
          <t>پنجشنبه</t>
        </is>
      </c>
      <c r="J591" s="134" t="inlineStr">
        <is>
          <t>بله</t>
        </is>
      </c>
    </row>
    <row r="592">
      <c r="A592" s="173" t="n">
        <v>45513</v>
      </c>
      <c r="B592" s="174" t="n">
        <v>45513</v>
      </c>
      <c r="C592" s="174" t="n">
        <v>1403</v>
      </c>
      <c r="D592" s="174" t="n">
        <v>5</v>
      </c>
      <c r="E592" s="175" t="inlineStr">
        <is>
          <t>1403/05/19</t>
        </is>
      </c>
      <c r="F592" s="128" t="inlineStr">
        <is>
          <t>1403/05</t>
        </is>
      </c>
      <c r="G592" s="58" t="inlineStr">
        <is>
          <t>مرداد</t>
        </is>
      </c>
      <c r="H592" s="128" t="inlineStr">
        <is>
          <t>تابستان</t>
        </is>
      </c>
      <c r="I592" s="128" t="inlineStr">
        <is>
          <t>جمعه</t>
        </is>
      </c>
      <c r="J592" s="128" t="inlineStr">
        <is>
          <t>بله</t>
        </is>
      </c>
    </row>
    <row r="593">
      <c r="A593" s="176" t="n">
        <v>45514</v>
      </c>
      <c r="B593" s="177" t="n">
        <v>45514</v>
      </c>
      <c r="C593" s="177" t="n">
        <v>1403</v>
      </c>
      <c r="D593" s="177" t="n">
        <v>5</v>
      </c>
      <c r="E593" s="178" t="inlineStr">
        <is>
          <t>1403/05/20</t>
        </is>
      </c>
      <c r="F593" s="134" t="inlineStr">
        <is>
          <t>1403/05</t>
        </is>
      </c>
      <c r="G593" s="61" t="inlineStr">
        <is>
          <t>مرداد</t>
        </is>
      </c>
      <c r="H593" s="134" t="inlineStr">
        <is>
          <t>تابستان</t>
        </is>
      </c>
      <c r="I593" s="134" t="inlineStr">
        <is>
          <t>شنبه</t>
        </is>
      </c>
      <c r="J593" s="134" t="inlineStr">
        <is>
          <t>خیر</t>
        </is>
      </c>
    </row>
    <row r="594">
      <c r="A594" s="173" t="n">
        <v>45515</v>
      </c>
      <c r="B594" s="174" t="n">
        <v>45515</v>
      </c>
      <c r="C594" s="174" t="n">
        <v>1403</v>
      </c>
      <c r="D594" s="174" t="n">
        <v>5</v>
      </c>
      <c r="E594" s="175" t="inlineStr">
        <is>
          <t>1403/05/21</t>
        </is>
      </c>
      <c r="F594" s="128" t="inlineStr">
        <is>
          <t>1403/05</t>
        </is>
      </c>
      <c r="G594" s="58" t="inlineStr">
        <is>
          <t>مرداد</t>
        </is>
      </c>
      <c r="H594" s="128" t="inlineStr">
        <is>
          <t>تابستان</t>
        </is>
      </c>
      <c r="I594" s="128" t="inlineStr">
        <is>
          <t>یکشنبه</t>
        </is>
      </c>
      <c r="J594" s="128" t="inlineStr">
        <is>
          <t>خیر</t>
        </is>
      </c>
    </row>
    <row r="595">
      <c r="A595" s="176" t="n">
        <v>45516</v>
      </c>
      <c r="B595" s="177" t="n">
        <v>45516</v>
      </c>
      <c r="C595" s="177" t="n">
        <v>1403</v>
      </c>
      <c r="D595" s="177" t="n">
        <v>5</v>
      </c>
      <c r="E595" s="178" t="inlineStr">
        <is>
          <t>1403/05/22</t>
        </is>
      </c>
      <c r="F595" s="134" t="inlineStr">
        <is>
          <t>1403/05</t>
        </is>
      </c>
      <c r="G595" s="61" t="inlineStr">
        <is>
          <t>مرداد</t>
        </is>
      </c>
      <c r="H595" s="134" t="inlineStr">
        <is>
          <t>تابستان</t>
        </is>
      </c>
      <c r="I595" s="134" t="inlineStr">
        <is>
          <t>دوشنبه</t>
        </is>
      </c>
      <c r="J595" s="134" t="inlineStr">
        <is>
          <t>بله</t>
        </is>
      </c>
    </row>
    <row r="596">
      <c r="A596" s="173" t="n">
        <v>45517</v>
      </c>
      <c r="B596" s="174" t="n">
        <v>45517</v>
      </c>
      <c r="C596" s="174" t="n">
        <v>1403</v>
      </c>
      <c r="D596" s="174" t="n">
        <v>5</v>
      </c>
      <c r="E596" s="175" t="inlineStr">
        <is>
          <t>1403/05/23</t>
        </is>
      </c>
      <c r="F596" s="128" t="inlineStr">
        <is>
          <t>1403/05</t>
        </is>
      </c>
      <c r="G596" s="58" t="inlineStr">
        <is>
          <t>مرداد</t>
        </is>
      </c>
      <c r="H596" s="128" t="inlineStr">
        <is>
          <t>تابستان</t>
        </is>
      </c>
      <c r="I596" s="128" t="inlineStr">
        <is>
          <t>سه‌شنبه</t>
        </is>
      </c>
      <c r="J596" s="128" t="inlineStr">
        <is>
          <t>بله</t>
        </is>
      </c>
    </row>
    <row r="597">
      <c r="A597" s="176" t="n">
        <v>45518</v>
      </c>
      <c r="B597" s="177" t="n">
        <v>45518</v>
      </c>
      <c r="C597" s="177" t="n">
        <v>1403</v>
      </c>
      <c r="D597" s="177" t="n">
        <v>5</v>
      </c>
      <c r="E597" s="178" t="inlineStr">
        <is>
          <t>1403/05/24</t>
        </is>
      </c>
      <c r="F597" s="134" t="inlineStr">
        <is>
          <t>1403/05</t>
        </is>
      </c>
      <c r="G597" s="61" t="inlineStr">
        <is>
          <t>مرداد</t>
        </is>
      </c>
      <c r="H597" s="134" t="inlineStr">
        <is>
          <t>تابستان</t>
        </is>
      </c>
      <c r="I597" s="134" t="inlineStr">
        <is>
          <t>چهارشنبه</t>
        </is>
      </c>
      <c r="J597" s="134" t="inlineStr">
        <is>
          <t>بله</t>
        </is>
      </c>
    </row>
    <row r="598">
      <c r="A598" s="173" t="n">
        <v>45519</v>
      </c>
      <c r="B598" s="174" t="n">
        <v>45519</v>
      </c>
      <c r="C598" s="174" t="n">
        <v>1403</v>
      </c>
      <c r="D598" s="174" t="n">
        <v>5</v>
      </c>
      <c r="E598" s="175" t="inlineStr">
        <is>
          <t>1403/05/25</t>
        </is>
      </c>
      <c r="F598" s="128" t="inlineStr">
        <is>
          <t>1403/05</t>
        </is>
      </c>
      <c r="G598" s="58" t="inlineStr">
        <is>
          <t>مرداد</t>
        </is>
      </c>
      <c r="H598" s="128" t="inlineStr">
        <is>
          <t>تابستان</t>
        </is>
      </c>
      <c r="I598" s="128" t="inlineStr">
        <is>
          <t>پنجشنبه</t>
        </is>
      </c>
      <c r="J598" s="128" t="inlineStr">
        <is>
          <t>بله</t>
        </is>
      </c>
    </row>
    <row r="599">
      <c r="A599" s="176" t="n">
        <v>45520</v>
      </c>
      <c r="B599" s="177" t="n">
        <v>45520</v>
      </c>
      <c r="C599" s="177" t="n">
        <v>1403</v>
      </c>
      <c r="D599" s="177" t="n">
        <v>5</v>
      </c>
      <c r="E599" s="178" t="inlineStr">
        <is>
          <t>1403/05/26</t>
        </is>
      </c>
      <c r="F599" s="134" t="inlineStr">
        <is>
          <t>1403/05</t>
        </is>
      </c>
      <c r="G599" s="61" t="inlineStr">
        <is>
          <t>مرداد</t>
        </is>
      </c>
      <c r="H599" s="134" t="inlineStr">
        <is>
          <t>تابستان</t>
        </is>
      </c>
      <c r="I599" s="134" t="inlineStr">
        <is>
          <t>جمعه</t>
        </is>
      </c>
      <c r="J599" s="134" t="inlineStr">
        <is>
          <t>بله</t>
        </is>
      </c>
    </row>
    <row r="600">
      <c r="A600" s="173" t="n">
        <v>45521</v>
      </c>
      <c r="B600" s="174" t="n">
        <v>45521</v>
      </c>
      <c r="C600" s="174" t="n">
        <v>1403</v>
      </c>
      <c r="D600" s="174" t="n">
        <v>5</v>
      </c>
      <c r="E600" s="175" t="inlineStr">
        <is>
          <t>1403/05/27</t>
        </is>
      </c>
      <c r="F600" s="128" t="inlineStr">
        <is>
          <t>1403/05</t>
        </is>
      </c>
      <c r="G600" s="58" t="inlineStr">
        <is>
          <t>مرداد</t>
        </is>
      </c>
      <c r="H600" s="128" t="inlineStr">
        <is>
          <t>تابستان</t>
        </is>
      </c>
      <c r="I600" s="128" t="inlineStr">
        <is>
          <t>شنبه</t>
        </is>
      </c>
      <c r="J600" s="128" t="inlineStr">
        <is>
          <t>خیر</t>
        </is>
      </c>
    </row>
    <row r="601">
      <c r="A601" s="176" t="n">
        <v>45522</v>
      </c>
      <c r="B601" s="177" t="n">
        <v>45522</v>
      </c>
      <c r="C601" s="177" t="n">
        <v>1403</v>
      </c>
      <c r="D601" s="177" t="n">
        <v>5</v>
      </c>
      <c r="E601" s="178" t="inlineStr">
        <is>
          <t>1403/05/28</t>
        </is>
      </c>
      <c r="F601" s="134" t="inlineStr">
        <is>
          <t>1403/05</t>
        </is>
      </c>
      <c r="G601" s="61" t="inlineStr">
        <is>
          <t>مرداد</t>
        </is>
      </c>
      <c r="H601" s="134" t="inlineStr">
        <is>
          <t>تابستان</t>
        </is>
      </c>
      <c r="I601" s="134" t="inlineStr">
        <is>
          <t>یکشنبه</t>
        </is>
      </c>
      <c r="J601" s="134" t="inlineStr">
        <is>
          <t>خیر</t>
        </is>
      </c>
    </row>
    <row r="602">
      <c r="A602" s="173" t="n">
        <v>45523</v>
      </c>
      <c r="B602" s="174" t="n">
        <v>45523</v>
      </c>
      <c r="C602" s="174" t="n">
        <v>1403</v>
      </c>
      <c r="D602" s="174" t="n">
        <v>5</v>
      </c>
      <c r="E602" s="175" t="inlineStr">
        <is>
          <t>1403/05/29</t>
        </is>
      </c>
      <c r="F602" s="128" t="inlineStr">
        <is>
          <t>1403/05</t>
        </is>
      </c>
      <c r="G602" s="58" t="inlineStr">
        <is>
          <t>مرداد</t>
        </is>
      </c>
      <c r="H602" s="128" t="inlineStr">
        <is>
          <t>تابستان</t>
        </is>
      </c>
      <c r="I602" s="128" t="inlineStr">
        <is>
          <t>دوشنبه</t>
        </is>
      </c>
      <c r="J602" s="128" t="inlineStr">
        <is>
          <t>بله</t>
        </is>
      </c>
    </row>
    <row r="603">
      <c r="A603" s="176" t="n">
        <v>45524</v>
      </c>
      <c r="B603" s="177" t="n">
        <v>45524</v>
      </c>
      <c r="C603" s="177" t="n">
        <v>1403</v>
      </c>
      <c r="D603" s="177" t="n">
        <v>5</v>
      </c>
      <c r="E603" s="178" t="inlineStr">
        <is>
          <t>1403/05/30</t>
        </is>
      </c>
      <c r="F603" s="134" t="inlineStr">
        <is>
          <t>1403/05</t>
        </is>
      </c>
      <c r="G603" s="61" t="inlineStr">
        <is>
          <t>مرداد</t>
        </is>
      </c>
      <c r="H603" s="134" t="inlineStr">
        <is>
          <t>تابستان</t>
        </is>
      </c>
      <c r="I603" s="134" t="inlineStr">
        <is>
          <t>سه‌شنبه</t>
        </is>
      </c>
      <c r="J603" s="134" t="inlineStr">
        <is>
          <t>بله</t>
        </is>
      </c>
    </row>
    <row r="604">
      <c r="A604" s="173" t="n">
        <v>45525</v>
      </c>
      <c r="B604" s="174" t="n">
        <v>45525</v>
      </c>
      <c r="C604" s="174" t="n">
        <v>1403</v>
      </c>
      <c r="D604" s="174" t="n">
        <v>5</v>
      </c>
      <c r="E604" s="175" t="inlineStr">
        <is>
          <t>1403/05/31</t>
        </is>
      </c>
      <c r="F604" s="128" t="inlineStr">
        <is>
          <t>1403/05</t>
        </is>
      </c>
      <c r="G604" s="58" t="inlineStr">
        <is>
          <t>مرداد</t>
        </is>
      </c>
      <c r="H604" s="128" t="inlineStr">
        <is>
          <t>تابستان</t>
        </is>
      </c>
      <c r="I604" s="128" t="inlineStr">
        <is>
          <t>چهارشنبه</t>
        </is>
      </c>
      <c r="J604" s="128" t="inlineStr">
        <is>
          <t>بله</t>
        </is>
      </c>
    </row>
    <row r="605">
      <c r="A605" s="176" t="n">
        <v>45526</v>
      </c>
      <c r="B605" s="177" t="n">
        <v>45526</v>
      </c>
      <c r="C605" s="177" t="n">
        <v>1403</v>
      </c>
      <c r="D605" s="177" t="n">
        <v>6</v>
      </c>
      <c r="E605" s="178" t="inlineStr">
        <is>
          <t>1403/06/01</t>
        </is>
      </c>
      <c r="F605" s="134" t="inlineStr">
        <is>
          <t>1403/06</t>
        </is>
      </c>
      <c r="G605" s="61" t="inlineStr">
        <is>
          <t>شهریور</t>
        </is>
      </c>
      <c r="H605" s="134" t="inlineStr">
        <is>
          <t>تابستان</t>
        </is>
      </c>
      <c r="I605" s="134" t="inlineStr">
        <is>
          <t>پنجشنبه</t>
        </is>
      </c>
      <c r="J605" s="134" t="inlineStr">
        <is>
          <t>بله</t>
        </is>
      </c>
    </row>
    <row r="606">
      <c r="A606" s="173" t="n">
        <v>45527</v>
      </c>
      <c r="B606" s="174" t="n">
        <v>45527</v>
      </c>
      <c r="C606" s="174" t="n">
        <v>1403</v>
      </c>
      <c r="D606" s="174" t="n">
        <v>6</v>
      </c>
      <c r="E606" s="175" t="inlineStr">
        <is>
          <t>1403/06/02</t>
        </is>
      </c>
      <c r="F606" s="128" t="inlineStr">
        <is>
          <t>1403/06</t>
        </is>
      </c>
      <c r="G606" s="58" t="inlineStr">
        <is>
          <t>شهریور</t>
        </is>
      </c>
      <c r="H606" s="128" t="inlineStr">
        <is>
          <t>تابستان</t>
        </is>
      </c>
      <c r="I606" s="128" t="inlineStr">
        <is>
          <t>جمعه</t>
        </is>
      </c>
      <c r="J606" s="128" t="inlineStr">
        <is>
          <t>بله</t>
        </is>
      </c>
    </row>
    <row r="607">
      <c r="A607" s="176" t="n">
        <v>45528</v>
      </c>
      <c r="B607" s="177" t="n">
        <v>45528</v>
      </c>
      <c r="C607" s="177" t="n">
        <v>1403</v>
      </c>
      <c r="D607" s="177" t="n">
        <v>6</v>
      </c>
      <c r="E607" s="178" t="inlineStr">
        <is>
          <t>1403/06/03</t>
        </is>
      </c>
      <c r="F607" s="134" t="inlineStr">
        <is>
          <t>1403/06</t>
        </is>
      </c>
      <c r="G607" s="61" t="inlineStr">
        <is>
          <t>شهریور</t>
        </is>
      </c>
      <c r="H607" s="134" t="inlineStr">
        <is>
          <t>تابستان</t>
        </is>
      </c>
      <c r="I607" s="134" t="inlineStr">
        <is>
          <t>شنبه</t>
        </is>
      </c>
      <c r="J607" s="134" t="inlineStr">
        <is>
          <t>خیر</t>
        </is>
      </c>
    </row>
    <row r="608">
      <c r="A608" s="173" t="n">
        <v>45529</v>
      </c>
      <c r="B608" s="174" t="n">
        <v>45529</v>
      </c>
      <c r="C608" s="174" t="n">
        <v>1403</v>
      </c>
      <c r="D608" s="174" t="n">
        <v>6</v>
      </c>
      <c r="E608" s="175" t="inlineStr">
        <is>
          <t>1403/06/04</t>
        </is>
      </c>
      <c r="F608" s="128" t="inlineStr">
        <is>
          <t>1403/06</t>
        </is>
      </c>
      <c r="G608" s="58" t="inlineStr">
        <is>
          <t>شهریور</t>
        </is>
      </c>
      <c r="H608" s="128" t="inlineStr">
        <is>
          <t>تابستان</t>
        </is>
      </c>
      <c r="I608" s="128" t="inlineStr">
        <is>
          <t>یکشنبه</t>
        </is>
      </c>
      <c r="J608" s="128" t="inlineStr">
        <is>
          <t>خیر</t>
        </is>
      </c>
    </row>
    <row r="609">
      <c r="A609" s="176" t="n">
        <v>45530</v>
      </c>
      <c r="B609" s="177" t="n">
        <v>45530</v>
      </c>
      <c r="C609" s="177" t="n">
        <v>1403</v>
      </c>
      <c r="D609" s="177" t="n">
        <v>6</v>
      </c>
      <c r="E609" s="178" t="inlineStr">
        <is>
          <t>1403/06/05</t>
        </is>
      </c>
      <c r="F609" s="134" t="inlineStr">
        <is>
          <t>1403/06</t>
        </is>
      </c>
      <c r="G609" s="61" t="inlineStr">
        <is>
          <t>شهریور</t>
        </is>
      </c>
      <c r="H609" s="134" t="inlineStr">
        <is>
          <t>تابستان</t>
        </is>
      </c>
      <c r="I609" s="134" t="inlineStr">
        <is>
          <t>دوشنبه</t>
        </is>
      </c>
      <c r="J609" s="134" t="inlineStr">
        <is>
          <t>بله</t>
        </is>
      </c>
    </row>
    <row r="610">
      <c r="A610" s="173" t="n">
        <v>45531</v>
      </c>
      <c r="B610" s="174" t="n">
        <v>45531</v>
      </c>
      <c r="C610" s="174" t="n">
        <v>1403</v>
      </c>
      <c r="D610" s="174" t="n">
        <v>6</v>
      </c>
      <c r="E610" s="175" t="inlineStr">
        <is>
          <t>1403/06/06</t>
        </is>
      </c>
      <c r="F610" s="128" t="inlineStr">
        <is>
          <t>1403/06</t>
        </is>
      </c>
      <c r="G610" s="58" t="inlineStr">
        <is>
          <t>شهریور</t>
        </is>
      </c>
      <c r="H610" s="128" t="inlineStr">
        <is>
          <t>تابستان</t>
        </is>
      </c>
      <c r="I610" s="128" t="inlineStr">
        <is>
          <t>سه‌شنبه</t>
        </is>
      </c>
      <c r="J610" s="128" t="inlineStr">
        <is>
          <t>بله</t>
        </is>
      </c>
    </row>
    <row r="611">
      <c r="A611" s="176" t="n">
        <v>45532</v>
      </c>
      <c r="B611" s="177" t="n">
        <v>45532</v>
      </c>
      <c r="C611" s="177" t="n">
        <v>1403</v>
      </c>
      <c r="D611" s="177" t="n">
        <v>6</v>
      </c>
      <c r="E611" s="178" t="inlineStr">
        <is>
          <t>1403/06/07</t>
        </is>
      </c>
      <c r="F611" s="134" t="inlineStr">
        <is>
          <t>1403/06</t>
        </is>
      </c>
      <c r="G611" s="61" t="inlineStr">
        <is>
          <t>شهریور</t>
        </is>
      </c>
      <c r="H611" s="134" t="inlineStr">
        <is>
          <t>تابستان</t>
        </is>
      </c>
      <c r="I611" s="134" t="inlineStr">
        <is>
          <t>چهارشنبه</t>
        </is>
      </c>
      <c r="J611" s="134" t="inlineStr">
        <is>
          <t>بله</t>
        </is>
      </c>
    </row>
    <row r="612">
      <c r="A612" s="173" t="n">
        <v>45533</v>
      </c>
      <c r="B612" s="174" t="n">
        <v>45533</v>
      </c>
      <c r="C612" s="174" t="n">
        <v>1403</v>
      </c>
      <c r="D612" s="174" t="n">
        <v>6</v>
      </c>
      <c r="E612" s="175" t="inlineStr">
        <is>
          <t>1403/06/08</t>
        </is>
      </c>
      <c r="F612" s="128" t="inlineStr">
        <is>
          <t>1403/06</t>
        </is>
      </c>
      <c r="G612" s="58" t="inlineStr">
        <is>
          <t>شهریور</t>
        </is>
      </c>
      <c r="H612" s="128" t="inlineStr">
        <is>
          <t>تابستان</t>
        </is>
      </c>
      <c r="I612" s="128" t="inlineStr">
        <is>
          <t>پنجشنبه</t>
        </is>
      </c>
      <c r="J612" s="128" t="inlineStr">
        <is>
          <t>بله</t>
        </is>
      </c>
    </row>
    <row r="613">
      <c r="A613" s="176" t="n">
        <v>45534</v>
      </c>
      <c r="B613" s="177" t="n">
        <v>45534</v>
      </c>
      <c r="C613" s="177" t="n">
        <v>1403</v>
      </c>
      <c r="D613" s="177" t="n">
        <v>6</v>
      </c>
      <c r="E613" s="178" t="inlineStr">
        <is>
          <t>1403/06/09</t>
        </is>
      </c>
      <c r="F613" s="134" t="inlineStr">
        <is>
          <t>1403/06</t>
        </is>
      </c>
      <c r="G613" s="61" t="inlineStr">
        <is>
          <t>شهریور</t>
        </is>
      </c>
      <c r="H613" s="134" t="inlineStr">
        <is>
          <t>تابستان</t>
        </is>
      </c>
      <c r="I613" s="134" t="inlineStr">
        <is>
          <t>جمعه</t>
        </is>
      </c>
      <c r="J613" s="134" t="inlineStr">
        <is>
          <t>بله</t>
        </is>
      </c>
    </row>
    <row r="614">
      <c r="A614" s="173" t="n">
        <v>45535</v>
      </c>
      <c r="B614" s="174" t="n">
        <v>45535</v>
      </c>
      <c r="C614" s="174" t="n">
        <v>1403</v>
      </c>
      <c r="D614" s="174" t="n">
        <v>6</v>
      </c>
      <c r="E614" s="175" t="inlineStr">
        <is>
          <t>1403/06/10</t>
        </is>
      </c>
      <c r="F614" s="128" t="inlineStr">
        <is>
          <t>1403/06</t>
        </is>
      </c>
      <c r="G614" s="58" t="inlineStr">
        <is>
          <t>شهریور</t>
        </is>
      </c>
      <c r="H614" s="128" t="inlineStr">
        <is>
          <t>تابستان</t>
        </is>
      </c>
      <c r="I614" s="128" t="inlineStr">
        <is>
          <t>شنبه</t>
        </is>
      </c>
      <c r="J614" s="128" t="inlineStr">
        <is>
          <t>خیر</t>
        </is>
      </c>
    </row>
    <row r="615">
      <c r="A615" s="176" t="n">
        <v>45536</v>
      </c>
      <c r="B615" s="177" t="n">
        <v>45536</v>
      </c>
      <c r="C615" s="177" t="n">
        <v>1403</v>
      </c>
      <c r="D615" s="177" t="n">
        <v>6</v>
      </c>
      <c r="E615" s="178" t="inlineStr">
        <is>
          <t>1403/06/11</t>
        </is>
      </c>
      <c r="F615" s="134" t="inlineStr">
        <is>
          <t>1403/06</t>
        </is>
      </c>
      <c r="G615" s="61" t="inlineStr">
        <is>
          <t>شهریور</t>
        </is>
      </c>
      <c r="H615" s="134" t="inlineStr">
        <is>
          <t>تابستان</t>
        </is>
      </c>
      <c r="I615" s="134" t="inlineStr">
        <is>
          <t>یکشنبه</t>
        </is>
      </c>
      <c r="J615" s="134" t="inlineStr">
        <is>
          <t>خیر</t>
        </is>
      </c>
    </row>
    <row r="616">
      <c r="A616" s="173" t="n">
        <v>45537</v>
      </c>
      <c r="B616" s="174" t="n">
        <v>45537</v>
      </c>
      <c r="C616" s="174" t="n">
        <v>1403</v>
      </c>
      <c r="D616" s="174" t="n">
        <v>6</v>
      </c>
      <c r="E616" s="175" t="inlineStr">
        <is>
          <t>1403/06/12</t>
        </is>
      </c>
      <c r="F616" s="128" t="inlineStr">
        <is>
          <t>1403/06</t>
        </is>
      </c>
      <c r="G616" s="58" t="inlineStr">
        <is>
          <t>شهریور</t>
        </is>
      </c>
      <c r="H616" s="128" t="inlineStr">
        <is>
          <t>تابستان</t>
        </is>
      </c>
      <c r="I616" s="128" t="inlineStr">
        <is>
          <t>دوشنبه</t>
        </is>
      </c>
      <c r="J616" s="128" t="inlineStr">
        <is>
          <t>بله</t>
        </is>
      </c>
    </row>
    <row r="617">
      <c r="A617" s="176" t="n">
        <v>45538</v>
      </c>
      <c r="B617" s="177" t="n">
        <v>45538</v>
      </c>
      <c r="C617" s="177" t="n">
        <v>1403</v>
      </c>
      <c r="D617" s="177" t="n">
        <v>6</v>
      </c>
      <c r="E617" s="178" t="inlineStr">
        <is>
          <t>1403/06/13</t>
        </is>
      </c>
      <c r="F617" s="134" t="inlineStr">
        <is>
          <t>1403/06</t>
        </is>
      </c>
      <c r="G617" s="61" t="inlineStr">
        <is>
          <t>شهریور</t>
        </is>
      </c>
      <c r="H617" s="134" t="inlineStr">
        <is>
          <t>تابستان</t>
        </is>
      </c>
      <c r="I617" s="134" t="inlineStr">
        <is>
          <t>سه‌شنبه</t>
        </is>
      </c>
      <c r="J617" s="134" t="inlineStr">
        <is>
          <t>بله</t>
        </is>
      </c>
    </row>
    <row r="618">
      <c r="A618" s="173" t="n">
        <v>45539</v>
      </c>
      <c r="B618" s="174" t="n">
        <v>45539</v>
      </c>
      <c r="C618" s="174" t="n">
        <v>1403</v>
      </c>
      <c r="D618" s="174" t="n">
        <v>6</v>
      </c>
      <c r="E618" s="175" t="inlineStr">
        <is>
          <t>1403/06/14</t>
        </is>
      </c>
      <c r="F618" s="128" t="inlineStr">
        <is>
          <t>1403/06</t>
        </is>
      </c>
      <c r="G618" s="58" t="inlineStr">
        <is>
          <t>شهریور</t>
        </is>
      </c>
      <c r="H618" s="128" t="inlineStr">
        <is>
          <t>تابستان</t>
        </is>
      </c>
      <c r="I618" s="128" t="inlineStr">
        <is>
          <t>چهارشنبه</t>
        </is>
      </c>
      <c r="J618" s="128" t="inlineStr">
        <is>
          <t>بله</t>
        </is>
      </c>
    </row>
    <row r="619">
      <c r="A619" s="176" t="n">
        <v>45540</v>
      </c>
      <c r="B619" s="177" t="n">
        <v>45540</v>
      </c>
      <c r="C619" s="177" t="n">
        <v>1403</v>
      </c>
      <c r="D619" s="177" t="n">
        <v>6</v>
      </c>
      <c r="E619" s="178" t="inlineStr">
        <is>
          <t>1403/06/15</t>
        </is>
      </c>
      <c r="F619" s="134" t="inlineStr">
        <is>
          <t>1403/06</t>
        </is>
      </c>
      <c r="G619" s="61" t="inlineStr">
        <is>
          <t>شهریور</t>
        </is>
      </c>
      <c r="H619" s="134" t="inlineStr">
        <is>
          <t>تابستان</t>
        </is>
      </c>
      <c r="I619" s="134" t="inlineStr">
        <is>
          <t>پنجشنبه</t>
        </is>
      </c>
      <c r="J619" s="134" t="inlineStr">
        <is>
          <t>بله</t>
        </is>
      </c>
    </row>
    <row r="620">
      <c r="A620" s="173" t="n">
        <v>45541</v>
      </c>
      <c r="B620" s="174" t="n">
        <v>45541</v>
      </c>
      <c r="C620" s="174" t="n">
        <v>1403</v>
      </c>
      <c r="D620" s="174" t="n">
        <v>6</v>
      </c>
      <c r="E620" s="175" t="inlineStr">
        <is>
          <t>1403/06/16</t>
        </is>
      </c>
      <c r="F620" s="128" t="inlineStr">
        <is>
          <t>1403/06</t>
        </is>
      </c>
      <c r="G620" s="58" t="inlineStr">
        <is>
          <t>شهریور</t>
        </is>
      </c>
      <c r="H620" s="128" t="inlineStr">
        <is>
          <t>تابستان</t>
        </is>
      </c>
      <c r="I620" s="128" t="inlineStr">
        <is>
          <t>جمعه</t>
        </is>
      </c>
      <c r="J620" s="128" t="inlineStr">
        <is>
          <t>بله</t>
        </is>
      </c>
    </row>
    <row r="621">
      <c r="A621" s="176" t="n">
        <v>45542</v>
      </c>
      <c r="B621" s="177" t="n">
        <v>45542</v>
      </c>
      <c r="C621" s="177" t="n">
        <v>1403</v>
      </c>
      <c r="D621" s="177" t="n">
        <v>6</v>
      </c>
      <c r="E621" s="178" t="inlineStr">
        <is>
          <t>1403/06/17</t>
        </is>
      </c>
      <c r="F621" s="134" t="inlineStr">
        <is>
          <t>1403/06</t>
        </is>
      </c>
      <c r="G621" s="61" t="inlineStr">
        <is>
          <t>شهریور</t>
        </is>
      </c>
      <c r="H621" s="134" t="inlineStr">
        <is>
          <t>تابستان</t>
        </is>
      </c>
      <c r="I621" s="134" t="inlineStr">
        <is>
          <t>شنبه</t>
        </is>
      </c>
      <c r="J621" s="134" t="inlineStr">
        <is>
          <t>خیر</t>
        </is>
      </c>
    </row>
    <row r="622">
      <c r="A622" s="173" t="n">
        <v>45543</v>
      </c>
      <c r="B622" s="174" t="n">
        <v>45543</v>
      </c>
      <c r="C622" s="174" t="n">
        <v>1403</v>
      </c>
      <c r="D622" s="174" t="n">
        <v>6</v>
      </c>
      <c r="E622" s="175" t="inlineStr">
        <is>
          <t>1403/06/18</t>
        </is>
      </c>
      <c r="F622" s="128" t="inlineStr">
        <is>
          <t>1403/06</t>
        </is>
      </c>
      <c r="G622" s="58" t="inlineStr">
        <is>
          <t>شهریور</t>
        </is>
      </c>
      <c r="H622" s="128" t="inlineStr">
        <is>
          <t>تابستان</t>
        </is>
      </c>
      <c r="I622" s="128" t="inlineStr">
        <is>
          <t>یکشنبه</t>
        </is>
      </c>
      <c r="J622" s="128" t="inlineStr">
        <is>
          <t>خیر</t>
        </is>
      </c>
    </row>
    <row r="623">
      <c r="A623" s="176" t="n">
        <v>45544</v>
      </c>
      <c r="B623" s="177" t="n">
        <v>45544</v>
      </c>
      <c r="C623" s="177" t="n">
        <v>1403</v>
      </c>
      <c r="D623" s="177" t="n">
        <v>6</v>
      </c>
      <c r="E623" s="178" t="inlineStr">
        <is>
          <t>1403/06/19</t>
        </is>
      </c>
      <c r="F623" s="134" t="inlineStr">
        <is>
          <t>1403/06</t>
        </is>
      </c>
      <c r="G623" s="61" t="inlineStr">
        <is>
          <t>شهریور</t>
        </is>
      </c>
      <c r="H623" s="134" t="inlineStr">
        <is>
          <t>تابستان</t>
        </is>
      </c>
      <c r="I623" s="134" t="inlineStr">
        <is>
          <t>دوشنبه</t>
        </is>
      </c>
      <c r="J623" s="134" t="inlineStr">
        <is>
          <t>بله</t>
        </is>
      </c>
    </row>
    <row r="624">
      <c r="A624" s="173" t="n">
        <v>45545</v>
      </c>
      <c r="B624" s="174" t="n">
        <v>45545</v>
      </c>
      <c r="C624" s="174" t="n">
        <v>1403</v>
      </c>
      <c r="D624" s="174" t="n">
        <v>6</v>
      </c>
      <c r="E624" s="175" t="inlineStr">
        <is>
          <t>1403/06/20</t>
        </is>
      </c>
      <c r="F624" s="128" t="inlineStr">
        <is>
          <t>1403/06</t>
        </is>
      </c>
      <c r="G624" s="58" t="inlineStr">
        <is>
          <t>شهریور</t>
        </is>
      </c>
      <c r="H624" s="128" t="inlineStr">
        <is>
          <t>تابستان</t>
        </is>
      </c>
      <c r="I624" s="128" t="inlineStr">
        <is>
          <t>سه‌شنبه</t>
        </is>
      </c>
      <c r="J624" s="128" t="inlineStr">
        <is>
          <t>بله</t>
        </is>
      </c>
    </row>
    <row r="625">
      <c r="A625" s="176" t="n">
        <v>45546</v>
      </c>
      <c r="B625" s="177" t="n">
        <v>45546</v>
      </c>
      <c r="C625" s="177" t="n">
        <v>1403</v>
      </c>
      <c r="D625" s="177" t="n">
        <v>6</v>
      </c>
      <c r="E625" s="178" t="inlineStr">
        <is>
          <t>1403/06/21</t>
        </is>
      </c>
      <c r="F625" s="134" t="inlineStr">
        <is>
          <t>1403/06</t>
        </is>
      </c>
      <c r="G625" s="61" t="inlineStr">
        <is>
          <t>شهریور</t>
        </is>
      </c>
      <c r="H625" s="134" t="inlineStr">
        <is>
          <t>تابستان</t>
        </is>
      </c>
      <c r="I625" s="134" t="inlineStr">
        <is>
          <t>چهارشنبه</t>
        </is>
      </c>
      <c r="J625" s="134" t="inlineStr">
        <is>
          <t>بله</t>
        </is>
      </c>
    </row>
    <row r="626">
      <c r="A626" s="173" t="n">
        <v>45547</v>
      </c>
      <c r="B626" s="174" t="n">
        <v>45547</v>
      </c>
      <c r="C626" s="174" t="n">
        <v>1403</v>
      </c>
      <c r="D626" s="174" t="n">
        <v>6</v>
      </c>
      <c r="E626" s="175" t="inlineStr">
        <is>
          <t>1403/06/22</t>
        </is>
      </c>
      <c r="F626" s="128" t="inlineStr">
        <is>
          <t>1403/06</t>
        </is>
      </c>
      <c r="G626" s="58" t="inlineStr">
        <is>
          <t>شهریور</t>
        </is>
      </c>
      <c r="H626" s="128" t="inlineStr">
        <is>
          <t>تابستان</t>
        </is>
      </c>
      <c r="I626" s="128" t="inlineStr">
        <is>
          <t>پنجشنبه</t>
        </is>
      </c>
      <c r="J626" s="128" t="inlineStr">
        <is>
          <t>بله</t>
        </is>
      </c>
    </row>
    <row r="627">
      <c r="A627" s="176" t="n">
        <v>45548</v>
      </c>
      <c r="B627" s="177" t="n">
        <v>45548</v>
      </c>
      <c r="C627" s="177" t="n">
        <v>1403</v>
      </c>
      <c r="D627" s="177" t="n">
        <v>6</v>
      </c>
      <c r="E627" s="178" t="inlineStr">
        <is>
          <t>1403/06/23</t>
        </is>
      </c>
      <c r="F627" s="134" t="inlineStr">
        <is>
          <t>1403/06</t>
        </is>
      </c>
      <c r="G627" s="61" t="inlineStr">
        <is>
          <t>شهریور</t>
        </is>
      </c>
      <c r="H627" s="134" t="inlineStr">
        <is>
          <t>تابستان</t>
        </is>
      </c>
      <c r="I627" s="134" t="inlineStr">
        <is>
          <t>جمعه</t>
        </is>
      </c>
      <c r="J627" s="134" t="inlineStr">
        <is>
          <t>بله</t>
        </is>
      </c>
    </row>
    <row r="628">
      <c r="A628" s="173" t="n">
        <v>45549</v>
      </c>
      <c r="B628" s="174" t="n">
        <v>45549</v>
      </c>
      <c r="C628" s="174" t="n">
        <v>1403</v>
      </c>
      <c r="D628" s="174" t="n">
        <v>6</v>
      </c>
      <c r="E628" s="175" t="inlineStr">
        <is>
          <t>1403/06/24</t>
        </is>
      </c>
      <c r="F628" s="128" t="inlineStr">
        <is>
          <t>1403/06</t>
        </is>
      </c>
      <c r="G628" s="58" t="inlineStr">
        <is>
          <t>شهریور</t>
        </is>
      </c>
      <c r="H628" s="128" t="inlineStr">
        <is>
          <t>تابستان</t>
        </is>
      </c>
      <c r="I628" s="128" t="inlineStr">
        <is>
          <t>شنبه</t>
        </is>
      </c>
      <c r="J628" s="128" t="inlineStr">
        <is>
          <t>خیر</t>
        </is>
      </c>
    </row>
    <row r="629">
      <c r="A629" s="176" t="n">
        <v>45550</v>
      </c>
      <c r="B629" s="177" t="n">
        <v>45550</v>
      </c>
      <c r="C629" s="177" t="n">
        <v>1403</v>
      </c>
      <c r="D629" s="177" t="n">
        <v>6</v>
      </c>
      <c r="E629" s="178" t="inlineStr">
        <is>
          <t>1403/06/25</t>
        </is>
      </c>
      <c r="F629" s="134" t="inlineStr">
        <is>
          <t>1403/06</t>
        </is>
      </c>
      <c r="G629" s="61" t="inlineStr">
        <is>
          <t>شهریور</t>
        </is>
      </c>
      <c r="H629" s="134" t="inlineStr">
        <is>
          <t>تابستان</t>
        </is>
      </c>
      <c r="I629" s="134" t="inlineStr">
        <is>
          <t>یکشنبه</t>
        </is>
      </c>
      <c r="J629" s="134" t="inlineStr">
        <is>
          <t>خیر</t>
        </is>
      </c>
    </row>
    <row r="630">
      <c r="A630" s="173" t="n">
        <v>45551</v>
      </c>
      <c r="B630" s="174" t="n">
        <v>45551</v>
      </c>
      <c r="C630" s="174" t="n">
        <v>1403</v>
      </c>
      <c r="D630" s="174" t="n">
        <v>6</v>
      </c>
      <c r="E630" s="175" t="inlineStr">
        <is>
          <t>1403/06/26</t>
        </is>
      </c>
      <c r="F630" s="128" t="inlineStr">
        <is>
          <t>1403/06</t>
        </is>
      </c>
      <c r="G630" s="58" t="inlineStr">
        <is>
          <t>شهریور</t>
        </is>
      </c>
      <c r="H630" s="128" t="inlineStr">
        <is>
          <t>تابستان</t>
        </is>
      </c>
      <c r="I630" s="128" t="inlineStr">
        <is>
          <t>دوشنبه</t>
        </is>
      </c>
      <c r="J630" s="128" t="inlineStr">
        <is>
          <t>بله</t>
        </is>
      </c>
    </row>
    <row r="631">
      <c r="A631" s="176" t="n">
        <v>45552</v>
      </c>
      <c r="B631" s="177" t="n">
        <v>45552</v>
      </c>
      <c r="C631" s="177" t="n">
        <v>1403</v>
      </c>
      <c r="D631" s="177" t="n">
        <v>6</v>
      </c>
      <c r="E631" s="178" t="inlineStr">
        <is>
          <t>1403/06/27</t>
        </is>
      </c>
      <c r="F631" s="134" t="inlineStr">
        <is>
          <t>1403/06</t>
        </is>
      </c>
      <c r="G631" s="61" t="inlineStr">
        <is>
          <t>شهریور</t>
        </is>
      </c>
      <c r="H631" s="134" t="inlineStr">
        <is>
          <t>تابستان</t>
        </is>
      </c>
      <c r="I631" s="134" t="inlineStr">
        <is>
          <t>سه‌شنبه</t>
        </is>
      </c>
      <c r="J631" s="134" t="inlineStr">
        <is>
          <t>بله</t>
        </is>
      </c>
    </row>
    <row r="632">
      <c r="A632" s="173" t="n">
        <v>45553</v>
      </c>
      <c r="B632" s="174" t="n">
        <v>45553</v>
      </c>
      <c r="C632" s="174" t="n">
        <v>1403</v>
      </c>
      <c r="D632" s="174" t="n">
        <v>6</v>
      </c>
      <c r="E632" s="175" t="inlineStr">
        <is>
          <t>1403/06/28</t>
        </is>
      </c>
      <c r="F632" s="128" t="inlineStr">
        <is>
          <t>1403/06</t>
        </is>
      </c>
      <c r="G632" s="58" t="inlineStr">
        <is>
          <t>شهریور</t>
        </is>
      </c>
      <c r="H632" s="128" t="inlineStr">
        <is>
          <t>تابستان</t>
        </is>
      </c>
      <c r="I632" s="128" t="inlineStr">
        <is>
          <t>چهارشنبه</t>
        </is>
      </c>
      <c r="J632" s="128" t="inlineStr">
        <is>
          <t>بله</t>
        </is>
      </c>
    </row>
    <row r="633">
      <c r="A633" s="176" t="n">
        <v>45554</v>
      </c>
      <c r="B633" s="177" t="n">
        <v>45554</v>
      </c>
      <c r="C633" s="177" t="n">
        <v>1403</v>
      </c>
      <c r="D633" s="177" t="n">
        <v>6</v>
      </c>
      <c r="E633" s="178" t="inlineStr">
        <is>
          <t>1403/06/29</t>
        </is>
      </c>
      <c r="F633" s="134" t="inlineStr">
        <is>
          <t>1403/06</t>
        </is>
      </c>
      <c r="G633" s="61" t="inlineStr">
        <is>
          <t>شهریور</t>
        </is>
      </c>
      <c r="H633" s="134" t="inlineStr">
        <is>
          <t>تابستان</t>
        </is>
      </c>
      <c r="I633" s="134" t="inlineStr">
        <is>
          <t>پنجشنبه</t>
        </is>
      </c>
      <c r="J633" s="134" t="inlineStr">
        <is>
          <t>بله</t>
        </is>
      </c>
    </row>
    <row r="634">
      <c r="A634" s="173" t="n">
        <v>45555</v>
      </c>
      <c r="B634" s="174" t="n">
        <v>45555</v>
      </c>
      <c r="C634" s="174" t="n">
        <v>1403</v>
      </c>
      <c r="D634" s="174" t="n">
        <v>6</v>
      </c>
      <c r="E634" s="175" t="inlineStr">
        <is>
          <t>1403/06/30</t>
        </is>
      </c>
      <c r="F634" s="128" t="inlineStr">
        <is>
          <t>1403/06</t>
        </is>
      </c>
      <c r="G634" s="58" t="inlineStr">
        <is>
          <t>شهریور</t>
        </is>
      </c>
      <c r="H634" s="128" t="inlineStr">
        <is>
          <t>تابستان</t>
        </is>
      </c>
      <c r="I634" s="128" t="inlineStr">
        <is>
          <t>جمعه</t>
        </is>
      </c>
      <c r="J634" s="128" t="inlineStr">
        <is>
          <t>بله</t>
        </is>
      </c>
    </row>
    <row r="635">
      <c r="A635" s="176" t="n">
        <v>45556</v>
      </c>
      <c r="B635" s="177" t="n">
        <v>45556</v>
      </c>
      <c r="C635" s="177" t="n">
        <v>1403</v>
      </c>
      <c r="D635" s="177" t="n">
        <v>6</v>
      </c>
      <c r="E635" s="178" t="inlineStr">
        <is>
          <t>1403/06/31</t>
        </is>
      </c>
      <c r="F635" s="134" t="inlineStr">
        <is>
          <t>1403/06</t>
        </is>
      </c>
      <c r="G635" s="61" t="inlineStr">
        <is>
          <t>شهریور</t>
        </is>
      </c>
      <c r="H635" s="134" t="inlineStr">
        <is>
          <t>تابستان</t>
        </is>
      </c>
      <c r="I635" s="134" t="inlineStr">
        <is>
          <t>شنبه</t>
        </is>
      </c>
      <c r="J635" s="134" t="inlineStr">
        <is>
          <t>خیر</t>
        </is>
      </c>
    </row>
    <row r="636">
      <c r="A636" s="173" t="n">
        <v>45557</v>
      </c>
      <c r="B636" s="174" t="n">
        <v>45557</v>
      </c>
      <c r="C636" s="174" t="n">
        <v>1403</v>
      </c>
      <c r="D636" s="174" t="n">
        <v>7</v>
      </c>
      <c r="E636" s="175" t="inlineStr">
        <is>
          <t>1403/07/01</t>
        </is>
      </c>
      <c r="F636" s="128" t="inlineStr">
        <is>
          <t>1403/07</t>
        </is>
      </c>
      <c r="G636" s="58" t="inlineStr">
        <is>
          <t>مهر</t>
        </is>
      </c>
      <c r="H636" s="128" t="inlineStr">
        <is>
          <t>پاییز</t>
        </is>
      </c>
      <c r="I636" s="128" t="inlineStr">
        <is>
          <t>یکشنبه</t>
        </is>
      </c>
      <c r="J636" s="128" t="inlineStr">
        <is>
          <t>خیر</t>
        </is>
      </c>
    </row>
    <row r="637">
      <c r="A637" s="176" t="n">
        <v>45558</v>
      </c>
      <c r="B637" s="177" t="n">
        <v>45558</v>
      </c>
      <c r="C637" s="177" t="n">
        <v>1403</v>
      </c>
      <c r="D637" s="177" t="n">
        <v>7</v>
      </c>
      <c r="E637" s="178" t="inlineStr">
        <is>
          <t>1403/07/02</t>
        </is>
      </c>
      <c r="F637" s="134" t="inlineStr">
        <is>
          <t>1403/07</t>
        </is>
      </c>
      <c r="G637" s="61" t="inlineStr">
        <is>
          <t>مهر</t>
        </is>
      </c>
      <c r="H637" s="134" t="inlineStr">
        <is>
          <t>پاییز</t>
        </is>
      </c>
      <c r="I637" s="134" t="inlineStr">
        <is>
          <t>دوشنبه</t>
        </is>
      </c>
      <c r="J637" s="134" t="inlineStr">
        <is>
          <t>بله</t>
        </is>
      </c>
    </row>
    <row r="638">
      <c r="A638" s="173" t="n">
        <v>45559</v>
      </c>
      <c r="B638" s="174" t="n">
        <v>45559</v>
      </c>
      <c r="C638" s="174" t="n">
        <v>1403</v>
      </c>
      <c r="D638" s="174" t="n">
        <v>7</v>
      </c>
      <c r="E638" s="175" t="inlineStr">
        <is>
          <t>1403/07/03</t>
        </is>
      </c>
      <c r="F638" s="128" t="inlineStr">
        <is>
          <t>1403/07</t>
        </is>
      </c>
      <c r="G638" s="58" t="inlineStr">
        <is>
          <t>مهر</t>
        </is>
      </c>
      <c r="H638" s="128" t="inlineStr">
        <is>
          <t>پاییز</t>
        </is>
      </c>
      <c r="I638" s="128" t="inlineStr">
        <is>
          <t>سه‌شنبه</t>
        </is>
      </c>
      <c r="J638" s="128" t="inlineStr">
        <is>
          <t>بله</t>
        </is>
      </c>
    </row>
    <row r="639">
      <c r="A639" s="176" t="n">
        <v>45560</v>
      </c>
      <c r="B639" s="177" t="n">
        <v>45560</v>
      </c>
      <c r="C639" s="177" t="n">
        <v>1403</v>
      </c>
      <c r="D639" s="177" t="n">
        <v>7</v>
      </c>
      <c r="E639" s="178" t="inlineStr">
        <is>
          <t>1403/07/04</t>
        </is>
      </c>
      <c r="F639" s="134" t="inlineStr">
        <is>
          <t>1403/07</t>
        </is>
      </c>
      <c r="G639" s="61" t="inlineStr">
        <is>
          <t>مهر</t>
        </is>
      </c>
      <c r="H639" s="134" t="inlineStr">
        <is>
          <t>پاییز</t>
        </is>
      </c>
      <c r="I639" s="134" t="inlineStr">
        <is>
          <t>چهارشنبه</t>
        </is>
      </c>
      <c r="J639" s="134" t="inlineStr">
        <is>
          <t>بله</t>
        </is>
      </c>
    </row>
    <row r="640">
      <c r="A640" s="173" t="n">
        <v>45561</v>
      </c>
      <c r="B640" s="174" t="n">
        <v>45561</v>
      </c>
      <c r="C640" s="174" t="n">
        <v>1403</v>
      </c>
      <c r="D640" s="174" t="n">
        <v>7</v>
      </c>
      <c r="E640" s="175" t="inlineStr">
        <is>
          <t>1403/07/05</t>
        </is>
      </c>
      <c r="F640" s="128" t="inlineStr">
        <is>
          <t>1403/07</t>
        </is>
      </c>
      <c r="G640" s="58" t="inlineStr">
        <is>
          <t>مهر</t>
        </is>
      </c>
      <c r="H640" s="128" t="inlineStr">
        <is>
          <t>پاییز</t>
        </is>
      </c>
      <c r="I640" s="128" t="inlineStr">
        <is>
          <t>پنجشنبه</t>
        </is>
      </c>
      <c r="J640" s="128" t="inlineStr">
        <is>
          <t>بله</t>
        </is>
      </c>
    </row>
    <row r="641">
      <c r="A641" s="176" t="n">
        <v>45562</v>
      </c>
      <c r="B641" s="177" t="n">
        <v>45562</v>
      </c>
      <c r="C641" s="177" t="n">
        <v>1403</v>
      </c>
      <c r="D641" s="177" t="n">
        <v>7</v>
      </c>
      <c r="E641" s="178" t="inlineStr">
        <is>
          <t>1403/07/06</t>
        </is>
      </c>
      <c r="F641" s="134" t="inlineStr">
        <is>
          <t>1403/07</t>
        </is>
      </c>
      <c r="G641" s="61" t="inlineStr">
        <is>
          <t>مهر</t>
        </is>
      </c>
      <c r="H641" s="134" t="inlineStr">
        <is>
          <t>پاییز</t>
        </is>
      </c>
      <c r="I641" s="134" t="inlineStr">
        <is>
          <t>جمعه</t>
        </is>
      </c>
      <c r="J641" s="134" t="inlineStr">
        <is>
          <t>بله</t>
        </is>
      </c>
    </row>
    <row r="642">
      <c r="A642" s="173" t="n">
        <v>45563</v>
      </c>
      <c r="B642" s="174" t="n">
        <v>45563</v>
      </c>
      <c r="C642" s="174" t="n">
        <v>1403</v>
      </c>
      <c r="D642" s="174" t="n">
        <v>7</v>
      </c>
      <c r="E642" s="175" t="inlineStr">
        <is>
          <t>1403/07/07</t>
        </is>
      </c>
      <c r="F642" s="128" t="inlineStr">
        <is>
          <t>1403/07</t>
        </is>
      </c>
      <c r="G642" s="58" t="inlineStr">
        <is>
          <t>مهر</t>
        </is>
      </c>
      <c r="H642" s="128" t="inlineStr">
        <is>
          <t>پاییز</t>
        </is>
      </c>
      <c r="I642" s="128" t="inlineStr">
        <is>
          <t>شنبه</t>
        </is>
      </c>
      <c r="J642" s="128" t="inlineStr">
        <is>
          <t>خیر</t>
        </is>
      </c>
    </row>
    <row r="643">
      <c r="A643" s="176" t="n">
        <v>45564</v>
      </c>
      <c r="B643" s="177" t="n">
        <v>45564</v>
      </c>
      <c r="C643" s="177" t="n">
        <v>1403</v>
      </c>
      <c r="D643" s="177" t="n">
        <v>7</v>
      </c>
      <c r="E643" s="178" t="inlineStr">
        <is>
          <t>1403/07/08</t>
        </is>
      </c>
      <c r="F643" s="134" t="inlineStr">
        <is>
          <t>1403/07</t>
        </is>
      </c>
      <c r="G643" s="61" t="inlineStr">
        <is>
          <t>مهر</t>
        </is>
      </c>
      <c r="H643" s="134" t="inlineStr">
        <is>
          <t>پاییز</t>
        </is>
      </c>
      <c r="I643" s="134" t="inlineStr">
        <is>
          <t>یکشنبه</t>
        </is>
      </c>
      <c r="J643" s="134" t="inlineStr">
        <is>
          <t>خیر</t>
        </is>
      </c>
    </row>
    <row r="644">
      <c r="A644" s="173" t="n">
        <v>45565</v>
      </c>
      <c r="B644" s="174" t="n">
        <v>45565</v>
      </c>
      <c r="C644" s="174" t="n">
        <v>1403</v>
      </c>
      <c r="D644" s="174" t="n">
        <v>7</v>
      </c>
      <c r="E644" s="175" t="inlineStr">
        <is>
          <t>1403/07/09</t>
        </is>
      </c>
      <c r="F644" s="128" t="inlineStr">
        <is>
          <t>1403/07</t>
        </is>
      </c>
      <c r="G644" s="58" t="inlineStr">
        <is>
          <t>مهر</t>
        </is>
      </c>
      <c r="H644" s="128" t="inlineStr">
        <is>
          <t>پاییز</t>
        </is>
      </c>
      <c r="I644" s="128" t="inlineStr">
        <is>
          <t>دوشنبه</t>
        </is>
      </c>
      <c r="J644" s="128" t="inlineStr">
        <is>
          <t>بله</t>
        </is>
      </c>
    </row>
    <row r="645">
      <c r="A645" s="176" t="n">
        <v>45566</v>
      </c>
      <c r="B645" s="177" t="n">
        <v>45566</v>
      </c>
      <c r="C645" s="177" t="n">
        <v>1403</v>
      </c>
      <c r="D645" s="177" t="n">
        <v>7</v>
      </c>
      <c r="E645" s="178" t="inlineStr">
        <is>
          <t>1403/07/10</t>
        </is>
      </c>
      <c r="F645" s="134" t="inlineStr">
        <is>
          <t>1403/07</t>
        </is>
      </c>
      <c r="G645" s="61" t="inlineStr">
        <is>
          <t>مهر</t>
        </is>
      </c>
      <c r="H645" s="134" t="inlineStr">
        <is>
          <t>پاییز</t>
        </is>
      </c>
      <c r="I645" s="134" t="inlineStr">
        <is>
          <t>سه‌شنبه</t>
        </is>
      </c>
      <c r="J645" s="134" t="inlineStr">
        <is>
          <t>بله</t>
        </is>
      </c>
    </row>
    <row r="646">
      <c r="A646" s="173" t="n">
        <v>45567</v>
      </c>
      <c r="B646" s="174" t="n">
        <v>45567</v>
      </c>
      <c r="C646" s="174" t="n">
        <v>1403</v>
      </c>
      <c r="D646" s="174" t="n">
        <v>7</v>
      </c>
      <c r="E646" s="175" t="inlineStr">
        <is>
          <t>1403/07/11</t>
        </is>
      </c>
      <c r="F646" s="128" t="inlineStr">
        <is>
          <t>1403/07</t>
        </is>
      </c>
      <c r="G646" s="58" t="inlineStr">
        <is>
          <t>مهر</t>
        </is>
      </c>
      <c r="H646" s="128" t="inlineStr">
        <is>
          <t>پاییز</t>
        </is>
      </c>
      <c r="I646" s="128" t="inlineStr">
        <is>
          <t>چهارشنبه</t>
        </is>
      </c>
      <c r="J646" s="128" t="inlineStr">
        <is>
          <t>بله</t>
        </is>
      </c>
    </row>
    <row r="647">
      <c r="A647" s="176" t="n">
        <v>45568</v>
      </c>
      <c r="B647" s="177" t="n">
        <v>45568</v>
      </c>
      <c r="C647" s="177" t="n">
        <v>1403</v>
      </c>
      <c r="D647" s="177" t="n">
        <v>7</v>
      </c>
      <c r="E647" s="178" t="inlineStr">
        <is>
          <t>1403/07/12</t>
        </is>
      </c>
      <c r="F647" s="134" t="inlineStr">
        <is>
          <t>1403/07</t>
        </is>
      </c>
      <c r="G647" s="61" t="inlineStr">
        <is>
          <t>مهر</t>
        </is>
      </c>
      <c r="H647" s="134" t="inlineStr">
        <is>
          <t>پاییز</t>
        </is>
      </c>
      <c r="I647" s="134" t="inlineStr">
        <is>
          <t>پنجشنبه</t>
        </is>
      </c>
      <c r="J647" s="134" t="inlineStr">
        <is>
          <t>بله</t>
        </is>
      </c>
    </row>
    <row r="648">
      <c r="A648" s="173" t="n">
        <v>45569</v>
      </c>
      <c r="B648" s="174" t="n">
        <v>45569</v>
      </c>
      <c r="C648" s="174" t="n">
        <v>1403</v>
      </c>
      <c r="D648" s="174" t="n">
        <v>7</v>
      </c>
      <c r="E648" s="175" t="inlineStr">
        <is>
          <t>1403/07/13</t>
        </is>
      </c>
      <c r="F648" s="128" t="inlineStr">
        <is>
          <t>1403/07</t>
        </is>
      </c>
      <c r="G648" s="58" t="inlineStr">
        <is>
          <t>مهر</t>
        </is>
      </c>
      <c r="H648" s="128" t="inlineStr">
        <is>
          <t>پاییز</t>
        </is>
      </c>
      <c r="I648" s="128" t="inlineStr">
        <is>
          <t>جمعه</t>
        </is>
      </c>
      <c r="J648" s="128" t="inlineStr">
        <is>
          <t>بله</t>
        </is>
      </c>
    </row>
    <row r="649">
      <c r="A649" s="176" t="n">
        <v>45570</v>
      </c>
      <c r="B649" s="177" t="n">
        <v>45570</v>
      </c>
      <c r="C649" s="177" t="n">
        <v>1403</v>
      </c>
      <c r="D649" s="177" t="n">
        <v>7</v>
      </c>
      <c r="E649" s="178" t="inlineStr">
        <is>
          <t>1403/07/14</t>
        </is>
      </c>
      <c r="F649" s="134" t="inlineStr">
        <is>
          <t>1403/07</t>
        </is>
      </c>
      <c r="G649" s="61" t="inlineStr">
        <is>
          <t>مهر</t>
        </is>
      </c>
      <c r="H649" s="134" t="inlineStr">
        <is>
          <t>پاییز</t>
        </is>
      </c>
      <c r="I649" s="134" t="inlineStr">
        <is>
          <t>شنبه</t>
        </is>
      </c>
      <c r="J649" s="134" t="inlineStr">
        <is>
          <t>خیر</t>
        </is>
      </c>
    </row>
    <row r="650">
      <c r="A650" s="173" t="n">
        <v>45571</v>
      </c>
      <c r="B650" s="174" t="n">
        <v>45571</v>
      </c>
      <c r="C650" s="174" t="n">
        <v>1403</v>
      </c>
      <c r="D650" s="174" t="n">
        <v>7</v>
      </c>
      <c r="E650" s="175" t="inlineStr">
        <is>
          <t>1403/07/15</t>
        </is>
      </c>
      <c r="F650" s="128" t="inlineStr">
        <is>
          <t>1403/07</t>
        </is>
      </c>
      <c r="G650" s="58" t="inlineStr">
        <is>
          <t>مهر</t>
        </is>
      </c>
      <c r="H650" s="128" t="inlineStr">
        <is>
          <t>پاییز</t>
        </is>
      </c>
      <c r="I650" s="128" t="inlineStr">
        <is>
          <t>یکشنبه</t>
        </is>
      </c>
      <c r="J650" s="128" t="inlineStr">
        <is>
          <t>خیر</t>
        </is>
      </c>
    </row>
    <row r="651">
      <c r="A651" s="176" t="n">
        <v>45572</v>
      </c>
      <c r="B651" s="177" t="n">
        <v>45572</v>
      </c>
      <c r="C651" s="177" t="n">
        <v>1403</v>
      </c>
      <c r="D651" s="177" t="n">
        <v>7</v>
      </c>
      <c r="E651" s="178" t="inlineStr">
        <is>
          <t>1403/07/16</t>
        </is>
      </c>
      <c r="F651" s="134" t="inlineStr">
        <is>
          <t>1403/07</t>
        </is>
      </c>
      <c r="G651" s="61" t="inlineStr">
        <is>
          <t>مهر</t>
        </is>
      </c>
      <c r="H651" s="134" t="inlineStr">
        <is>
          <t>پاییز</t>
        </is>
      </c>
      <c r="I651" s="134" t="inlineStr">
        <is>
          <t>دوشنبه</t>
        </is>
      </c>
      <c r="J651" s="134" t="inlineStr">
        <is>
          <t>بله</t>
        </is>
      </c>
    </row>
    <row r="652">
      <c r="A652" s="173" t="n">
        <v>45573</v>
      </c>
      <c r="B652" s="174" t="n">
        <v>45573</v>
      </c>
      <c r="C652" s="174" t="n">
        <v>1403</v>
      </c>
      <c r="D652" s="174" t="n">
        <v>7</v>
      </c>
      <c r="E652" s="175" t="inlineStr">
        <is>
          <t>1403/07/17</t>
        </is>
      </c>
      <c r="F652" s="128" t="inlineStr">
        <is>
          <t>1403/07</t>
        </is>
      </c>
      <c r="G652" s="58" t="inlineStr">
        <is>
          <t>مهر</t>
        </is>
      </c>
      <c r="H652" s="128" t="inlineStr">
        <is>
          <t>پاییز</t>
        </is>
      </c>
      <c r="I652" s="128" t="inlineStr">
        <is>
          <t>سه‌شنبه</t>
        </is>
      </c>
      <c r="J652" s="128" t="inlineStr">
        <is>
          <t>بله</t>
        </is>
      </c>
    </row>
    <row r="653">
      <c r="A653" s="176" t="n">
        <v>45574</v>
      </c>
      <c r="B653" s="177" t="n">
        <v>45574</v>
      </c>
      <c r="C653" s="177" t="n">
        <v>1403</v>
      </c>
      <c r="D653" s="177" t="n">
        <v>7</v>
      </c>
      <c r="E653" s="178" t="inlineStr">
        <is>
          <t>1403/07/18</t>
        </is>
      </c>
      <c r="F653" s="134" t="inlineStr">
        <is>
          <t>1403/07</t>
        </is>
      </c>
      <c r="G653" s="61" t="inlineStr">
        <is>
          <t>مهر</t>
        </is>
      </c>
      <c r="H653" s="134" t="inlineStr">
        <is>
          <t>پاییز</t>
        </is>
      </c>
      <c r="I653" s="134" t="inlineStr">
        <is>
          <t>چهارشنبه</t>
        </is>
      </c>
      <c r="J653" s="134" t="inlineStr">
        <is>
          <t>بله</t>
        </is>
      </c>
    </row>
    <row r="654">
      <c r="A654" s="173" t="n">
        <v>45575</v>
      </c>
      <c r="B654" s="174" t="n">
        <v>45575</v>
      </c>
      <c r="C654" s="174" t="n">
        <v>1403</v>
      </c>
      <c r="D654" s="174" t="n">
        <v>7</v>
      </c>
      <c r="E654" s="175" t="inlineStr">
        <is>
          <t>1403/07/19</t>
        </is>
      </c>
      <c r="F654" s="128" t="inlineStr">
        <is>
          <t>1403/07</t>
        </is>
      </c>
      <c r="G654" s="58" t="inlineStr">
        <is>
          <t>مهر</t>
        </is>
      </c>
      <c r="H654" s="128" t="inlineStr">
        <is>
          <t>پاییز</t>
        </is>
      </c>
      <c r="I654" s="128" t="inlineStr">
        <is>
          <t>پنجشنبه</t>
        </is>
      </c>
      <c r="J654" s="128" t="inlineStr">
        <is>
          <t>بله</t>
        </is>
      </c>
    </row>
    <row r="655">
      <c r="A655" s="176" t="n">
        <v>45576</v>
      </c>
      <c r="B655" s="177" t="n">
        <v>45576</v>
      </c>
      <c r="C655" s="177" t="n">
        <v>1403</v>
      </c>
      <c r="D655" s="177" t="n">
        <v>7</v>
      </c>
      <c r="E655" s="178" t="inlineStr">
        <is>
          <t>1403/07/20</t>
        </is>
      </c>
      <c r="F655" s="134" t="inlineStr">
        <is>
          <t>1403/07</t>
        </is>
      </c>
      <c r="G655" s="61" t="inlineStr">
        <is>
          <t>مهر</t>
        </is>
      </c>
      <c r="H655" s="134" t="inlineStr">
        <is>
          <t>پاییز</t>
        </is>
      </c>
      <c r="I655" s="134" t="inlineStr">
        <is>
          <t>جمعه</t>
        </is>
      </c>
      <c r="J655" s="134" t="inlineStr">
        <is>
          <t>بله</t>
        </is>
      </c>
    </row>
    <row r="656">
      <c r="A656" s="173" t="n">
        <v>45577</v>
      </c>
      <c r="B656" s="174" t="n">
        <v>45577</v>
      </c>
      <c r="C656" s="174" t="n">
        <v>1403</v>
      </c>
      <c r="D656" s="174" t="n">
        <v>7</v>
      </c>
      <c r="E656" s="175" t="inlineStr">
        <is>
          <t>1403/07/21</t>
        </is>
      </c>
      <c r="F656" s="128" t="inlineStr">
        <is>
          <t>1403/07</t>
        </is>
      </c>
      <c r="G656" s="58" t="inlineStr">
        <is>
          <t>مهر</t>
        </is>
      </c>
      <c r="H656" s="128" t="inlineStr">
        <is>
          <t>پاییز</t>
        </is>
      </c>
      <c r="I656" s="128" t="inlineStr">
        <is>
          <t>شنبه</t>
        </is>
      </c>
      <c r="J656" s="128" t="inlineStr">
        <is>
          <t>خیر</t>
        </is>
      </c>
    </row>
    <row r="657">
      <c r="A657" s="176" t="n">
        <v>45578</v>
      </c>
      <c r="B657" s="177" t="n">
        <v>45578</v>
      </c>
      <c r="C657" s="177" t="n">
        <v>1403</v>
      </c>
      <c r="D657" s="177" t="n">
        <v>7</v>
      </c>
      <c r="E657" s="178" t="inlineStr">
        <is>
          <t>1403/07/22</t>
        </is>
      </c>
      <c r="F657" s="134" t="inlineStr">
        <is>
          <t>1403/07</t>
        </is>
      </c>
      <c r="G657" s="61" t="inlineStr">
        <is>
          <t>مهر</t>
        </is>
      </c>
      <c r="H657" s="134" t="inlineStr">
        <is>
          <t>پاییز</t>
        </is>
      </c>
      <c r="I657" s="134" t="inlineStr">
        <is>
          <t>یکشنبه</t>
        </is>
      </c>
      <c r="J657" s="134" t="inlineStr">
        <is>
          <t>خیر</t>
        </is>
      </c>
    </row>
    <row r="658">
      <c r="A658" s="173" t="n">
        <v>45579</v>
      </c>
      <c r="B658" s="174" t="n">
        <v>45579</v>
      </c>
      <c r="C658" s="174" t="n">
        <v>1403</v>
      </c>
      <c r="D658" s="174" t="n">
        <v>7</v>
      </c>
      <c r="E658" s="175" t="inlineStr">
        <is>
          <t>1403/07/23</t>
        </is>
      </c>
      <c r="F658" s="128" t="inlineStr">
        <is>
          <t>1403/07</t>
        </is>
      </c>
      <c r="G658" s="58" t="inlineStr">
        <is>
          <t>مهر</t>
        </is>
      </c>
      <c r="H658" s="128" t="inlineStr">
        <is>
          <t>پاییز</t>
        </is>
      </c>
      <c r="I658" s="128" t="inlineStr">
        <is>
          <t>دوشنبه</t>
        </is>
      </c>
      <c r="J658" s="128" t="inlineStr">
        <is>
          <t>بله</t>
        </is>
      </c>
    </row>
    <row r="659">
      <c r="A659" s="176" t="n">
        <v>45580</v>
      </c>
      <c r="B659" s="177" t="n">
        <v>45580</v>
      </c>
      <c r="C659" s="177" t="n">
        <v>1403</v>
      </c>
      <c r="D659" s="177" t="n">
        <v>7</v>
      </c>
      <c r="E659" s="178" t="inlineStr">
        <is>
          <t>1403/07/24</t>
        </is>
      </c>
      <c r="F659" s="134" t="inlineStr">
        <is>
          <t>1403/07</t>
        </is>
      </c>
      <c r="G659" s="61" t="inlineStr">
        <is>
          <t>مهر</t>
        </is>
      </c>
      <c r="H659" s="134" t="inlineStr">
        <is>
          <t>پاییز</t>
        </is>
      </c>
      <c r="I659" s="134" t="inlineStr">
        <is>
          <t>سه‌شنبه</t>
        </is>
      </c>
      <c r="J659" s="134" t="inlineStr">
        <is>
          <t>بله</t>
        </is>
      </c>
    </row>
    <row r="660">
      <c r="A660" s="173" t="n">
        <v>45581</v>
      </c>
      <c r="B660" s="174" t="n">
        <v>45581</v>
      </c>
      <c r="C660" s="174" t="n">
        <v>1403</v>
      </c>
      <c r="D660" s="174" t="n">
        <v>7</v>
      </c>
      <c r="E660" s="175" t="inlineStr">
        <is>
          <t>1403/07/25</t>
        </is>
      </c>
      <c r="F660" s="128" t="inlineStr">
        <is>
          <t>1403/07</t>
        </is>
      </c>
      <c r="G660" s="58" t="inlineStr">
        <is>
          <t>مهر</t>
        </is>
      </c>
      <c r="H660" s="128" t="inlineStr">
        <is>
          <t>پاییز</t>
        </is>
      </c>
      <c r="I660" s="128" t="inlineStr">
        <is>
          <t>چهارشنبه</t>
        </is>
      </c>
      <c r="J660" s="128" t="inlineStr">
        <is>
          <t>بله</t>
        </is>
      </c>
    </row>
    <row r="661">
      <c r="A661" s="176" t="n">
        <v>45582</v>
      </c>
      <c r="B661" s="177" t="n">
        <v>45582</v>
      </c>
      <c r="C661" s="177" t="n">
        <v>1403</v>
      </c>
      <c r="D661" s="177" t="n">
        <v>7</v>
      </c>
      <c r="E661" s="178" t="inlineStr">
        <is>
          <t>1403/07/26</t>
        </is>
      </c>
      <c r="F661" s="134" t="inlineStr">
        <is>
          <t>1403/07</t>
        </is>
      </c>
      <c r="G661" s="61" t="inlineStr">
        <is>
          <t>مهر</t>
        </is>
      </c>
      <c r="H661" s="134" t="inlineStr">
        <is>
          <t>پاییز</t>
        </is>
      </c>
      <c r="I661" s="134" t="inlineStr">
        <is>
          <t>پنجشنبه</t>
        </is>
      </c>
      <c r="J661" s="134" t="inlineStr">
        <is>
          <t>بله</t>
        </is>
      </c>
    </row>
    <row r="662">
      <c r="A662" s="173" t="n">
        <v>45583</v>
      </c>
      <c r="B662" s="174" t="n">
        <v>45583</v>
      </c>
      <c r="C662" s="174" t="n">
        <v>1403</v>
      </c>
      <c r="D662" s="174" t="n">
        <v>7</v>
      </c>
      <c r="E662" s="175" t="inlineStr">
        <is>
          <t>1403/07/27</t>
        </is>
      </c>
      <c r="F662" s="128" t="inlineStr">
        <is>
          <t>1403/07</t>
        </is>
      </c>
      <c r="G662" s="58" t="inlineStr">
        <is>
          <t>مهر</t>
        </is>
      </c>
      <c r="H662" s="128" t="inlineStr">
        <is>
          <t>پاییز</t>
        </is>
      </c>
      <c r="I662" s="128" t="inlineStr">
        <is>
          <t>جمعه</t>
        </is>
      </c>
      <c r="J662" s="128" t="inlineStr">
        <is>
          <t>بله</t>
        </is>
      </c>
    </row>
    <row r="663">
      <c r="A663" s="176" t="n">
        <v>45584</v>
      </c>
      <c r="B663" s="177" t="n">
        <v>45584</v>
      </c>
      <c r="C663" s="177" t="n">
        <v>1403</v>
      </c>
      <c r="D663" s="177" t="n">
        <v>7</v>
      </c>
      <c r="E663" s="178" t="inlineStr">
        <is>
          <t>1403/07/28</t>
        </is>
      </c>
      <c r="F663" s="134" t="inlineStr">
        <is>
          <t>1403/07</t>
        </is>
      </c>
      <c r="G663" s="61" t="inlineStr">
        <is>
          <t>مهر</t>
        </is>
      </c>
      <c r="H663" s="134" t="inlineStr">
        <is>
          <t>پاییز</t>
        </is>
      </c>
      <c r="I663" s="134" t="inlineStr">
        <is>
          <t>شنبه</t>
        </is>
      </c>
      <c r="J663" s="134" t="inlineStr">
        <is>
          <t>خیر</t>
        </is>
      </c>
    </row>
    <row r="664">
      <c r="A664" s="173" t="n">
        <v>45585</v>
      </c>
      <c r="B664" s="174" t="n">
        <v>45585</v>
      </c>
      <c r="C664" s="174" t="n">
        <v>1403</v>
      </c>
      <c r="D664" s="174" t="n">
        <v>7</v>
      </c>
      <c r="E664" s="175" t="inlineStr">
        <is>
          <t>1403/07/29</t>
        </is>
      </c>
      <c r="F664" s="128" t="inlineStr">
        <is>
          <t>1403/07</t>
        </is>
      </c>
      <c r="G664" s="58" t="inlineStr">
        <is>
          <t>مهر</t>
        </is>
      </c>
      <c r="H664" s="128" t="inlineStr">
        <is>
          <t>پاییز</t>
        </is>
      </c>
      <c r="I664" s="128" t="inlineStr">
        <is>
          <t>یکشنبه</t>
        </is>
      </c>
      <c r="J664" s="128" t="inlineStr">
        <is>
          <t>خیر</t>
        </is>
      </c>
    </row>
    <row r="665">
      <c r="A665" s="176" t="n">
        <v>45586</v>
      </c>
      <c r="B665" s="177" t="n">
        <v>45586</v>
      </c>
      <c r="C665" s="177" t="n">
        <v>1403</v>
      </c>
      <c r="D665" s="177" t="n">
        <v>7</v>
      </c>
      <c r="E665" s="178" t="inlineStr">
        <is>
          <t>1403/07/30</t>
        </is>
      </c>
      <c r="F665" s="134" t="inlineStr">
        <is>
          <t>1403/07</t>
        </is>
      </c>
      <c r="G665" s="61" t="inlineStr">
        <is>
          <t>مهر</t>
        </is>
      </c>
      <c r="H665" s="134" t="inlineStr">
        <is>
          <t>پاییز</t>
        </is>
      </c>
      <c r="I665" s="134" t="inlineStr">
        <is>
          <t>دوشنبه</t>
        </is>
      </c>
      <c r="J665" s="134" t="inlineStr">
        <is>
          <t>بله</t>
        </is>
      </c>
    </row>
    <row r="666">
      <c r="A666" s="173" t="n">
        <v>45587</v>
      </c>
      <c r="B666" s="174" t="n">
        <v>45587</v>
      </c>
      <c r="C666" s="174" t="n">
        <v>1403</v>
      </c>
      <c r="D666" s="174" t="n">
        <v>8</v>
      </c>
      <c r="E666" s="175" t="inlineStr">
        <is>
          <t>1403/08/01</t>
        </is>
      </c>
      <c r="F666" s="128" t="inlineStr">
        <is>
          <t>1403/08</t>
        </is>
      </c>
      <c r="G666" s="58" t="inlineStr">
        <is>
          <t>آبان</t>
        </is>
      </c>
      <c r="H666" s="128" t="inlineStr">
        <is>
          <t>پاییز</t>
        </is>
      </c>
      <c r="I666" s="128" t="inlineStr">
        <is>
          <t>سه‌شنبه</t>
        </is>
      </c>
      <c r="J666" s="128" t="inlineStr">
        <is>
          <t>بله</t>
        </is>
      </c>
    </row>
    <row r="667">
      <c r="A667" s="176" t="n">
        <v>45588</v>
      </c>
      <c r="B667" s="177" t="n">
        <v>45588</v>
      </c>
      <c r="C667" s="177" t="n">
        <v>1403</v>
      </c>
      <c r="D667" s="177" t="n">
        <v>8</v>
      </c>
      <c r="E667" s="178" t="inlineStr">
        <is>
          <t>1403/08/02</t>
        </is>
      </c>
      <c r="F667" s="134" t="inlineStr">
        <is>
          <t>1403/08</t>
        </is>
      </c>
      <c r="G667" s="61" t="inlineStr">
        <is>
          <t>آبان</t>
        </is>
      </c>
      <c r="H667" s="134" t="inlineStr">
        <is>
          <t>پاییز</t>
        </is>
      </c>
      <c r="I667" s="134" t="inlineStr">
        <is>
          <t>چهارشنبه</t>
        </is>
      </c>
      <c r="J667" s="134" t="inlineStr">
        <is>
          <t>بله</t>
        </is>
      </c>
    </row>
    <row r="668">
      <c r="A668" s="173" t="n">
        <v>45589</v>
      </c>
      <c r="B668" s="174" t="n">
        <v>45589</v>
      </c>
      <c r="C668" s="174" t="n">
        <v>1403</v>
      </c>
      <c r="D668" s="174" t="n">
        <v>8</v>
      </c>
      <c r="E668" s="175" t="inlineStr">
        <is>
          <t>1403/08/03</t>
        </is>
      </c>
      <c r="F668" s="128" t="inlineStr">
        <is>
          <t>1403/08</t>
        </is>
      </c>
      <c r="G668" s="58" t="inlineStr">
        <is>
          <t>آبان</t>
        </is>
      </c>
      <c r="H668" s="128" t="inlineStr">
        <is>
          <t>پاییز</t>
        </is>
      </c>
      <c r="I668" s="128" t="inlineStr">
        <is>
          <t>پنجشنبه</t>
        </is>
      </c>
      <c r="J668" s="128" t="inlineStr">
        <is>
          <t>بله</t>
        </is>
      </c>
    </row>
    <row r="669">
      <c r="A669" s="176" t="n">
        <v>45590</v>
      </c>
      <c r="B669" s="177" t="n">
        <v>45590</v>
      </c>
      <c r="C669" s="177" t="n">
        <v>1403</v>
      </c>
      <c r="D669" s="177" t="n">
        <v>8</v>
      </c>
      <c r="E669" s="178" t="inlineStr">
        <is>
          <t>1403/08/04</t>
        </is>
      </c>
      <c r="F669" s="134" t="inlineStr">
        <is>
          <t>1403/08</t>
        </is>
      </c>
      <c r="G669" s="61" t="inlineStr">
        <is>
          <t>آبان</t>
        </is>
      </c>
      <c r="H669" s="134" t="inlineStr">
        <is>
          <t>پاییز</t>
        </is>
      </c>
      <c r="I669" s="134" t="inlineStr">
        <is>
          <t>جمعه</t>
        </is>
      </c>
      <c r="J669" s="134" t="inlineStr">
        <is>
          <t>بله</t>
        </is>
      </c>
    </row>
    <row r="670">
      <c r="A670" s="173" t="n">
        <v>45591</v>
      </c>
      <c r="B670" s="174" t="n">
        <v>45591</v>
      </c>
      <c r="C670" s="174" t="n">
        <v>1403</v>
      </c>
      <c r="D670" s="174" t="n">
        <v>8</v>
      </c>
      <c r="E670" s="175" t="inlineStr">
        <is>
          <t>1403/08/05</t>
        </is>
      </c>
      <c r="F670" s="128" t="inlineStr">
        <is>
          <t>1403/08</t>
        </is>
      </c>
      <c r="G670" s="58" t="inlineStr">
        <is>
          <t>آبان</t>
        </is>
      </c>
      <c r="H670" s="128" t="inlineStr">
        <is>
          <t>پاییز</t>
        </is>
      </c>
      <c r="I670" s="128" t="inlineStr">
        <is>
          <t>شنبه</t>
        </is>
      </c>
      <c r="J670" s="128" t="inlineStr">
        <is>
          <t>خیر</t>
        </is>
      </c>
    </row>
    <row r="671">
      <c r="A671" s="176" t="n">
        <v>45592</v>
      </c>
      <c r="B671" s="177" t="n">
        <v>45592</v>
      </c>
      <c r="C671" s="177" t="n">
        <v>1403</v>
      </c>
      <c r="D671" s="177" t="n">
        <v>8</v>
      </c>
      <c r="E671" s="178" t="inlineStr">
        <is>
          <t>1403/08/06</t>
        </is>
      </c>
      <c r="F671" s="134" t="inlineStr">
        <is>
          <t>1403/08</t>
        </is>
      </c>
      <c r="G671" s="61" t="inlineStr">
        <is>
          <t>آبان</t>
        </is>
      </c>
      <c r="H671" s="134" t="inlineStr">
        <is>
          <t>پاییز</t>
        </is>
      </c>
      <c r="I671" s="134" t="inlineStr">
        <is>
          <t>یکشنبه</t>
        </is>
      </c>
      <c r="J671" s="134" t="inlineStr">
        <is>
          <t>خیر</t>
        </is>
      </c>
    </row>
    <row r="672">
      <c r="A672" s="173" t="n">
        <v>45593</v>
      </c>
      <c r="B672" s="174" t="n">
        <v>45593</v>
      </c>
      <c r="C672" s="174" t="n">
        <v>1403</v>
      </c>
      <c r="D672" s="174" t="n">
        <v>8</v>
      </c>
      <c r="E672" s="175" t="inlineStr">
        <is>
          <t>1403/08/07</t>
        </is>
      </c>
      <c r="F672" s="128" t="inlineStr">
        <is>
          <t>1403/08</t>
        </is>
      </c>
      <c r="G672" s="58" t="inlineStr">
        <is>
          <t>آبان</t>
        </is>
      </c>
      <c r="H672" s="128" t="inlineStr">
        <is>
          <t>پاییز</t>
        </is>
      </c>
      <c r="I672" s="128" t="inlineStr">
        <is>
          <t>دوشنبه</t>
        </is>
      </c>
      <c r="J672" s="128" t="inlineStr">
        <is>
          <t>بله</t>
        </is>
      </c>
    </row>
    <row r="673">
      <c r="A673" s="176" t="n">
        <v>45594</v>
      </c>
      <c r="B673" s="177" t="n">
        <v>45594</v>
      </c>
      <c r="C673" s="177" t="n">
        <v>1403</v>
      </c>
      <c r="D673" s="177" t="n">
        <v>8</v>
      </c>
      <c r="E673" s="178" t="inlineStr">
        <is>
          <t>1403/08/08</t>
        </is>
      </c>
      <c r="F673" s="134" t="inlineStr">
        <is>
          <t>1403/08</t>
        </is>
      </c>
      <c r="G673" s="61" t="inlineStr">
        <is>
          <t>آبان</t>
        </is>
      </c>
      <c r="H673" s="134" t="inlineStr">
        <is>
          <t>پاییز</t>
        </is>
      </c>
      <c r="I673" s="134" t="inlineStr">
        <is>
          <t>سه‌شنبه</t>
        </is>
      </c>
      <c r="J673" s="134" t="inlineStr">
        <is>
          <t>بله</t>
        </is>
      </c>
    </row>
    <row r="674">
      <c r="A674" s="173" t="n">
        <v>45595</v>
      </c>
      <c r="B674" s="174" t="n">
        <v>45595</v>
      </c>
      <c r="C674" s="174" t="n">
        <v>1403</v>
      </c>
      <c r="D674" s="174" t="n">
        <v>8</v>
      </c>
      <c r="E674" s="175" t="inlineStr">
        <is>
          <t>1403/08/09</t>
        </is>
      </c>
      <c r="F674" s="128" t="inlineStr">
        <is>
          <t>1403/08</t>
        </is>
      </c>
      <c r="G674" s="58" t="inlineStr">
        <is>
          <t>آبان</t>
        </is>
      </c>
      <c r="H674" s="128" t="inlineStr">
        <is>
          <t>پاییز</t>
        </is>
      </c>
      <c r="I674" s="128" t="inlineStr">
        <is>
          <t>چهارشنبه</t>
        </is>
      </c>
      <c r="J674" s="128" t="inlineStr">
        <is>
          <t>بله</t>
        </is>
      </c>
    </row>
    <row r="675">
      <c r="A675" s="176" t="n">
        <v>45596</v>
      </c>
      <c r="B675" s="177" t="n">
        <v>45596</v>
      </c>
      <c r="C675" s="177" t="n">
        <v>1403</v>
      </c>
      <c r="D675" s="177" t="n">
        <v>8</v>
      </c>
      <c r="E675" s="178" t="inlineStr">
        <is>
          <t>1403/08/10</t>
        </is>
      </c>
      <c r="F675" s="134" t="inlineStr">
        <is>
          <t>1403/08</t>
        </is>
      </c>
      <c r="G675" s="61" t="inlineStr">
        <is>
          <t>آبان</t>
        </is>
      </c>
      <c r="H675" s="134" t="inlineStr">
        <is>
          <t>پاییز</t>
        </is>
      </c>
      <c r="I675" s="134" t="inlineStr">
        <is>
          <t>پنجشنبه</t>
        </is>
      </c>
      <c r="J675" s="134" t="inlineStr">
        <is>
          <t>بله</t>
        </is>
      </c>
    </row>
    <row r="676">
      <c r="A676" s="173" t="n">
        <v>45597</v>
      </c>
      <c r="B676" s="174" t="n">
        <v>45597</v>
      </c>
      <c r="C676" s="174" t="n">
        <v>1403</v>
      </c>
      <c r="D676" s="174" t="n">
        <v>8</v>
      </c>
      <c r="E676" s="175" t="inlineStr">
        <is>
          <t>1403/08/11</t>
        </is>
      </c>
      <c r="F676" s="128" t="inlineStr">
        <is>
          <t>1403/08</t>
        </is>
      </c>
      <c r="G676" s="58" t="inlineStr">
        <is>
          <t>آبان</t>
        </is>
      </c>
      <c r="H676" s="128" t="inlineStr">
        <is>
          <t>پاییز</t>
        </is>
      </c>
      <c r="I676" s="128" t="inlineStr">
        <is>
          <t>جمعه</t>
        </is>
      </c>
      <c r="J676" s="128" t="inlineStr">
        <is>
          <t>بله</t>
        </is>
      </c>
    </row>
    <row r="677">
      <c r="A677" s="176" t="n">
        <v>45598</v>
      </c>
      <c r="B677" s="177" t="n">
        <v>45598</v>
      </c>
      <c r="C677" s="177" t="n">
        <v>1403</v>
      </c>
      <c r="D677" s="177" t="n">
        <v>8</v>
      </c>
      <c r="E677" s="178" t="inlineStr">
        <is>
          <t>1403/08/12</t>
        </is>
      </c>
      <c r="F677" s="134" t="inlineStr">
        <is>
          <t>1403/08</t>
        </is>
      </c>
      <c r="G677" s="61" t="inlineStr">
        <is>
          <t>آبان</t>
        </is>
      </c>
      <c r="H677" s="134" t="inlineStr">
        <is>
          <t>پاییز</t>
        </is>
      </c>
      <c r="I677" s="134" t="inlineStr">
        <is>
          <t>شنبه</t>
        </is>
      </c>
      <c r="J677" s="134" t="inlineStr">
        <is>
          <t>خیر</t>
        </is>
      </c>
    </row>
    <row r="678">
      <c r="A678" s="173" t="n">
        <v>45599</v>
      </c>
      <c r="B678" s="174" t="n">
        <v>45599</v>
      </c>
      <c r="C678" s="174" t="n">
        <v>1403</v>
      </c>
      <c r="D678" s="174" t="n">
        <v>8</v>
      </c>
      <c r="E678" s="175" t="inlineStr">
        <is>
          <t>1403/08/13</t>
        </is>
      </c>
      <c r="F678" s="128" t="inlineStr">
        <is>
          <t>1403/08</t>
        </is>
      </c>
      <c r="G678" s="58" t="inlineStr">
        <is>
          <t>آبان</t>
        </is>
      </c>
      <c r="H678" s="128" t="inlineStr">
        <is>
          <t>پاییز</t>
        </is>
      </c>
      <c r="I678" s="128" t="inlineStr">
        <is>
          <t>یکشنبه</t>
        </is>
      </c>
      <c r="J678" s="128" t="inlineStr">
        <is>
          <t>خیر</t>
        </is>
      </c>
    </row>
    <row r="679">
      <c r="A679" s="176" t="n">
        <v>45600</v>
      </c>
      <c r="B679" s="177" t="n">
        <v>45600</v>
      </c>
      <c r="C679" s="177" t="n">
        <v>1403</v>
      </c>
      <c r="D679" s="177" t="n">
        <v>8</v>
      </c>
      <c r="E679" s="178" t="inlineStr">
        <is>
          <t>1403/08/14</t>
        </is>
      </c>
      <c r="F679" s="134" t="inlineStr">
        <is>
          <t>1403/08</t>
        </is>
      </c>
      <c r="G679" s="61" t="inlineStr">
        <is>
          <t>آبان</t>
        </is>
      </c>
      <c r="H679" s="134" t="inlineStr">
        <is>
          <t>پاییز</t>
        </is>
      </c>
      <c r="I679" s="134" t="inlineStr">
        <is>
          <t>دوشنبه</t>
        </is>
      </c>
      <c r="J679" s="134" t="inlineStr">
        <is>
          <t>بله</t>
        </is>
      </c>
    </row>
    <row r="680">
      <c r="A680" s="173" t="n">
        <v>45601</v>
      </c>
      <c r="B680" s="174" t="n">
        <v>45601</v>
      </c>
      <c r="C680" s="174" t="n">
        <v>1403</v>
      </c>
      <c r="D680" s="174" t="n">
        <v>8</v>
      </c>
      <c r="E680" s="175" t="inlineStr">
        <is>
          <t>1403/08/15</t>
        </is>
      </c>
      <c r="F680" s="128" t="inlineStr">
        <is>
          <t>1403/08</t>
        </is>
      </c>
      <c r="G680" s="58" t="inlineStr">
        <is>
          <t>آبان</t>
        </is>
      </c>
      <c r="H680" s="128" t="inlineStr">
        <is>
          <t>پاییز</t>
        </is>
      </c>
      <c r="I680" s="128" t="inlineStr">
        <is>
          <t>سه‌شنبه</t>
        </is>
      </c>
      <c r="J680" s="128" t="inlineStr">
        <is>
          <t>بله</t>
        </is>
      </c>
    </row>
    <row r="681">
      <c r="A681" s="176" t="n">
        <v>45602</v>
      </c>
      <c r="B681" s="177" t="n">
        <v>45602</v>
      </c>
      <c r="C681" s="177" t="n">
        <v>1403</v>
      </c>
      <c r="D681" s="177" t="n">
        <v>8</v>
      </c>
      <c r="E681" s="178" t="inlineStr">
        <is>
          <t>1403/08/16</t>
        </is>
      </c>
      <c r="F681" s="134" t="inlineStr">
        <is>
          <t>1403/08</t>
        </is>
      </c>
      <c r="G681" s="61" t="inlineStr">
        <is>
          <t>آبان</t>
        </is>
      </c>
      <c r="H681" s="134" t="inlineStr">
        <is>
          <t>پاییز</t>
        </is>
      </c>
      <c r="I681" s="134" t="inlineStr">
        <is>
          <t>چهارشنبه</t>
        </is>
      </c>
      <c r="J681" s="134" t="inlineStr">
        <is>
          <t>بله</t>
        </is>
      </c>
    </row>
    <row r="682">
      <c r="A682" s="173" t="n">
        <v>45603</v>
      </c>
      <c r="B682" s="174" t="n">
        <v>45603</v>
      </c>
      <c r="C682" s="174" t="n">
        <v>1403</v>
      </c>
      <c r="D682" s="174" t="n">
        <v>8</v>
      </c>
      <c r="E682" s="175" t="inlineStr">
        <is>
          <t>1403/08/17</t>
        </is>
      </c>
      <c r="F682" s="128" t="inlineStr">
        <is>
          <t>1403/08</t>
        </is>
      </c>
      <c r="G682" s="58" t="inlineStr">
        <is>
          <t>آبان</t>
        </is>
      </c>
      <c r="H682" s="128" t="inlineStr">
        <is>
          <t>پاییز</t>
        </is>
      </c>
      <c r="I682" s="128" t="inlineStr">
        <is>
          <t>پنجشنبه</t>
        </is>
      </c>
      <c r="J682" s="128" t="inlineStr">
        <is>
          <t>بله</t>
        </is>
      </c>
    </row>
    <row r="683">
      <c r="A683" s="176" t="n">
        <v>45604</v>
      </c>
      <c r="B683" s="177" t="n">
        <v>45604</v>
      </c>
      <c r="C683" s="177" t="n">
        <v>1403</v>
      </c>
      <c r="D683" s="177" t="n">
        <v>8</v>
      </c>
      <c r="E683" s="178" t="inlineStr">
        <is>
          <t>1403/08/18</t>
        </is>
      </c>
      <c r="F683" s="134" t="inlineStr">
        <is>
          <t>1403/08</t>
        </is>
      </c>
      <c r="G683" s="61" t="inlineStr">
        <is>
          <t>آبان</t>
        </is>
      </c>
      <c r="H683" s="134" t="inlineStr">
        <is>
          <t>پاییز</t>
        </is>
      </c>
      <c r="I683" s="134" t="inlineStr">
        <is>
          <t>جمعه</t>
        </is>
      </c>
      <c r="J683" s="134" t="inlineStr">
        <is>
          <t>بله</t>
        </is>
      </c>
    </row>
    <row r="684">
      <c r="A684" s="173" t="n">
        <v>45605</v>
      </c>
      <c r="B684" s="174" t="n">
        <v>45605</v>
      </c>
      <c r="C684" s="174" t="n">
        <v>1403</v>
      </c>
      <c r="D684" s="174" t="n">
        <v>8</v>
      </c>
      <c r="E684" s="175" t="inlineStr">
        <is>
          <t>1403/08/19</t>
        </is>
      </c>
      <c r="F684" s="128" t="inlineStr">
        <is>
          <t>1403/08</t>
        </is>
      </c>
      <c r="G684" s="58" t="inlineStr">
        <is>
          <t>آبان</t>
        </is>
      </c>
      <c r="H684" s="128" t="inlineStr">
        <is>
          <t>پاییز</t>
        </is>
      </c>
      <c r="I684" s="128" t="inlineStr">
        <is>
          <t>شنبه</t>
        </is>
      </c>
      <c r="J684" s="128" t="inlineStr">
        <is>
          <t>خیر</t>
        </is>
      </c>
    </row>
    <row r="685">
      <c r="A685" s="176" t="n">
        <v>45606</v>
      </c>
      <c r="B685" s="177" t="n">
        <v>45606</v>
      </c>
      <c r="C685" s="177" t="n">
        <v>1403</v>
      </c>
      <c r="D685" s="177" t="n">
        <v>8</v>
      </c>
      <c r="E685" s="178" t="inlineStr">
        <is>
          <t>1403/08/20</t>
        </is>
      </c>
      <c r="F685" s="134" t="inlineStr">
        <is>
          <t>1403/08</t>
        </is>
      </c>
      <c r="G685" s="61" t="inlineStr">
        <is>
          <t>آبان</t>
        </is>
      </c>
      <c r="H685" s="134" t="inlineStr">
        <is>
          <t>پاییز</t>
        </is>
      </c>
      <c r="I685" s="134" t="inlineStr">
        <is>
          <t>یکشنبه</t>
        </is>
      </c>
      <c r="J685" s="134" t="inlineStr">
        <is>
          <t>خیر</t>
        </is>
      </c>
    </row>
    <row r="686">
      <c r="A686" s="173" t="n">
        <v>45607</v>
      </c>
      <c r="B686" s="174" t="n">
        <v>45607</v>
      </c>
      <c r="C686" s="174" t="n">
        <v>1403</v>
      </c>
      <c r="D686" s="174" t="n">
        <v>8</v>
      </c>
      <c r="E686" s="175" t="inlineStr">
        <is>
          <t>1403/08/21</t>
        </is>
      </c>
      <c r="F686" s="128" t="inlineStr">
        <is>
          <t>1403/08</t>
        </is>
      </c>
      <c r="G686" s="58" t="inlineStr">
        <is>
          <t>آبان</t>
        </is>
      </c>
      <c r="H686" s="128" t="inlineStr">
        <is>
          <t>پاییز</t>
        </is>
      </c>
      <c r="I686" s="128" t="inlineStr">
        <is>
          <t>دوشنبه</t>
        </is>
      </c>
      <c r="J686" s="128" t="inlineStr">
        <is>
          <t>بله</t>
        </is>
      </c>
    </row>
    <row r="687">
      <c r="A687" s="176" t="n">
        <v>45608</v>
      </c>
      <c r="B687" s="177" t="n">
        <v>45608</v>
      </c>
      <c r="C687" s="177" t="n">
        <v>1403</v>
      </c>
      <c r="D687" s="177" t="n">
        <v>8</v>
      </c>
      <c r="E687" s="178" t="inlineStr">
        <is>
          <t>1403/08/22</t>
        </is>
      </c>
      <c r="F687" s="134" t="inlineStr">
        <is>
          <t>1403/08</t>
        </is>
      </c>
      <c r="G687" s="61" t="inlineStr">
        <is>
          <t>آبان</t>
        </is>
      </c>
      <c r="H687" s="134" t="inlineStr">
        <is>
          <t>پاییز</t>
        </is>
      </c>
      <c r="I687" s="134" t="inlineStr">
        <is>
          <t>سه‌شنبه</t>
        </is>
      </c>
      <c r="J687" s="134" t="inlineStr">
        <is>
          <t>بله</t>
        </is>
      </c>
    </row>
    <row r="688">
      <c r="A688" s="173" t="n">
        <v>45609</v>
      </c>
      <c r="B688" s="174" t="n">
        <v>45609</v>
      </c>
      <c r="C688" s="174" t="n">
        <v>1403</v>
      </c>
      <c r="D688" s="174" t="n">
        <v>8</v>
      </c>
      <c r="E688" s="175" t="inlineStr">
        <is>
          <t>1403/08/23</t>
        </is>
      </c>
      <c r="F688" s="128" t="inlineStr">
        <is>
          <t>1403/08</t>
        </is>
      </c>
      <c r="G688" s="58" t="inlineStr">
        <is>
          <t>آبان</t>
        </is>
      </c>
      <c r="H688" s="128" t="inlineStr">
        <is>
          <t>پاییز</t>
        </is>
      </c>
      <c r="I688" s="128" t="inlineStr">
        <is>
          <t>چهارشنبه</t>
        </is>
      </c>
      <c r="J688" s="128" t="inlineStr">
        <is>
          <t>بله</t>
        </is>
      </c>
    </row>
    <row r="689">
      <c r="A689" s="176" t="n">
        <v>45610</v>
      </c>
      <c r="B689" s="177" t="n">
        <v>45610</v>
      </c>
      <c r="C689" s="177" t="n">
        <v>1403</v>
      </c>
      <c r="D689" s="177" t="n">
        <v>8</v>
      </c>
      <c r="E689" s="178" t="inlineStr">
        <is>
          <t>1403/08/24</t>
        </is>
      </c>
      <c r="F689" s="134" t="inlineStr">
        <is>
          <t>1403/08</t>
        </is>
      </c>
      <c r="G689" s="61" t="inlineStr">
        <is>
          <t>آبان</t>
        </is>
      </c>
      <c r="H689" s="134" t="inlineStr">
        <is>
          <t>پاییز</t>
        </is>
      </c>
      <c r="I689" s="134" t="inlineStr">
        <is>
          <t>پنجشنبه</t>
        </is>
      </c>
      <c r="J689" s="134" t="inlineStr">
        <is>
          <t>بله</t>
        </is>
      </c>
    </row>
    <row r="690">
      <c r="A690" s="173" t="n">
        <v>45611</v>
      </c>
      <c r="B690" s="174" t="n">
        <v>45611</v>
      </c>
      <c r="C690" s="174" t="n">
        <v>1403</v>
      </c>
      <c r="D690" s="174" t="n">
        <v>8</v>
      </c>
      <c r="E690" s="175" t="inlineStr">
        <is>
          <t>1403/08/25</t>
        </is>
      </c>
      <c r="F690" s="128" t="inlineStr">
        <is>
          <t>1403/08</t>
        </is>
      </c>
      <c r="G690" s="58" t="inlineStr">
        <is>
          <t>آبان</t>
        </is>
      </c>
      <c r="H690" s="128" t="inlineStr">
        <is>
          <t>پاییز</t>
        </is>
      </c>
      <c r="I690" s="128" t="inlineStr">
        <is>
          <t>جمعه</t>
        </is>
      </c>
      <c r="J690" s="128" t="inlineStr">
        <is>
          <t>بله</t>
        </is>
      </c>
    </row>
    <row r="691">
      <c r="A691" s="176" t="n">
        <v>45612</v>
      </c>
      <c r="B691" s="177" t="n">
        <v>45612</v>
      </c>
      <c r="C691" s="177" t="n">
        <v>1403</v>
      </c>
      <c r="D691" s="177" t="n">
        <v>8</v>
      </c>
      <c r="E691" s="178" t="inlineStr">
        <is>
          <t>1403/08/26</t>
        </is>
      </c>
      <c r="F691" s="134" t="inlineStr">
        <is>
          <t>1403/08</t>
        </is>
      </c>
      <c r="G691" s="61" t="inlineStr">
        <is>
          <t>آبان</t>
        </is>
      </c>
      <c r="H691" s="134" t="inlineStr">
        <is>
          <t>پاییز</t>
        </is>
      </c>
      <c r="I691" s="134" t="inlineStr">
        <is>
          <t>شنبه</t>
        </is>
      </c>
      <c r="J691" s="134" t="inlineStr">
        <is>
          <t>خیر</t>
        </is>
      </c>
    </row>
    <row r="692">
      <c r="A692" s="173" t="n">
        <v>45613</v>
      </c>
      <c r="B692" s="174" t="n">
        <v>45613</v>
      </c>
      <c r="C692" s="174" t="n">
        <v>1403</v>
      </c>
      <c r="D692" s="174" t="n">
        <v>8</v>
      </c>
      <c r="E692" s="175" t="inlineStr">
        <is>
          <t>1403/08/27</t>
        </is>
      </c>
      <c r="F692" s="128" t="inlineStr">
        <is>
          <t>1403/08</t>
        </is>
      </c>
      <c r="G692" s="58" t="inlineStr">
        <is>
          <t>آبان</t>
        </is>
      </c>
      <c r="H692" s="128" t="inlineStr">
        <is>
          <t>پاییز</t>
        </is>
      </c>
      <c r="I692" s="128" t="inlineStr">
        <is>
          <t>یکشنبه</t>
        </is>
      </c>
      <c r="J692" s="128" t="inlineStr">
        <is>
          <t>خیر</t>
        </is>
      </c>
    </row>
    <row r="693">
      <c r="A693" s="176" t="n">
        <v>45614</v>
      </c>
      <c r="B693" s="177" t="n">
        <v>45614</v>
      </c>
      <c r="C693" s="177" t="n">
        <v>1403</v>
      </c>
      <c r="D693" s="177" t="n">
        <v>8</v>
      </c>
      <c r="E693" s="178" t="inlineStr">
        <is>
          <t>1403/08/28</t>
        </is>
      </c>
      <c r="F693" s="134" t="inlineStr">
        <is>
          <t>1403/08</t>
        </is>
      </c>
      <c r="G693" s="61" t="inlineStr">
        <is>
          <t>آبان</t>
        </is>
      </c>
      <c r="H693" s="134" t="inlineStr">
        <is>
          <t>پاییز</t>
        </is>
      </c>
      <c r="I693" s="134" t="inlineStr">
        <is>
          <t>دوشنبه</t>
        </is>
      </c>
      <c r="J693" s="134" t="inlineStr">
        <is>
          <t>بله</t>
        </is>
      </c>
    </row>
    <row r="694">
      <c r="A694" s="173" t="n">
        <v>45615</v>
      </c>
      <c r="B694" s="174" t="n">
        <v>45615</v>
      </c>
      <c r="C694" s="174" t="n">
        <v>1403</v>
      </c>
      <c r="D694" s="174" t="n">
        <v>8</v>
      </c>
      <c r="E694" s="175" t="inlineStr">
        <is>
          <t>1403/08/29</t>
        </is>
      </c>
      <c r="F694" s="128" t="inlineStr">
        <is>
          <t>1403/08</t>
        </is>
      </c>
      <c r="G694" s="58" t="inlineStr">
        <is>
          <t>آبان</t>
        </is>
      </c>
      <c r="H694" s="128" t="inlineStr">
        <is>
          <t>پاییز</t>
        </is>
      </c>
      <c r="I694" s="128" t="inlineStr">
        <is>
          <t>سه‌شنبه</t>
        </is>
      </c>
      <c r="J694" s="128" t="inlineStr">
        <is>
          <t>بله</t>
        </is>
      </c>
    </row>
    <row r="695">
      <c r="A695" s="176" t="n">
        <v>45616</v>
      </c>
      <c r="B695" s="177" t="n">
        <v>45616</v>
      </c>
      <c r="C695" s="177" t="n">
        <v>1403</v>
      </c>
      <c r="D695" s="177" t="n">
        <v>8</v>
      </c>
      <c r="E695" s="178" t="inlineStr">
        <is>
          <t>1403/08/30</t>
        </is>
      </c>
      <c r="F695" s="134" t="inlineStr">
        <is>
          <t>1403/08</t>
        </is>
      </c>
      <c r="G695" s="61" t="inlineStr">
        <is>
          <t>آبان</t>
        </is>
      </c>
      <c r="H695" s="134" t="inlineStr">
        <is>
          <t>پاییز</t>
        </is>
      </c>
      <c r="I695" s="134" t="inlineStr">
        <is>
          <t>چهارشنبه</t>
        </is>
      </c>
      <c r="J695" s="134" t="inlineStr">
        <is>
          <t>بله</t>
        </is>
      </c>
    </row>
    <row r="696">
      <c r="A696" s="173" t="n">
        <v>45617</v>
      </c>
      <c r="B696" s="174" t="n">
        <v>45617</v>
      </c>
      <c r="C696" s="174" t="n">
        <v>1403</v>
      </c>
      <c r="D696" s="174" t="n">
        <v>9</v>
      </c>
      <c r="E696" s="175" t="inlineStr">
        <is>
          <t>1403/09/01</t>
        </is>
      </c>
      <c r="F696" s="128" t="inlineStr">
        <is>
          <t>1403/09</t>
        </is>
      </c>
      <c r="G696" s="58" t="inlineStr">
        <is>
          <t>آذر</t>
        </is>
      </c>
      <c r="H696" s="128" t="inlineStr">
        <is>
          <t>پاییز</t>
        </is>
      </c>
      <c r="I696" s="128" t="inlineStr">
        <is>
          <t>پنجشنبه</t>
        </is>
      </c>
      <c r="J696" s="128" t="inlineStr">
        <is>
          <t>بله</t>
        </is>
      </c>
    </row>
    <row r="697">
      <c r="A697" s="176" t="n">
        <v>45618</v>
      </c>
      <c r="B697" s="177" t="n">
        <v>45618</v>
      </c>
      <c r="C697" s="177" t="n">
        <v>1403</v>
      </c>
      <c r="D697" s="177" t="n">
        <v>9</v>
      </c>
      <c r="E697" s="178" t="inlineStr">
        <is>
          <t>1403/09/02</t>
        </is>
      </c>
      <c r="F697" s="134" t="inlineStr">
        <is>
          <t>1403/09</t>
        </is>
      </c>
      <c r="G697" s="61" t="inlineStr">
        <is>
          <t>آذر</t>
        </is>
      </c>
      <c r="H697" s="134" t="inlineStr">
        <is>
          <t>پاییز</t>
        </is>
      </c>
      <c r="I697" s="134" t="inlineStr">
        <is>
          <t>جمعه</t>
        </is>
      </c>
      <c r="J697" s="134" t="inlineStr">
        <is>
          <t>بله</t>
        </is>
      </c>
    </row>
    <row r="698">
      <c r="A698" s="173" t="n">
        <v>45619</v>
      </c>
      <c r="B698" s="174" t="n">
        <v>45619</v>
      </c>
      <c r="C698" s="174" t="n">
        <v>1403</v>
      </c>
      <c r="D698" s="174" t="n">
        <v>9</v>
      </c>
      <c r="E698" s="175" t="inlineStr">
        <is>
          <t>1403/09/03</t>
        </is>
      </c>
      <c r="F698" s="128" t="inlineStr">
        <is>
          <t>1403/09</t>
        </is>
      </c>
      <c r="G698" s="58" t="inlineStr">
        <is>
          <t>آذر</t>
        </is>
      </c>
      <c r="H698" s="128" t="inlineStr">
        <is>
          <t>پاییز</t>
        </is>
      </c>
      <c r="I698" s="128" t="inlineStr">
        <is>
          <t>شنبه</t>
        </is>
      </c>
      <c r="J698" s="128" t="inlineStr">
        <is>
          <t>خیر</t>
        </is>
      </c>
    </row>
    <row r="699">
      <c r="A699" s="176" t="n">
        <v>45620</v>
      </c>
      <c r="B699" s="177" t="n">
        <v>45620</v>
      </c>
      <c r="C699" s="177" t="n">
        <v>1403</v>
      </c>
      <c r="D699" s="177" t="n">
        <v>9</v>
      </c>
      <c r="E699" s="178" t="inlineStr">
        <is>
          <t>1403/09/04</t>
        </is>
      </c>
      <c r="F699" s="134" t="inlineStr">
        <is>
          <t>1403/09</t>
        </is>
      </c>
      <c r="G699" s="61" t="inlineStr">
        <is>
          <t>آذر</t>
        </is>
      </c>
      <c r="H699" s="134" t="inlineStr">
        <is>
          <t>پاییز</t>
        </is>
      </c>
      <c r="I699" s="134" t="inlineStr">
        <is>
          <t>یکشنبه</t>
        </is>
      </c>
      <c r="J699" s="134" t="inlineStr">
        <is>
          <t>خیر</t>
        </is>
      </c>
    </row>
    <row r="700">
      <c r="A700" s="173" t="n">
        <v>45621</v>
      </c>
      <c r="B700" s="174" t="n">
        <v>45621</v>
      </c>
      <c r="C700" s="174" t="n">
        <v>1403</v>
      </c>
      <c r="D700" s="174" t="n">
        <v>9</v>
      </c>
      <c r="E700" s="175" t="inlineStr">
        <is>
          <t>1403/09/05</t>
        </is>
      </c>
      <c r="F700" s="128" t="inlineStr">
        <is>
          <t>1403/09</t>
        </is>
      </c>
      <c r="G700" s="58" t="inlineStr">
        <is>
          <t>آذر</t>
        </is>
      </c>
      <c r="H700" s="128" t="inlineStr">
        <is>
          <t>پاییز</t>
        </is>
      </c>
      <c r="I700" s="128" t="inlineStr">
        <is>
          <t>دوشنبه</t>
        </is>
      </c>
      <c r="J700" s="128" t="inlineStr">
        <is>
          <t>بله</t>
        </is>
      </c>
    </row>
    <row r="701">
      <c r="A701" s="176" t="n">
        <v>45622</v>
      </c>
      <c r="B701" s="177" t="n">
        <v>45622</v>
      </c>
      <c r="C701" s="177" t="n">
        <v>1403</v>
      </c>
      <c r="D701" s="177" t="n">
        <v>9</v>
      </c>
      <c r="E701" s="178" t="inlineStr">
        <is>
          <t>1403/09/06</t>
        </is>
      </c>
      <c r="F701" s="134" t="inlineStr">
        <is>
          <t>1403/09</t>
        </is>
      </c>
      <c r="G701" s="61" t="inlineStr">
        <is>
          <t>آذر</t>
        </is>
      </c>
      <c r="H701" s="134" t="inlineStr">
        <is>
          <t>پاییز</t>
        </is>
      </c>
      <c r="I701" s="134" t="inlineStr">
        <is>
          <t>سه‌شنبه</t>
        </is>
      </c>
      <c r="J701" s="134" t="inlineStr">
        <is>
          <t>بله</t>
        </is>
      </c>
    </row>
    <row r="702">
      <c r="A702" s="173" t="n">
        <v>45623</v>
      </c>
      <c r="B702" s="174" t="n">
        <v>45623</v>
      </c>
      <c r="C702" s="174" t="n">
        <v>1403</v>
      </c>
      <c r="D702" s="174" t="n">
        <v>9</v>
      </c>
      <c r="E702" s="175" t="inlineStr">
        <is>
          <t>1403/09/07</t>
        </is>
      </c>
      <c r="F702" s="128" t="inlineStr">
        <is>
          <t>1403/09</t>
        </is>
      </c>
      <c r="G702" s="58" t="inlineStr">
        <is>
          <t>آذر</t>
        </is>
      </c>
      <c r="H702" s="128" t="inlineStr">
        <is>
          <t>پاییز</t>
        </is>
      </c>
      <c r="I702" s="128" t="inlineStr">
        <is>
          <t>چهارشنبه</t>
        </is>
      </c>
      <c r="J702" s="128" t="inlineStr">
        <is>
          <t>بله</t>
        </is>
      </c>
    </row>
    <row r="703">
      <c r="A703" s="176" t="n">
        <v>45624</v>
      </c>
      <c r="B703" s="177" t="n">
        <v>45624</v>
      </c>
      <c r="C703" s="177" t="n">
        <v>1403</v>
      </c>
      <c r="D703" s="177" t="n">
        <v>9</v>
      </c>
      <c r="E703" s="178" t="inlineStr">
        <is>
          <t>1403/09/08</t>
        </is>
      </c>
      <c r="F703" s="134" t="inlineStr">
        <is>
          <t>1403/09</t>
        </is>
      </c>
      <c r="G703" s="61" t="inlineStr">
        <is>
          <t>آذر</t>
        </is>
      </c>
      <c r="H703" s="134" t="inlineStr">
        <is>
          <t>پاییز</t>
        </is>
      </c>
      <c r="I703" s="134" t="inlineStr">
        <is>
          <t>پنجشنبه</t>
        </is>
      </c>
      <c r="J703" s="134" t="inlineStr">
        <is>
          <t>بله</t>
        </is>
      </c>
    </row>
    <row r="704">
      <c r="A704" s="173" t="n">
        <v>45625</v>
      </c>
      <c r="B704" s="174" t="n">
        <v>45625</v>
      </c>
      <c r="C704" s="174" t="n">
        <v>1403</v>
      </c>
      <c r="D704" s="174" t="n">
        <v>9</v>
      </c>
      <c r="E704" s="175" t="inlineStr">
        <is>
          <t>1403/09/09</t>
        </is>
      </c>
      <c r="F704" s="128" t="inlineStr">
        <is>
          <t>1403/09</t>
        </is>
      </c>
      <c r="G704" s="58" t="inlineStr">
        <is>
          <t>آذر</t>
        </is>
      </c>
      <c r="H704" s="128" t="inlineStr">
        <is>
          <t>پاییز</t>
        </is>
      </c>
      <c r="I704" s="128" t="inlineStr">
        <is>
          <t>جمعه</t>
        </is>
      </c>
      <c r="J704" s="128" t="inlineStr">
        <is>
          <t>بله</t>
        </is>
      </c>
    </row>
    <row r="705">
      <c r="A705" s="176" t="n">
        <v>45626</v>
      </c>
      <c r="B705" s="177" t="n">
        <v>45626</v>
      </c>
      <c r="C705" s="177" t="n">
        <v>1403</v>
      </c>
      <c r="D705" s="177" t="n">
        <v>9</v>
      </c>
      <c r="E705" s="178" t="inlineStr">
        <is>
          <t>1403/09/10</t>
        </is>
      </c>
      <c r="F705" s="134" t="inlineStr">
        <is>
          <t>1403/09</t>
        </is>
      </c>
      <c r="G705" s="61" t="inlineStr">
        <is>
          <t>آذر</t>
        </is>
      </c>
      <c r="H705" s="134" t="inlineStr">
        <is>
          <t>پاییز</t>
        </is>
      </c>
      <c r="I705" s="134" t="inlineStr">
        <is>
          <t>شنبه</t>
        </is>
      </c>
      <c r="J705" s="134" t="inlineStr">
        <is>
          <t>خیر</t>
        </is>
      </c>
    </row>
    <row r="706">
      <c r="A706" s="173" t="n">
        <v>45627</v>
      </c>
      <c r="B706" s="174" t="n">
        <v>45627</v>
      </c>
      <c r="C706" s="174" t="n">
        <v>1403</v>
      </c>
      <c r="D706" s="174" t="n">
        <v>9</v>
      </c>
      <c r="E706" s="175" t="inlineStr">
        <is>
          <t>1403/09/11</t>
        </is>
      </c>
      <c r="F706" s="128" t="inlineStr">
        <is>
          <t>1403/09</t>
        </is>
      </c>
      <c r="G706" s="58" t="inlineStr">
        <is>
          <t>آذر</t>
        </is>
      </c>
      <c r="H706" s="128" t="inlineStr">
        <is>
          <t>پاییز</t>
        </is>
      </c>
      <c r="I706" s="128" t="inlineStr">
        <is>
          <t>یکشنبه</t>
        </is>
      </c>
      <c r="J706" s="128" t="inlineStr">
        <is>
          <t>خیر</t>
        </is>
      </c>
    </row>
    <row r="707">
      <c r="A707" s="176" t="n">
        <v>45628</v>
      </c>
      <c r="B707" s="177" t="n">
        <v>45628</v>
      </c>
      <c r="C707" s="177" t="n">
        <v>1403</v>
      </c>
      <c r="D707" s="177" t="n">
        <v>9</v>
      </c>
      <c r="E707" s="178" t="inlineStr">
        <is>
          <t>1403/09/12</t>
        </is>
      </c>
      <c r="F707" s="134" t="inlineStr">
        <is>
          <t>1403/09</t>
        </is>
      </c>
      <c r="G707" s="61" t="inlineStr">
        <is>
          <t>آذر</t>
        </is>
      </c>
      <c r="H707" s="134" t="inlineStr">
        <is>
          <t>پاییز</t>
        </is>
      </c>
      <c r="I707" s="134" t="inlineStr">
        <is>
          <t>دوشنبه</t>
        </is>
      </c>
      <c r="J707" s="134" t="inlineStr">
        <is>
          <t>بله</t>
        </is>
      </c>
    </row>
    <row r="708">
      <c r="A708" s="173" t="n">
        <v>45629</v>
      </c>
      <c r="B708" s="174" t="n">
        <v>45629</v>
      </c>
      <c r="C708" s="174" t="n">
        <v>1403</v>
      </c>
      <c r="D708" s="174" t="n">
        <v>9</v>
      </c>
      <c r="E708" s="175" t="inlineStr">
        <is>
          <t>1403/09/13</t>
        </is>
      </c>
      <c r="F708" s="128" t="inlineStr">
        <is>
          <t>1403/09</t>
        </is>
      </c>
      <c r="G708" s="58" t="inlineStr">
        <is>
          <t>آذر</t>
        </is>
      </c>
      <c r="H708" s="128" t="inlineStr">
        <is>
          <t>پاییز</t>
        </is>
      </c>
      <c r="I708" s="128" t="inlineStr">
        <is>
          <t>سه‌شنبه</t>
        </is>
      </c>
      <c r="J708" s="128" t="inlineStr">
        <is>
          <t>بله</t>
        </is>
      </c>
    </row>
    <row r="709">
      <c r="A709" s="176" t="n">
        <v>45630</v>
      </c>
      <c r="B709" s="177" t="n">
        <v>45630</v>
      </c>
      <c r="C709" s="177" t="n">
        <v>1403</v>
      </c>
      <c r="D709" s="177" t="n">
        <v>9</v>
      </c>
      <c r="E709" s="178" t="inlineStr">
        <is>
          <t>1403/09/14</t>
        </is>
      </c>
      <c r="F709" s="134" t="inlineStr">
        <is>
          <t>1403/09</t>
        </is>
      </c>
      <c r="G709" s="61" t="inlineStr">
        <is>
          <t>آذر</t>
        </is>
      </c>
      <c r="H709" s="134" t="inlineStr">
        <is>
          <t>پاییز</t>
        </is>
      </c>
      <c r="I709" s="134" t="inlineStr">
        <is>
          <t>چهارشنبه</t>
        </is>
      </c>
      <c r="J709" s="134" t="inlineStr">
        <is>
          <t>بله</t>
        </is>
      </c>
    </row>
    <row r="710">
      <c r="A710" s="173" t="n">
        <v>45631</v>
      </c>
      <c r="B710" s="174" t="n">
        <v>45631</v>
      </c>
      <c r="C710" s="174" t="n">
        <v>1403</v>
      </c>
      <c r="D710" s="174" t="n">
        <v>9</v>
      </c>
      <c r="E710" s="175" t="inlineStr">
        <is>
          <t>1403/09/15</t>
        </is>
      </c>
      <c r="F710" s="128" t="inlineStr">
        <is>
          <t>1403/09</t>
        </is>
      </c>
      <c r="G710" s="58" t="inlineStr">
        <is>
          <t>آذر</t>
        </is>
      </c>
      <c r="H710" s="128" t="inlineStr">
        <is>
          <t>پاییز</t>
        </is>
      </c>
      <c r="I710" s="128" t="inlineStr">
        <is>
          <t>پنجشنبه</t>
        </is>
      </c>
      <c r="J710" s="128" t="inlineStr">
        <is>
          <t>بله</t>
        </is>
      </c>
    </row>
    <row r="711">
      <c r="A711" s="176" t="n">
        <v>45632</v>
      </c>
      <c r="B711" s="177" t="n">
        <v>45632</v>
      </c>
      <c r="C711" s="177" t="n">
        <v>1403</v>
      </c>
      <c r="D711" s="177" t="n">
        <v>9</v>
      </c>
      <c r="E711" s="178" t="inlineStr">
        <is>
          <t>1403/09/16</t>
        </is>
      </c>
      <c r="F711" s="134" t="inlineStr">
        <is>
          <t>1403/09</t>
        </is>
      </c>
      <c r="G711" s="61" t="inlineStr">
        <is>
          <t>آذر</t>
        </is>
      </c>
      <c r="H711" s="134" t="inlineStr">
        <is>
          <t>پاییز</t>
        </is>
      </c>
      <c r="I711" s="134" t="inlineStr">
        <is>
          <t>جمعه</t>
        </is>
      </c>
      <c r="J711" s="134" t="inlineStr">
        <is>
          <t>بله</t>
        </is>
      </c>
    </row>
    <row r="712">
      <c r="A712" s="173" t="n">
        <v>45633</v>
      </c>
      <c r="B712" s="174" t="n">
        <v>45633</v>
      </c>
      <c r="C712" s="174" t="n">
        <v>1403</v>
      </c>
      <c r="D712" s="174" t="n">
        <v>9</v>
      </c>
      <c r="E712" s="175" t="inlineStr">
        <is>
          <t>1403/09/17</t>
        </is>
      </c>
      <c r="F712" s="128" t="inlineStr">
        <is>
          <t>1403/09</t>
        </is>
      </c>
      <c r="G712" s="58" t="inlineStr">
        <is>
          <t>آذر</t>
        </is>
      </c>
      <c r="H712" s="128" t="inlineStr">
        <is>
          <t>پاییز</t>
        </is>
      </c>
      <c r="I712" s="128" t="inlineStr">
        <is>
          <t>شنبه</t>
        </is>
      </c>
      <c r="J712" s="128" t="inlineStr">
        <is>
          <t>خیر</t>
        </is>
      </c>
    </row>
    <row r="713">
      <c r="A713" s="176" t="n">
        <v>45634</v>
      </c>
      <c r="B713" s="177" t="n">
        <v>45634</v>
      </c>
      <c r="C713" s="177" t="n">
        <v>1403</v>
      </c>
      <c r="D713" s="177" t="n">
        <v>9</v>
      </c>
      <c r="E713" s="178" t="inlineStr">
        <is>
          <t>1403/09/18</t>
        </is>
      </c>
      <c r="F713" s="134" t="inlineStr">
        <is>
          <t>1403/09</t>
        </is>
      </c>
      <c r="G713" s="61" t="inlineStr">
        <is>
          <t>آذر</t>
        </is>
      </c>
      <c r="H713" s="134" t="inlineStr">
        <is>
          <t>پاییز</t>
        </is>
      </c>
      <c r="I713" s="134" t="inlineStr">
        <is>
          <t>یکشنبه</t>
        </is>
      </c>
      <c r="J713" s="134" t="inlineStr">
        <is>
          <t>خیر</t>
        </is>
      </c>
    </row>
    <row r="714">
      <c r="A714" s="173" t="n">
        <v>45635</v>
      </c>
      <c r="B714" s="174" t="n">
        <v>45635</v>
      </c>
      <c r="C714" s="174" t="n">
        <v>1403</v>
      </c>
      <c r="D714" s="174" t="n">
        <v>9</v>
      </c>
      <c r="E714" s="175" t="inlineStr">
        <is>
          <t>1403/09/19</t>
        </is>
      </c>
      <c r="F714" s="128" t="inlineStr">
        <is>
          <t>1403/09</t>
        </is>
      </c>
      <c r="G714" s="58" t="inlineStr">
        <is>
          <t>آذر</t>
        </is>
      </c>
      <c r="H714" s="128" t="inlineStr">
        <is>
          <t>پاییز</t>
        </is>
      </c>
      <c r="I714" s="128" t="inlineStr">
        <is>
          <t>دوشنبه</t>
        </is>
      </c>
      <c r="J714" s="128" t="inlineStr">
        <is>
          <t>بله</t>
        </is>
      </c>
    </row>
    <row r="715">
      <c r="A715" s="176" t="n">
        <v>45636</v>
      </c>
      <c r="B715" s="177" t="n">
        <v>45636</v>
      </c>
      <c r="C715" s="177" t="n">
        <v>1403</v>
      </c>
      <c r="D715" s="177" t="n">
        <v>9</v>
      </c>
      <c r="E715" s="178" t="inlineStr">
        <is>
          <t>1403/09/20</t>
        </is>
      </c>
      <c r="F715" s="134" t="inlineStr">
        <is>
          <t>1403/09</t>
        </is>
      </c>
      <c r="G715" s="61" t="inlineStr">
        <is>
          <t>آذر</t>
        </is>
      </c>
      <c r="H715" s="134" t="inlineStr">
        <is>
          <t>پاییز</t>
        </is>
      </c>
      <c r="I715" s="134" t="inlineStr">
        <is>
          <t>سه‌شنبه</t>
        </is>
      </c>
      <c r="J715" s="134" t="inlineStr">
        <is>
          <t>بله</t>
        </is>
      </c>
    </row>
    <row r="716">
      <c r="A716" s="173" t="n">
        <v>45637</v>
      </c>
      <c r="B716" s="174" t="n">
        <v>45637</v>
      </c>
      <c r="C716" s="174" t="n">
        <v>1403</v>
      </c>
      <c r="D716" s="174" t="n">
        <v>9</v>
      </c>
      <c r="E716" s="175" t="inlineStr">
        <is>
          <t>1403/09/21</t>
        </is>
      </c>
      <c r="F716" s="128" t="inlineStr">
        <is>
          <t>1403/09</t>
        </is>
      </c>
      <c r="G716" s="58" t="inlineStr">
        <is>
          <t>آذر</t>
        </is>
      </c>
      <c r="H716" s="128" t="inlineStr">
        <is>
          <t>پاییز</t>
        </is>
      </c>
      <c r="I716" s="128" t="inlineStr">
        <is>
          <t>چهارشنبه</t>
        </is>
      </c>
      <c r="J716" s="128" t="inlineStr">
        <is>
          <t>بله</t>
        </is>
      </c>
    </row>
    <row r="717">
      <c r="A717" s="176" t="n">
        <v>45638</v>
      </c>
      <c r="B717" s="177" t="n">
        <v>45638</v>
      </c>
      <c r="C717" s="177" t="n">
        <v>1403</v>
      </c>
      <c r="D717" s="177" t="n">
        <v>9</v>
      </c>
      <c r="E717" s="178" t="inlineStr">
        <is>
          <t>1403/09/22</t>
        </is>
      </c>
      <c r="F717" s="134" t="inlineStr">
        <is>
          <t>1403/09</t>
        </is>
      </c>
      <c r="G717" s="61" t="inlineStr">
        <is>
          <t>آذر</t>
        </is>
      </c>
      <c r="H717" s="134" t="inlineStr">
        <is>
          <t>پاییز</t>
        </is>
      </c>
      <c r="I717" s="134" t="inlineStr">
        <is>
          <t>پنجشنبه</t>
        </is>
      </c>
      <c r="J717" s="134" t="inlineStr">
        <is>
          <t>بله</t>
        </is>
      </c>
    </row>
    <row r="718">
      <c r="A718" s="173" t="n">
        <v>45639</v>
      </c>
      <c r="B718" s="174" t="n">
        <v>45639</v>
      </c>
      <c r="C718" s="174" t="n">
        <v>1403</v>
      </c>
      <c r="D718" s="174" t="n">
        <v>9</v>
      </c>
      <c r="E718" s="175" t="inlineStr">
        <is>
          <t>1403/09/23</t>
        </is>
      </c>
      <c r="F718" s="128" t="inlineStr">
        <is>
          <t>1403/09</t>
        </is>
      </c>
      <c r="G718" s="58" t="inlineStr">
        <is>
          <t>آذر</t>
        </is>
      </c>
      <c r="H718" s="128" t="inlineStr">
        <is>
          <t>پاییز</t>
        </is>
      </c>
      <c r="I718" s="128" t="inlineStr">
        <is>
          <t>جمعه</t>
        </is>
      </c>
      <c r="J718" s="128" t="inlineStr">
        <is>
          <t>بله</t>
        </is>
      </c>
    </row>
    <row r="719">
      <c r="A719" s="176" t="n">
        <v>45640</v>
      </c>
      <c r="B719" s="177" t="n">
        <v>45640</v>
      </c>
      <c r="C719" s="177" t="n">
        <v>1403</v>
      </c>
      <c r="D719" s="177" t="n">
        <v>9</v>
      </c>
      <c r="E719" s="178" t="inlineStr">
        <is>
          <t>1403/09/24</t>
        </is>
      </c>
      <c r="F719" s="134" t="inlineStr">
        <is>
          <t>1403/09</t>
        </is>
      </c>
      <c r="G719" s="61" t="inlineStr">
        <is>
          <t>آذر</t>
        </is>
      </c>
      <c r="H719" s="134" t="inlineStr">
        <is>
          <t>پاییز</t>
        </is>
      </c>
      <c r="I719" s="134" t="inlineStr">
        <is>
          <t>شنبه</t>
        </is>
      </c>
      <c r="J719" s="134" t="inlineStr">
        <is>
          <t>خیر</t>
        </is>
      </c>
    </row>
    <row r="720">
      <c r="A720" s="173" t="n">
        <v>45641</v>
      </c>
      <c r="B720" s="174" t="n">
        <v>45641</v>
      </c>
      <c r="C720" s="174" t="n">
        <v>1403</v>
      </c>
      <c r="D720" s="174" t="n">
        <v>9</v>
      </c>
      <c r="E720" s="175" t="inlineStr">
        <is>
          <t>1403/09/25</t>
        </is>
      </c>
      <c r="F720" s="128" t="inlineStr">
        <is>
          <t>1403/09</t>
        </is>
      </c>
      <c r="G720" s="58" t="inlineStr">
        <is>
          <t>آذر</t>
        </is>
      </c>
      <c r="H720" s="128" t="inlineStr">
        <is>
          <t>پاییز</t>
        </is>
      </c>
      <c r="I720" s="128" t="inlineStr">
        <is>
          <t>یکشنبه</t>
        </is>
      </c>
      <c r="J720" s="128" t="inlineStr">
        <is>
          <t>خیر</t>
        </is>
      </c>
    </row>
    <row r="721">
      <c r="A721" s="176" t="n">
        <v>45642</v>
      </c>
      <c r="B721" s="177" t="n">
        <v>45642</v>
      </c>
      <c r="C721" s="177" t="n">
        <v>1403</v>
      </c>
      <c r="D721" s="177" t="n">
        <v>9</v>
      </c>
      <c r="E721" s="178" t="inlineStr">
        <is>
          <t>1403/09/26</t>
        </is>
      </c>
      <c r="F721" s="134" t="inlineStr">
        <is>
          <t>1403/09</t>
        </is>
      </c>
      <c r="G721" s="61" t="inlineStr">
        <is>
          <t>آذر</t>
        </is>
      </c>
      <c r="H721" s="134" t="inlineStr">
        <is>
          <t>پاییز</t>
        </is>
      </c>
      <c r="I721" s="134" t="inlineStr">
        <is>
          <t>دوشنبه</t>
        </is>
      </c>
      <c r="J721" s="134" t="inlineStr">
        <is>
          <t>بله</t>
        </is>
      </c>
    </row>
    <row r="722">
      <c r="A722" s="173" t="n">
        <v>45643</v>
      </c>
      <c r="B722" s="174" t="n">
        <v>45643</v>
      </c>
      <c r="C722" s="174" t="n">
        <v>1403</v>
      </c>
      <c r="D722" s="174" t="n">
        <v>9</v>
      </c>
      <c r="E722" s="175" t="inlineStr">
        <is>
          <t>1403/09/27</t>
        </is>
      </c>
      <c r="F722" s="128" t="inlineStr">
        <is>
          <t>1403/09</t>
        </is>
      </c>
      <c r="G722" s="58" t="inlineStr">
        <is>
          <t>آذر</t>
        </is>
      </c>
      <c r="H722" s="128" t="inlineStr">
        <is>
          <t>پاییز</t>
        </is>
      </c>
      <c r="I722" s="128" t="inlineStr">
        <is>
          <t>سه‌شنبه</t>
        </is>
      </c>
      <c r="J722" s="128" t="inlineStr">
        <is>
          <t>بله</t>
        </is>
      </c>
    </row>
    <row r="723">
      <c r="A723" s="176" t="n">
        <v>45644</v>
      </c>
      <c r="B723" s="177" t="n">
        <v>45644</v>
      </c>
      <c r="C723" s="177" t="n">
        <v>1403</v>
      </c>
      <c r="D723" s="177" t="n">
        <v>9</v>
      </c>
      <c r="E723" s="178" t="inlineStr">
        <is>
          <t>1403/09/28</t>
        </is>
      </c>
      <c r="F723" s="134" t="inlineStr">
        <is>
          <t>1403/09</t>
        </is>
      </c>
      <c r="G723" s="61" t="inlineStr">
        <is>
          <t>آذر</t>
        </is>
      </c>
      <c r="H723" s="134" t="inlineStr">
        <is>
          <t>پاییز</t>
        </is>
      </c>
      <c r="I723" s="134" t="inlineStr">
        <is>
          <t>چهارشنبه</t>
        </is>
      </c>
      <c r="J723" s="134" t="inlineStr">
        <is>
          <t>بله</t>
        </is>
      </c>
    </row>
    <row r="724">
      <c r="A724" s="173" t="n">
        <v>45645</v>
      </c>
      <c r="B724" s="174" t="n">
        <v>45645</v>
      </c>
      <c r="C724" s="174" t="n">
        <v>1403</v>
      </c>
      <c r="D724" s="174" t="n">
        <v>9</v>
      </c>
      <c r="E724" s="175" t="inlineStr">
        <is>
          <t>1403/09/29</t>
        </is>
      </c>
      <c r="F724" s="128" t="inlineStr">
        <is>
          <t>1403/09</t>
        </is>
      </c>
      <c r="G724" s="58" t="inlineStr">
        <is>
          <t>آذر</t>
        </is>
      </c>
      <c r="H724" s="128" t="inlineStr">
        <is>
          <t>پاییز</t>
        </is>
      </c>
      <c r="I724" s="128" t="inlineStr">
        <is>
          <t>پنجشنبه</t>
        </is>
      </c>
      <c r="J724" s="128" t="inlineStr">
        <is>
          <t>بله</t>
        </is>
      </c>
    </row>
    <row r="725">
      <c r="A725" s="176" t="n">
        <v>45646</v>
      </c>
      <c r="B725" s="177" t="n">
        <v>45646</v>
      </c>
      <c r="C725" s="177" t="n">
        <v>1403</v>
      </c>
      <c r="D725" s="177" t="n">
        <v>9</v>
      </c>
      <c r="E725" s="178" t="inlineStr">
        <is>
          <t>1403/09/30</t>
        </is>
      </c>
      <c r="F725" s="134" t="inlineStr">
        <is>
          <t>1403/09</t>
        </is>
      </c>
      <c r="G725" s="61" t="inlineStr">
        <is>
          <t>آذر</t>
        </is>
      </c>
      <c r="H725" s="134" t="inlineStr">
        <is>
          <t>پاییز</t>
        </is>
      </c>
      <c r="I725" s="134" t="inlineStr">
        <is>
          <t>جمعه</t>
        </is>
      </c>
      <c r="J725" s="134" t="inlineStr">
        <is>
          <t>بله</t>
        </is>
      </c>
    </row>
    <row r="726">
      <c r="A726" s="173" t="n">
        <v>45647</v>
      </c>
      <c r="B726" s="174" t="n">
        <v>45647</v>
      </c>
      <c r="C726" s="174" t="n">
        <v>1403</v>
      </c>
      <c r="D726" s="174" t="n">
        <v>10</v>
      </c>
      <c r="E726" s="175" t="inlineStr">
        <is>
          <t>1403/10/01</t>
        </is>
      </c>
      <c r="F726" s="128" t="inlineStr">
        <is>
          <t>1403/10</t>
        </is>
      </c>
      <c r="G726" s="58" t="inlineStr">
        <is>
          <t>دی</t>
        </is>
      </c>
      <c r="H726" s="128" t="inlineStr">
        <is>
          <t>زمستان</t>
        </is>
      </c>
      <c r="I726" s="128" t="inlineStr">
        <is>
          <t>شنبه</t>
        </is>
      </c>
      <c r="J726" s="128" t="inlineStr">
        <is>
          <t>خیر</t>
        </is>
      </c>
    </row>
    <row r="727">
      <c r="A727" s="176" t="n">
        <v>45648</v>
      </c>
      <c r="B727" s="177" t="n">
        <v>45648</v>
      </c>
      <c r="C727" s="177" t="n">
        <v>1403</v>
      </c>
      <c r="D727" s="177" t="n">
        <v>10</v>
      </c>
      <c r="E727" s="178" t="inlineStr">
        <is>
          <t>1403/10/02</t>
        </is>
      </c>
      <c r="F727" s="134" t="inlineStr">
        <is>
          <t>1403/10</t>
        </is>
      </c>
      <c r="G727" s="61" t="inlineStr">
        <is>
          <t>دی</t>
        </is>
      </c>
      <c r="H727" s="134" t="inlineStr">
        <is>
          <t>زمستان</t>
        </is>
      </c>
      <c r="I727" s="134" t="inlineStr">
        <is>
          <t>یکشنبه</t>
        </is>
      </c>
      <c r="J727" s="134" t="inlineStr">
        <is>
          <t>خیر</t>
        </is>
      </c>
    </row>
    <row r="728">
      <c r="A728" s="173" t="n">
        <v>45649</v>
      </c>
      <c r="B728" s="174" t="n">
        <v>45649</v>
      </c>
      <c r="C728" s="174" t="n">
        <v>1403</v>
      </c>
      <c r="D728" s="174" t="n">
        <v>10</v>
      </c>
      <c r="E728" s="175" t="inlineStr">
        <is>
          <t>1403/10/03</t>
        </is>
      </c>
      <c r="F728" s="128" t="inlineStr">
        <is>
          <t>1403/10</t>
        </is>
      </c>
      <c r="G728" s="58" t="inlineStr">
        <is>
          <t>دی</t>
        </is>
      </c>
      <c r="H728" s="128" t="inlineStr">
        <is>
          <t>زمستان</t>
        </is>
      </c>
      <c r="I728" s="128" t="inlineStr">
        <is>
          <t>دوشنبه</t>
        </is>
      </c>
      <c r="J728" s="128" t="inlineStr">
        <is>
          <t>بله</t>
        </is>
      </c>
    </row>
    <row r="729">
      <c r="A729" s="176" t="n">
        <v>45650</v>
      </c>
      <c r="B729" s="177" t="n">
        <v>45650</v>
      </c>
      <c r="C729" s="177" t="n">
        <v>1403</v>
      </c>
      <c r="D729" s="177" t="n">
        <v>10</v>
      </c>
      <c r="E729" s="178" t="inlineStr">
        <is>
          <t>1403/10/04</t>
        </is>
      </c>
      <c r="F729" s="134" t="inlineStr">
        <is>
          <t>1403/10</t>
        </is>
      </c>
      <c r="G729" s="61" t="inlineStr">
        <is>
          <t>دی</t>
        </is>
      </c>
      <c r="H729" s="134" t="inlineStr">
        <is>
          <t>زمستان</t>
        </is>
      </c>
      <c r="I729" s="134" t="inlineStr">
        <is>
          <t>سه‌شنبه</t>
        </is>
      </c>
      <c r="J729" s="134" t="inlineStr">
        <is>
          <t>بله</t>
        </is>
      </c>
    </row>
    <row r="730">
      <c r="A730" s="173" t="n">
        <v>45651</v>
      </c>
      <c r="B730" s="174" t="n">
        <v>45651</v>
      </c>
      <c r="C730" s="174" t="n">
        <v>1403</v>
      </c>
      <c r="D730" s="174" t="n">
        <v>10</v>
      </c>
      <c r="E730" s="175" t="inlineStr">
        <is>
          <t>1403/10/05</t>
        </is>
      </c>
      <c r="F730" s="128" t="inlineStr">
        <is>
          <t>1403/10</t>
        </is>
      </c>
      <c r="G730" s="58" t="inlineStr">
        <is>
          <t>دی</t>
        </is>
      </c>
      <c r="H730" s="128" t="inlineStr">
        <is>
          <t>زمستان</t>
        </is>
      </c>
      <c r="I730" s="128" t="inlineStr">
        <is>
          <t>چهارشنبه</t>
        </is>
      </c>
      <c r="J730" s="128" t="inlineStr">
        <is>
          <t>بله</t>
        </is>
      </c>
    </row>
    <row r="731">
      <c r="A731" s="176" t="n">
        <v>45652</v>
      </c>
      <c r="B731" s="177" t="n">
        <v>45652</v>
      </c>
      <c r="C731" s="177" t="n">
        <v>1403</v>
      </c>
      <c r="D731" s="177" t="n">
        <v>10</v>
      </c>
      <c r="E731" s="178" t="inlineStr">
        <is>
          <t>1403/10/06</t>
        </is>
      </c>
      <c r="F731" s="134" t="inlineStr">
        <is>
          <t>1403/10</t>
        </is>
      </c>
      <c r="G731" s="61" t="inlineStr">
        <is>
          <t>دی</t>
        </is>
      </c>
      <c r="H731" s="134" t="inlineStr">
        <is>
          <t>زمستان</t>
        </is>
      </c>
      <c r="I731" s="134" t="inlineStr">
        <is>
          <t>پنجشنبه</t>
        </is>
      </c>
      <c r="J731" s="134" t="inlineStr">
        <is>
          <t>بله</t>
        </is>
      </c>
    </row>
    <row r="732">
      <c r="A732" s="173" t="n">
        <v>45653</v>
      </c>
      <c r="B732" s="174" t="n">
        <v>45653</v>
      </c>
      <c r="C732" s="174" t="n">
        <v>1403</v>
      </c>
      <c r="D732" s="174" t="n">
        <v>10</v>
      </c>
      <c r="E732" s="175" t="inlineStr">
        <is>
          <t>1403/10/07</t>
        </is>
      </c>
      <c r="F732" s="128" t="inlineStr">
        <is>
          <t>1403/10</t>
        </is>
      </c>
      <c r="G732" s="58" t="inlineStr">
        <is>
          <t>دی</t>
        </is>
      </c>
      <c r="H732" s="128" t="inlineStr">
        <is>
          <t>زمستان</t>
        </is>
      </c>
      <c r="I732" s="128" t="inlineStr">
        <is>
          <t>جمعه</t>
        </is>
      </c>
      <c r="J732" s="128" t="inlineStr">
        <is>
          <t>بله</t>
        </is>
      </c>
    </row>
    <row r="733">
      <c r="A733" s="176" t="n">
        <v>45654</v>
      </c>
      <c r="B733" s="177" t="n">
        <v>45654</v>
      </c>
      <c r="C733" s="177" t="n">
        <v>1403</v>
      </c>
      <c r="D733" s="177" t="n">
        <v>10</v>
      </c>
      <c r="E733" s="178" t="inlineStr">
        <is>
          <t>1403/10/08</t>
        </is>
      </c>
      <c r="F733" s="134" t="inlineStr">
        <is>
          <t>1403/10</t>
        </is>
      </c>
      <c r="G733" s="61" t="inlineStr">
        <is>
          <t>دی</t>
        </is>
      </c>
      <c r="H733" s="134" t="inlineStr">
        <is>
          <t>زمستان</t>
        </is>
      </c>
      <c r="I733" s="134" t="inlineStr">
        <is>
          <t>شنبه</t>
        </is>
      </c>
      <c r="J733" s="134" t="inlineStr">
        <is>
          <t>خیر</t>
        </is>
      </c>
    </row>
    <row r="734">
      <c r="A734" s="173" t="n">
        <v>45655</v>
      </c>
      <c r="B734" s="174" t="n">
        <v>45655</v>
      </c>
      <c r="C734" s="174" t="n">
        <v>1403</v>
      </c>
      <c r="D734" s="174" t="n">
        <v>10</v>
      </c>
      <c r="E734" s="175" t="inlineStr">
        <is>
          <t>1403/10/09</t>
        </is>
      </c>
      <c r="F734" s="128" t="inlineStr">
        <is>
          <t>1403/10</t>
        </is>
      </c>
      <c r="G734" s="58" t="inlineStr">
        <is>
          <t>دی</t>
        </is>
      </c>
      <c r="H734" s="128" t="inlineStr">
        <is>
          <t>زمستان</t>
        </is>
      </c>
      <c r="I734" s="128" t="inlineStr">
        <is>
          <t>یکشنبه</t>
        </is>
      </c>
      <c r="J734" s="128" t="inlineStr">
        <is>
          <t>خیر</t>
        </is>
      </c>
    </row>
    <row r="735">
      <c r="A735" s="176" t="n">
        <v>45656</v>
      </c>
      <c r="B735" s="177" t="n">
        <v>45656</v>
      </c>
      <c r="C735" s="177" t="n">
        <v>1403</v>
      </c>
      <c r="D735" s="177" t="n">
        <v>10</v>
      </c>
      <c r="E735" s="178" t="inlineStr">
        <is>
          <t>1403/10/10</t>
        </is>
      </c>
      <c r="F735" s="134" t="inlineStr">
        <is>
          <t>1403/10</t>
        </is>
      </c>
      <c r="G735" s="61" t="inlineStr">
        <is>
          <t>دی</t>
        </is>
      </c>
      <c r="H735" s="134" t="inlineStr">
        <is>
          <t>زمستان</t>
        </is>
      </c>
      <c r="I735" s="134" t="inlineStr">
        <is>
          <t>دوشنبه</t>
        </is>
      </c>
      <c r="J735" s="134" t="inlineStr">
        <is>
          <t>بله</t>
        </is>
      </c>
    </row>
    <row r="736">
      <c r="A736" s="173" t="n">
        <v>45657</v>
      </c>
      <c r="B736" s="174" t="n">
        <v>45657</v>
      </c>
      <c r="C736" s="174" t="n">
        <v>1403</v>
      </c>
      <c r="D736" s="174" t="n">
        <v>10</v>
      </c>
      <c r="E736" s="175" t="inlineStr">
        <is>
          <t>1403/10/11</t>
        </is>
      </c>
      <c r="F736" s="128" t="inlineStr">
        <is>
          <t>1403/10</t>
        </is>
      </c>
      <c r="G736" s="58" t="inlineStr">
        <is>
          <t>دی</t>
        </is>
      </c>
      <c r="H736" s="128" t="inlineStr">
        <is>
          <t>زمستان</t>
        </is>
      </c>
      <c r="I736" s="128" t="inlineStr">
        <is>
          <t>سه‌شنبه</t>
        </is>
      </c>
      <c r="J736" s="128" t="inlineStr">
        <is>
          <t>بله</t>
        </is>
      </c>
    </row>
    <row r="737">
      <c r="A737" s="176" t="n">
        <v>45658</v>
      </c>
      <c r="B737" s="177" t="n">
        <v>45658</v>
      </c>
      <c r="C737" s="177" t="n">
        <v>1403</v>
      </c>
      <c r="D737" s="177" t="n">
        <v>10</v>
      </c>
      <c r="E737" s="178" t="inlineStr">
        <is>
          <t>1403/10/12</t>
        </is>
      </c>
      <c r="F737" s="134" t="inlineStr">
        <is>
          <t>1403/10</t>
        </is>
      </c>
      <c r="G737" s="61" t="inlineStr">
        <is>
          <t>دی</t>
        </is>
      </c>
      <c r="H737" s="134" t="inlineStr">
        <is>
          <t>زمستان</t>
        </is>
      </c>
      <c r="I737" s="134" t="inlineStr">
        <is>
          <t>چهارشنبه</t>
        </is>
      </c>
      <c r="J737" s="134" t="inlineStr">
        <is>
          <t>بله</t>
        </is>
      </c>
    </row>
    <row r="738">
      <c r="A738" s="173" t="n">
        <v>45659</v>
      </c>
      <c r="B738" s="174" t="n">
        <v>45659</v>
      </c>
      <c r="C738" s="174" t="n">
        <v>1403</v>
      </c>
      <c r="D738" s="174" t="n">
        <v>10</v>
      </c>
      <c r="E738" s="175" t="inlineStr">
        <is>
          <t>1403/10/13</t>
        </is>
      </c>
      <c r="F738" s="128" t="inlineStr">
        <is>
          <t>1403/10</t>
        </is>
      </c>
      <c r="G738" s="58" t="inlineStr">
        <is>
          <t>دی</t>
        </is>
      </c>
      <c r="H738" s="128" t="inlineStr">
        <is>
          <t>زمستان</t>
        </is>
      </c>
      <c r="I738" s="128" t="inlineStr">
        <is>
          <t>پنجشنبه</t>
        </is>
      </c>
      <c r="J738" s="128" t="inlineStr">
        <is>
          <t>بله</t>
        </is>
      </c>
    </row>
    <row r="739">
      <c r="A739" s="176" t="n">
        <v>45660</v>
      </c>
      <c r="B739" s="177" t="n">
        <v>45660</v>
      </c>
      <c r="C739" s="177" t="n">
        <v>1403</v>
      </c>
      <c r="D739" s="177" t="n">
        <v>10</v>
      </c>
      <c r="E739" s="178" t="inlineStr">
        <is>
          <t>1403/10/14</t>
        </is>
      </c>
      <c r="F739" s="134" t="inlineStr">
        <is>
          <t>1403/10</t>
        </is>
      </c>
      <c r="G739" s="61" t="inlineStr">
        <is>
          <t>دی</t>
        </is>
      </c>
      <c r="H739" s="134" t="inlineStr">
        <is>
          <t>زمستان</t>
        </is>
      </c>
      <c r="I739" s="134" t="inlineStr">
        <is>
          <t>جمعه</t>
        </is>
      </c>
      <c r="J739" s="134" t="inlineStr">
        <is>
          <t>بله</t>
        </is>
      </c>
    </row>
    <row r="740">
      <c r="A740" s="173" t="n">
        <v>45661</v>
      </c>
      <c r="B740" s="174" t="n">
        <v>45661</v>
      </c>
      <c r="C740" s="174" t="n">
        <v>1403</v>
      </c>
      <c r="D740" s="174" t="n">
        <v>10</v>
      </c>
      <c r="E740" s="175" t="inlineStr">
        <is>
          <t>1403/10/15</t>
        </is>
      </c>
      <c r="F740" s="128" t="inlineStr">
        <is>
          <t>1403/10</t>
        </is>
      </c>
      <c r="G740" s="58" t="inlineStr">
        <is>
          <t>دی</t>
        </is>
      </c>
      <c r="H740" s="128" t="inlineStr">
        <is>
          <t>زمستان</t>
        </is>
      </c>
      <c r="I740" s="128" t="inlineStr">
        <is>
          <t>شنبه</t>
        </is>
      </c>
      <c r="J740" s="128" t="inlineStr">
        <is>
          <t>خیر</t>
        </is>
      </c>
    </row>
    <row r="741">
      <c r="A741" s="176" t="n">
        <v>45662</v>
      </c>
      <c r="B741" s="177" t="n">
        <v>45662</v>
      </c>
      <c r="C741" s="177" t="n">
        <v>1403</v>
      </c>
      <c r="D741" s="177" t="n">
        <v>10</v>
      </c>
      <c r="E741" s="178" t="inlineStr">
        <is>
          <t>1403/10/16</t>
        </is>
      </c>
      <c r="F741" s="134" t="inlineStr">
        <is>
          <t>1403/10</t>
        </is>
      </c>
      <c r="G741" s="61" t="inlineStr">
        <is>
          <t>دی</t>
        </is>
      </c>
      <c r="H741" s="134" t="inlineStr">
        <is>
          <t>زمستان</t>
        </is>
      </c>
      <c r="I741" s="134" t="inlineStr">
        <is>
          <t>یکشنبه</t>
        </is>
      </c>
      <c r="J741" s="134" t="inlineStr">
        <is>
          <t>خیر</t>
        </is>
      </c>
    </row>
    <row r="742">
      <c r="A742" s="173" t="n">
        <v>45663</v>
      </c>
      <c r="B742" s="174" t="n">
        <v>45663</v>
      </c>
      <c r="C742" s="174" t="n">
        <v>1403</v>
      </c>
      <c r="D742" s="174" t="n">
        <v>10</v>
      </c>
      <c r="E742" s="175" t="inlineStr">
        <is>
          <t>1403/10/17</t>
        </is>
      </c>
      <c r="F742" s="128" t="inlineStr">
        <is>
          <t>1403/10</t>
        </is>
      </c>
      <c r="G742" s="58" t="inlineStr">
        <is>
          <t>دی</t>
        </is>
      </c>
      <c r="H742" s="128" t="inlineStr">
        <is>
          <t>زمستان</t>
        </is>
      </c>
      <c r="I742" s="128" t="inlineStr">
        <is>
          <t>دوشنبه</t>
        </is>
      </c>
      <c r="J742" s="128" t="inlineStr">
        <is>
          <t>بله</t>
        </is>
      </c>
    </row>
    <row r="743">
      <c r="A743" s="176" t="n">
        <v>45664</v>
      </c>
      <c r="B743" s="177" t="n">
        <v>45664</v>
      </c>
      <c r="C743" s="177" t="n">
        <v>1403</v>
      </c>
      <c r="D743" s="177" t="n">
        <v>10</v>
      </c>
      <c r="E743" s="178" t="inlineStr">
        <is>
          <t>1403/10/18</t>
        </is>
      </c>
      <c r="F743" s="134" t="inlineStr">
        <is>
          <t>1403/10</t>
        </is>
      </c>
      <c r="G743" s="61" t="inlineStr">
        <is>
          <t>دی</t>
        </is>
      </c>
      <c r="H743" s="134" t="inlineStr">
        <is>
          <t>زمستان</t>
        </is>
      </c>
      <c r="I743" s="134" t="inlineStr">
        <is>
          <t>سه‌شنبه</t>
        </is>
      </c>
      <c r="J743" s="134" t="inlineStr">
        <is>
          <t>بله</t>
        </is>
      </c>
    </row>
    <row r="744">
      <c r="A744" s="173" t="n">
        <v>45665</v>
      </c>
      <c r="B744" s="174" t="n">
        <v>45665</v>
      </c>
      <c r="C744" s="174" t="n">
        <v>1403</v>
      </c>
      <c r="D744" s="174" t="n">
        <v>10</v>
      </c>
      <c r="E744" s="175" t="inlineStr">
        <is>
          <t>1403/10/19</t>
        </is>
      </c>
      <c r="F744" s="128" t="inlineStr">
        <is>
          <t>1403/10</t>
        </is>
      </c>
      <c r="G744" s="58" t="inlineStr">
        <is>
          <t>دی</t>
        </is>
      </c>
      <c r="H744" s="128" t="inlineStr">
        <is>
          <t>زمستان</t>
        </is>
      </c>
      <c r="I744" s="128" t="inlineStr">
        <is>
          <t>چهارشنبه</t>
        </is>
      </c>
      <c r="J744" s="128" t="inlineStr">
        <is>
          <t>بله</t>
        </is>
      </c>
    </row>
    <row r="745">
      <c r="A745" s="176" t="n">
        <v>45666</v>
      </c>
      <c r="B745" s="177" t="n">
        <v>45666</v>
      </c>
      <c r="C745" s="177" t="n">
        <v>1403</v>
      </c>
      <c r="D745" s="177" t="n">
        <v>10</v>
      </c>
      <c r="E745" s="178" t="inlineStr">
        <is>
          <t>1403/10/20</t>
        </is>
      </c>
      <c r="F745" s="134" t="inlineStr">
        <is>
          <t>1403/10</t>
        </is>
      </c>
      <c r="G745" s="61" t="inlineStr">
        <is>
          <t>دی</t>
        </is>
      </c>
      <c r="H745" s="134" t="inlineStr">
        <is>
          <t>زمستان</t>
        </is>
      </c>
      <c r="I745" s="134" t="inlineStr">
        <is>
          <t>پنجشنبه</t>
        </is>
      </c>
      <c r="J745" s="134" t="inlineStr">
        <is>
          <t>بله</t>
        </is>
      </c>
    </row>
    <row r="746">
      <c r="A746" s="173" t="n">
        <v>45667</v>
      </c>
      <c r="B746" s="174" t="n">
        <v>45667</v>
      </c>
      <c r="C746" s="174" t="n">
        <v>1403</v>
      </c>
      <c r="D746" s="174" t="n">
        <v>10</v>
      </c>
      <c r="E746" s="175" t="inlineStr">
        <is>
          <t>1403/10/21</t>
        </is>
      </c>
      <c r="F746" s="128" t="inlineStr">
        <is>
          <t>1403/10</t>
        </is>
      </c>
      <c r="G746" s="58" t="inlineStr">
        <is>
          <t>دی</t>
        </is>
      </c>
      <c r="H746" s="128" t="inlineStr">
        <is>
          <t>زمستان</t>
        </is>
      </c>
      <c r="I746" s="128" t="inlineStr">
        <is>
          <t>جمعه</t>
        </is>
      </c>
      <c r="J746" s="128" t="inlineStr">
        <is>
          <t>بله</t>
        </is>
      </c>
    </row>
    <row r="747">
      <c r="A747" s="176" t="n">
        <v>45668</v>
      </c>
      <c r="B747" s="177" t="n">
        <v>45668</v>
      </c>
      <c r="C747" s="177" t="n">
        <v>1403</v>
      </c>
      <c r="D747" s="177" t="n">
        <v>10</v>
      </c>
      <c r="E747" s="178" t="inlineStr">
        <is>
          <t>1403/10/22</t>
        </is>
      </c>
      <c r="F747" s="134" t="inlineStr">
        <is>
          <t>1403/10</t>
        </is>
      </c>
      <c r="G747" s="61" t="inlineStr">
        <is>
          <t>دی</t>
        </is>
      </c>
      <c r="H747" s="134" t="inlineStr">
        <is>
          <t>زمستان</t>
        </is>
      </c>
      <c r="I747" s="134" t="inlineStr">
        <is>
          <t>شنبه</t>
        </is>
      </c>
      <c r="J747" s="134" t="inlineStr">
        <is>
          <t>خیر</t>
        </is>
      </c>
    </row>
    <row r="748">
      <c r="A748" s="173" t="n">
        <v>45669</v>
      </c>
      <c r="B748" s="174" t="n">
        <v>45669</v>
      </c>
      <c r="C748" s="174" t="n">
        <v>1403</v>
      </c>
      <c r="D748" s="174" t="n">
        <v>10</v>
      </c>
      <c r="E748" s="175" t="inlineStr">
        <is>
          <t>1403/10/23</t>
        </is>
      </c>
      <c r="F748" s="128" t="inlineStr">
        <is>
          <t>1403/10</t>
        </is>
      </c>
      <c r="G748" s="58" t="inlineStr">
        <is>
          <t>دی</t>
        </is>
      </c>
      <c r="H748" s="128" t="inlineStr">
        <is>
          <t>زمستان</t>
        </is>
      </c>
      <c r="I748" s="128" t="inlineStr">
        <is>
          <t>یکشنبه</t>
        </is>
      </c>
      <c r="J748" s="128" t="inlineStr">
        <is>
          <t>خیر</t>
        </is>
      </c>
    </row>
    <row r="749">
      <c r="A749" s="176" t="n">
        <v>45670</v>
      </c>
      <c r="B749" s="177" t="n">
        <v>45670</v>
      </c>
      <c r="C749" s="177" t="n">
        <v>1403</v>
      </c>
      <c r="D749" s="177" t="n">
        <v>10</v>
      </c>
      <c r="E749" s="178" t="inlineStr">
        <is>
          <t>1403/10/24</t>
        </is>
      </c>
      <c r="F749" s="134" t="inlineStr">
        <is>
          <t>1403/10</t>
        </is>
      </c>
      <c r="G749" s="61" t="inlineStr">
        <is>
          <t>دی</t>
        </is>
      </c>
      <c r="H749" s="134" t="inlineStr">
        <is>
          <t>زمستان</t>
        </is>
      </c>
      <c r="I749" s="134" t="inlineStr">
        <is>
          <t>دوشنبه</t>
        </is>
      </c>
      <c r="J749" s="134" t="inlineStr">
        <is>
          <t>بله</t>
        </is>
      </c>
    </row>
    <row r="750">
      <c r="A750" s="173" t="n">
        <v>45671</v>
      </c>
      <c r="B750" s="174" t="n">
        <v>45671</v>
      </c>
      <c r="C750" s="174" t="n">
        <v>1403</v>
      </c>
      <c r="D750" s="174" t="n">
        <v>10</v>
      </c>
      <c r="E750" s="175" t="inlineStr">
        <is>
          <t>1403/10/25</t>
        </is>
      </c>
      <c r="F750" s="128" t="inlineStr">
        <is>
          <t>1403/10</t>
        </is>
      </c>
      <c r="G750" s="58" t="inlineStr">
        <is>
          <t>دی</t>
        </is>
      </c>
      <c r="H750" s="128" t="inlineStr">
        <is>
          <t>زمستان</t>
        </is>
      </c>
      <c r="I750" s="128" t="inlineStr">
        <is>
          <t>سه‌شنبه</t>
        </is>
      </c>
      <c r="J750" s="128" t="inlineStr">
        <is>
          <t>بله</t>
        </is>
      </c>
    </row>
    <row r="751">
      <c r="A751" s="176" t="n">
        <v>45672</v>
      </c>
      <c r="B751" s="177" t="n">
        <v>45672</v>
      </c>
      <c r="C751" s="177" t="n">
        <v>1403</v>
      </c>
      <c r="D751" s="177" t="n">
        <v>10</v>
      </c>
      <c r="E751" s="178" t="inlineStr">
        <is>
          <t>1403/10/26</t>
        </is>
      </c>
      <c r="F751" s="134" t="inlineStr">
        <is>
          <t>1403/10</t>
        </is>
      </c>
      <c r="G751" s="61" t="inlineStr">
        <is>
          <t>دی</t>
        </is>
      </c>
      <c r="H751" s="134" t="inlineStr">
        <is>
          <t>زمستان</t>
        </is>
      </c>
      <c r="I751" s="134" t="inlineStr">
        <is>
          <t>چهارشنبه</t>
        </is>
      </c>
      <c r="J751" s="134" t="inlineStr">
        <is>
          <t>بله</t>
        </is>
      </c>
    </row>
    <row r="752">
      <c r="A752" s="173" t="n">
        <v>45673</v>
      </c>
      <c r="B752" s="174" t="n">
        <v>45673</v>
      </c>
      <c r="C752" s="174" t="n">
        <v>1403</v>
      </c>
      <c r="D752" s="174" t="n">
        <v>10</v>
      </c>
      <c r="E752" s="175" t="inlineStr">
        <is>
          <t>1403/10/27</t>
        </is>
      </c>
      <c r="F752" s="128" t="inlineStr">
        <is>
          <t>1403/10</t>
        </is>
      </c>
      <c r="G752" s="58" t="inlineStr">
        <is>
          <t>دی</t>
        </is>
      </c>
      <c r="H752" s="128" t="inlineStr">
        <is>
          <t>زمستان</t>
        </is>
      </c>
      <c r="I752" s="128" t="inlineStr">
        <is>
          <t>پنجشنبه</t>
        </is>
      </c>
      <c r="J752" s="128" t="inlineStr">
        <is>
          <t>بله</t>
        </is>
      </c>
    </row>
    <row r="753">
      <c r="A753" s="176" t="n">
        <v>45674</v>
      </c>
      <c r="B753" s="177" t="n">
        <v>45674</v>
      </c>
      <c r="C753" s="177" t="n">
        <v>1403</v>
      </c>
      <c r="D753" s="177" t="n">
        <v>10</v>
      </c>
      <c r="E753" s="178" t="inlineStr">
        <is>
          <t>1403/10/28</t>
        </is>
      </c>
      <c r="F753" s="134" t="inlineStr">
        <is>
          <t>1403/10</t>
        </is>
      </c>
      <c r="G753" s="61" t="inlineStr">
        <is>
          <t>دی</t>
        </is>
      </c>
      <c r="H753" s="134" t="inlineStr">
        <is>
          <t>زمستان</t>
        </is>
      </c>
      <c r="I753" s="134" t="inlineStr">
        <is>
          <t>جمعه</t>
        </is>
      </c>
      <c r="J753" s="134" t="inlineStr">
        <is>
          <t>بله</t>
        </is>
      </c>
    </row>
    <row r="754">
      <c r="A754" s="173" t="n">
        <v>45675</v>
      </c>
      <c r="B754" s="174" t="n">
        <v>45675</v>
      </c>
      <c r="C754" s="174" t="n">
        <v>1403</v>
      </c>
      <c r="D754" s="174" t="n">
        <v>10</v>
      </c>
      <c r="E754" s="175" t="inlineStr">
        <is>
          <t>1403/10/29</t>
        </is>
      </c>
      <c r="F754" s="128" t="inlineStr">
        <is>
          <t>1403/10</t>
        </is>
      </c>
      <c r="G754" s="58" t="inlineStr">
        <is>
          <t>دی</t>
        </is>
      </c>
      <c r="H754" s="128" t="inlineStr">
        <is>
          <t>زمستان</t>
        </is>
      </c>
      <c r="I754" s="128" t="inlineStr">
        <is>
          <t>شنبه</t>
        </is>
      </c>
      <c r="J754" s="128" t="inlineStr">
        <is>
          <t>خیر</t>
        </is>
      </c>
    </row>
    <row r="755">
      <c r="A755" s="176" t="n">
        <v>45676</v>
      </c>
      <c r="B755" s="177" t="n">
        <v>45676</v>
      </c>
      <c r="C755" s="177" t="n">
        <v>1403</v>
      </c>
      <c r="D755" s="177" t="n">
        <v>10</v>
      </c>
      <c r="E755" s="178" t="inlineStr">
        <is>
          <t>1403/10/30</t>
        </is>
      </c>
      <c r="F755" s="134" t="inlineStr">
        <is>
          <t>1403/10</t>
        </is>
      </c>
      <c r="G755" s="61" t="inlineStr">
        <is>
          <t>دی</t>
        </is>
      </c>
      <c r="H755" s="134" t="inlineStr">
        <is>
          <t>زمستان</t>
        </is>
      </c>
      <c r="I755" s="134" t="inlineStr">
        <is>
          <t>یکشنبه</t>
        </is>
      </c>
      <c r="J755" s="134" t="inlineStr">
        <is>
          <t>خیر</t>
        </is>
      </c>
    </row>
    <row r="756">
      <c r="A756" s="173" t="n">
        <v>45677</v>
      </c>
      <c r="B756" s="174" t="n">
        <v>45677</v>
      </c>
      <c r="C756" s="174" t="n">
        <v>1403</v>
      </c>
      <c r="D756" s="174" t="n">
        <v>11</v>
      </c>
      <c r="E756" s="175" t="inlineStr">
        <is>
          <t>1403/11/01</t>
        </is>
      </c>
      <c r="F756" s="128" t="inlineStr">
        <is>
          <t>1403/11</t>
        </is>
      </c>
      <c r="G756" s="58" t="inlineStr">
        <is>
          <t>بهمن</t>
        </is>
      </c>
      <c r="H756" s="128" t="inlineStr">
        <is>
          <t>زمستان</t>
        </is>
      </c>
      <c r="I756" s="128" t="inlineStr">
        <is>
          <t>دوشنبه</t>
        </is>
      </c>
      <c r="J756" s="128" t="inlineStr">
        <is>
          <t>بله</t>
        </is>
      </c>
    </row>
    <row r="757">
      <c r="A757" s="176" t="n">
        <v>45678</v>
      </c>
      <c r="B757" s="177" t="n">
        <v>45678</v>
      </c>
      <c r="C757" s="177" t="n">
        <v>1403</v>
      </c>
      <c r="D757" s="177" t="n">
        <v>11</v>
      </c>
      <c r="E757" s="178" t="inlineStr">
        <is>
          <t>1403/11/02</t>
        </is>
      </c>
      <c r="F757" s="134" t="inlineStr">
        <is>
          <t>1403/11</t>
        </is>
      </c>
      <c r="G757" s="61" t="inlineStr">
        <is>
          <t>بهمن</t>
        </is>
      </c>
      <c r="H757" s="134" t="inlineStr">
        <is>
          <t>زمستان</t>
        </is>
      </c>
      <c r="I757" s="134" t="inlineStr">
        <is>
          <t>سه‌شنبه</t>
        </is>
      </c>
      <c r="J757" s="134" t="inlineStr">
        <is>
          <t>بله</t>
        </is>
      </c>
    </row>
    <row r="758">
      <c r="A758" s="173" t="n">
        <v>45679</v>
      </c>
      <c r="B758" s="174" t="n">
        <v>45679</v>
      </c>
      <c r="C758" s="174" t="n">
        <v>1403</v>
      </c>
      <c r="D758" s="174" t="n">
        <v>11</v>
      </c>
      <c r="E758" s="175" t="inlineStr">
        <is>
          <t>1403/11/03</t>
        </is>
      </c>
      <c r="F758" s="128" t="inlineStr">
        <is>
          <t>1403/11</t>
        </is>
      </c>
      <c r="G758" s="58" t="inlineStr">
        <is>
          <t>بهمن</t>
        </is>
      </c>
      <c r="H758" s="128" t="inlineStr">
        <is>
          <t>زمستان</t>
        </is>
      </c>
      <c r="I758" s="128" t="inlineStr">
        <is>
          <t>چهارشنبه</t>
        </is>
      </c>
      <c r="J758" s="128" t="inlineStr">
        <is>
          <t>بله</t>
        </is>
      </c>
    </row>
    <row r="759">
      <c r="A759" s="176" t="n">
        <v>45680</v>
      </c>
      <c r="B759" s="177" t="n">
        <v>45680</v>
      </c>
      <c r="C759" s="177" t="n">
        <v>1403</v>
      </c>
      <c r="D759" s="177" t="n">
        <v>11</v>
      </c>
      <c r="E759" s="178" t="inlineStr">
        <is>
          <t>1403/11/04</t>
        </is>
      </c>
      <c r="F759" s="134" t="inlineStr">
        <is>
          <t>1403/11</t>
        </is>
      </c>
      <c r="G759" s="61" t="inlineStr">
        <is>
          <t>بهمن</t>
        </is>
      </c>
      <c r="H759" s="134" t="inlineStr">
        <is>
          <t>زمستان</t>
        </is>
      </c>
      <c r="I759" s="134" t="inlineStr">
        <is>
          <t>پنجشنبه</t>
        </is>
      </c>
      <c r="J759" s="134" t="inlineStr">
        <is>
          <t>بله</t>
        </is>
      </c>
    </row>
    <row r="760">
      <c r="A760" s="173" t="n">
        <v>45681</v>
      </c>
      <c r="B760" s="174" t="n">
        <v>45681</v>
      </c>
      <c r="C760" s="174" t="n">
        <v>1403</v>
      </c>
      <c r="D760" s="174" t="n">
        <v>11</v>
      </c>
      <c r="E760" s="175" t="inlineStr">
        <is>
          <t>1403/11/05</t>
        </is>
      </c>
      <c r="F760" s="128" t="inlineStr">
        <is>
          <t>1403/11</t>
        </is>
      </c>
      <c r="G760" s="58" t="inlineStr">
        <is>
          <t>بهمن</t>
        </is>
      </c>
      <c r="H760" s="128" t="inlineStr">
        <is>
          <t>زمستان</t>
        </is>
      </c>
      <c r="I760" s="128" t="inlineStr">
        <is>
          <t>جمعه</t>
        </is>
      </c>
      <c r="J760" s="128" t="inlineStr">
        <is>
          <t>بله</t>
        </is>
      </c>
    </row>
    <row r="761">
      <c r="A761" s="176" t="n">
        <v>45682</v>
      </c>
      <c r="B761" s="177" t="n">
        <v>45682</v>
      </c>
      <c r="C761" s="177" t="n">
        <v>1403</v>
      </c>
      <c r="D761" s="177" t="n">
        <v>11</v>
      </c>
      <c r="E761" s="178" t="inlineStr">
        <is>
          <t>1403/11/06</t>
        </is>
      </c>
      <c r="F761" s="134" t="inlineStr">
        <is>
          <t>1403/11</t>
        </is>
      </c>
      <c r="G761" s="61" t="inlineStr">
        <is>
          <t>بهمن</t>
        </is>
      </c>
      <c r="H761" s="134" t="inlineStr">
        <is>
          <t>زمستان</t>
        </is>
      </c>
      <c r="I761" s="134" t="inlineStr">
        <is>
          <t>شنبه</t>
        </is>
      </c>
      <c r="J761" s="134" t="inlineStr">
        <is>
          <t>خیر</t>
        </is>
      </c>
    </row>
    <row r="762">
      <c r="A762" s="173" t="n">
        <v>45683</v>
      </c>
      <c r="B762" s="174" t="n">
        <v>45683</v>
      </c>
      <c r="C762" s="174" t="n">
        <v>1403</v>
      </c>
      <c r="D762" s="174" t="n">
        <v>11</v>
      </c>
      <c r="E762" s="175" t="inlineStr">
        <is>
          <t>1403/11/07</t>
        </is>
      </c>
      <c r="F762" s="128" t="inlineStr">
        <is>
          <t>1403/11</t>
        </is>
      </c>
      <c r="G762" s="58" t="inlineStr">
        <is>
          <t>بهمن</t>
        </is>
      </c>
      <c r="H762" s="128" t="inlineStr">
        <is>
          <t>زمستان</t>
        </is>
      </c>
      <c r="I762" s="128" t="inlineStr">
        <is>
          <t>یکشنبه</t>
        </is>
      </c>
      <c r="J762" s="128" t="inlineStr">
        <is>
          <t>خیر</t>
        </is>
      </c>
    </row>
    <row r="763">
      <c r="A763" s="176" t="n">
        <v>45684</v>
      </c>
      <c r="B763" s="177" t="n">
        <v>45684</v>
      </c>
      <c r="C763" s="177" t="n">
        <v>1403</v>
      </c>
      <c r="D763" s="177" t="n">
        <v>11</v>
      </c>
      <c r="E763" s="178" t="inlineStr">
        <is>
          <t>1403/11/08</t>
        </is>
      </c>
      <c r="F763" s="134" t="inlineStr">
        <is>
          <t>1403/11</t>
        </is>
      </c>
      <c r="G763" s="61" t="inlineStr">
        <is>
          <t>بهمن</t>
        </is>
      </c>
      <c r="H763" s="134" t="inlineStr">
        <is>
          <t>زمستان</t>
        </is>
      </c>
      <c r="I763" s="134" t="inlineStr">
        <is>
          <t>دوشنبه</t>
        </is>
      </c>
      <c r="J763" s="134" t="inlineStr">
        <is>
          <t>بله</t>
        </is>
      </c>
    </row>
    <row r="764">
      <c r="A764" s="173" t="n">
        <v>45685</v>
      </c>
      <c r="B764" s="174" t="n">
        <v>45685</v>
      </c>
      <c r="C764" s="174" t="n">
        <v>1403</v>
      </c>
      <c r="D764" s="174" t="n">
        <v>11</v>
      </c>
      <c r="E764" s="175" t="inlineStr">
        <is>
          <t>1403/11/09</t>
        </is>
      </c>
      <c r="F764" s="128" t="inlineStr">
        <is>
          <t>1403/11</t>
        </is>
      </c>
      <c r="G764" s="58" t="inlineStr">
        <is>
          <t>بهمن</t>
        </is>
      </c>
      <c r="H764" s="128" t="inlineStr">
        <is>
          <t>زمستان</t>
        </is>
      </c>
      <c r="I764" s="128" t="inlineStr">
        <is>
          <t>سه‌شنبه</t>
        </is>
      </c>
      <c r="J764" s="128" t="inlineStr">
        <is>
          <t>بله</t>
        </is>
      </c>
    </row>
    <row r="765">
      <c r="A765" s="176" t="n">
        <v>45686</v>
      </c>
      <c r="B765" s="177" t="n">
        <v>45686</v>
      </c>
      <c r="C765" s="177" t="n">
        <v>1403</v>
      </c>
      <c r="D765" s="177" t="n">
        <v>11</v>
      </c>
      <c r="E765" s="178" t="inlineStr">
        <is>
          <t>1403/11/10</t>
        </is>
      </c>
      <c r="F765" s="134" t="inlineStr">
        <is>
          <t>1403/11</t>
        </is>
      </c>
      <c r="G765" s="61" t="inlineStr">
        <is>
          <t>بهمن</t>
        </is>
      </c>
      <c r="H765" s="134" t="inlineStr">
        <is>
          <t>زمستان</t>
        </is>
      </c>
      <c r="I765" s="134" t="inlineStr">
        <is>
          <t>چهارشنبه</t>
        </is>
      </c>
      <c r="J765" s="134" t="inlineStr">
        <is>
          <t>بله</t>
        </is>
      </c>
    </row>
    <row r="766">
      <c r="A766" s="173" t="n">
        <v>45687</v>
      </c>
      <c r="B766" s="174" t="n">
        <v>45687</v>
      </c>
      <c r="C766" s="174" t="n">
        <v>1403</v>
      </c>
      <c r="D766" s="174" t="n">
        <v>11</v>
      </c>
      <c r="E766" s="175" t="inlineStr">
        <is>
          <t>1403/11/11</t>
        </is>
      </c>
      <c r="F766" s="128" t="inlineStr">
        <is>
          <t>1403/11</t>
        </is>
      </c>
      <c r="G766" s="58" t="inlineStr">
        <is>
          <t>بهمن</t>
        </is>
      </c>
      <c r="H766" s="128" t="inlineStr">
        <is>
          <t>زمستان</t>
        </is>
      </c>
      <c r="I766" s="128" t="inlineStr">
        <is>
          <t>پنجشنبه</t>
        </is>
      </c>
      <c r="J766" s="128" t="inlineStr">
        <is>
          <t>بله</t>
        </is>
      </c>
    </row>
    <row r="767">
      <c r="A767" s="176" t="n">
        <v>45688</v>
      </c>
      <c r="B767" s="177" t="n">
        <v>45688</v>
      </c>
      <c r="C767" s="177" t="n">
        <v>1403</v>
      </c>
      <c r="D767" s="177" t="n">
        <v>11</v>
      </c>
      <c r="E767" s="178" t="inlineStr">
        <is>
          <t>1403/11/12</t>
        </is>
      </c>
      <c r="F767" s="134" t="inlineStr">
        <is>
          <t>1403/11</t>
        </is>
      </c>
      <c r="G767" s="61" t="inlineStr">
        <is>
          <t>بهمن</t>
        </is>
      </c>
      <c r="H767" s="134" t="inlineStr">
        <is>
          <t>زمستان</t>
        </is>
      </c>
      <c r="I767" s="134" t="inlineStr">
        <is>
          <t>جمعه</t>
        </is>
      </c>
      <c r="J767" s="134" t="inlineStr">
        <is>
          <t>بله</t>
        </is>
      </c>
    </row>
    <row r="768">
      <c r="A768" s="173" t="n">
        <v>45689</v>
      </c>
      <c r="B768" s="174" t="n">
        <v>45689</v>
      </c>
      <c r="C768" s="174" t="n">
        <v>1403</v>
      </c>
      <c r="D768" s="174" t="n">
        <v>11</v>
      </c>
      <c r="E768" s="175" t="inlineStr">
        <is>
          <t>1403/11/13</t>
        </is>
      </c>
      <c r="F768" s="128" t="inlineStr">
        <is>
          <t>1403/11</t>
        </is>
      </c>
      <c r="G768" s="58" t="inlineStr">
        <is>
          <t>بهمن</t>
        </is>
      </c>
      <c r="H768" s="128" t="inlineStr">
        <is>
          <t>زمستان</t>
        </is>
      </c>
      <c r="I768" s="128" t="inlineStr">
        <is>
          <t>شنبه</t>
        </is>
      </c>
      <c r="J768" s="128" t="inlineStr">
        <is>
          <t>خیر</t>
        </is>
      </c>
    </row>
    <row r="769">
      <c r="A769" s="176" t="n">
        <v>45690</v>
      </c>
      <c r="B769" s="177" t="n">
        <v>45690</v>
      </c>
      <c r="C769" s="177" t="n">
        <v>1403</v>
      </c>
      <c r="D769" s="177" t="n">
        <v>11</v>
      </c>
      <c r="E769" s="178" t="inlineStr">
        <is>
          <t>1403/11/14</t>
        </is>
      </c>
      <c r="F769" s="134" t="inlineStr">
        <is>
          <t>1403/11</t>
        </is>
      </c>
      <c r="G769" s="61" t="inlineStr">
        <is>
          <t>بهمن</t>
        </is>
      </c>
      <c r="H769" s="134" t="inlineStr">
        <is>
          <t>زمستان</t>
        </is>
      </c>
      <c r="I769" s="134" t="inlineStr">
        <is>
          <t>یکشنبه</t>
        </is>
      </c>
      <c r="J769" s="134" t="inlineStr">
        <is>
          <t>خیر</t>
        </is>
      </c>
    </row>
    <row r="770">
      <c r="A770" s="173" t="n">
        <v>45691</v>
      </c>
      <c r="B770" s="174" t="n">
        <v>45691</v>
      </c>
      <c r="C770" s="174" t="n">
        <v>1403</v>
      </c>
      <c r="D770" s="174" t="n">
        <v>11</v>
      </c>
      <c r="E770" s="175" t="inlineStr">
        <is>
          <t>1403/11/15</t>
        </is>
      </c>
      <c r="F770" s="128" t="inlineStr">
        <is>
          <t>1403/11</t>
        </is>
      </c>
      <c r="G770" s="58" t="inlineStr">
        <is>
          <t>بهمن</t>
        </is>
      </c>
      <c r="H770" s="128" t="inlineStr">
        <is>
          <t>زمستان</t>
        </is>
      </c>
      <c r="I770" s="128" t="inlineStr">
        <is>
          <t>دوشنبه</t>
        </is>
      </c>
      <c r="J770" s="128" t="inlineStr">
        <is>
          <t>بله</t>
        </is>
      </c>
    </row>
    <row r="771">
      <c r="A771" s="176" t="n">
        <v>45692</v>
      </c>
      <c r="B771" s="177" t="n">
        <v>45692</v>
      </c>
      <c r="C771" s="177" t="n">
        <v>1403</v>
      </c>
      <c r="D771" s="177" t="n">
        <v>11</v>
      </c>
      <c r="E771" s="178" t="inlineStr">
        <is>
          <t>1403/11/16</t>
        </is>
      </c>
      <c r="F771" s="134" t="inlineStr">
        <is>
          <t>1403/11</t>
        </is>
      </c>
      <c r="G771" s="61" t="inlineStr">
        <is>
          <t>بهمن</t>
        </is>
      </c>
      <c r="H771" s="134" t="inlineStr">
        <is>
          <t>زمستان</t>
        </is>
      </c>
      <c r="I771" s="134" t="inlineStr">
        <is>
          <t>سه‌شنبه</t>
        </is>
      </c>
      <c r="J771" s="134" t="inlineStr">
        <is>
          <t>بله</t>
        </is>
      </c>
    </row>
    <row r="772">
      <c r="A772" s="173" t="n">
        <v>45693</v>
      </c>
      <c r="B772" s="174" t="n">
        <v>45693</v>
      </c>
      <c r="C772" s="174" t="n">
        <v>1403</v>
      </c>
      <c r="D772" s="174" t="n">
        <v>11</v>
      </c>
      <c r="E772" s="175" t="inlineStr">
        <is>
          <t>1403/11/17</t>
        </is>
      </c>
      <c r="F772" s="128" t="inlineStr">
        <is>
          <t>1403/11</t>
        </is>
      </c>
      <c r="G772" s="58" t="inlineStr">
        <is>
          <t>بهمن</t>
        </is>
      </c>
      <c r="H772" s="128" t="inlineStr">
        <is>
          <t>زمستان</t>
        </is>
      </c>
      <c r="I772" s="128" t="inlineStr">
        <is>
          <t>چهارشنبه</t>
        </is>
      </c>
      <c r="J772" s="128" t="inlineStr">
        <is>
          <t>بله</t>
        </is>
      </c>
    </row>
    <row r="773">
      <c r="A773" s="176" t="n">
        <v>45694</v>
      </c>
      <c r="B773" s="177" t="n">
        <v>45694</v>
      </c>
      <c r="C773" s="177" t="n">
        <v>1403</v>
      </c>
      <c r="D773" s="177" t="n">
        <v>11</v>
      </c>
      <c r="E773" s="178" t="inlineStr">
        <is>
          <t>1403/11/18</t>
        </is>
      </c>
      <c r="F773" s="134" t="inlineStr">
        <is>
          <t>1403/11</t>
        </is>
      </c>
      <c r="G773" s="61" t="inlineStr">
        <is>
          <t>بهمن</t>
        </is>
      </c>
      <c r="H773" s="134" t="inlineStr">
        <is>
          <t>زمستان</t>
        </is>
      </c>
      <c r="I773" s="134" t="inlineStr">
        <is>
          <t>پنجشنبه</t>
        </is>
      </c>
      <c r="J773" s="134" t="inlineStr">
        <is>
          <t>بله</t>
        </is>
      </c>
    </row>
    <row r="774">
      <c r="A774" s="173" t="n">
        <v>45695</v>
      </c>
      <c r="B774" s="174" t="n">
        <v>45695</v>
      </c>
      <c r="C774" s="174" t="n">
        <v>1403</v>
      </c>
      <c r="D774" s="174" t="n">
        <v>11</v>
      </c>
      <c r="E774" s="175" t="inlineStr">
        <is>
          <t>1403/11/19</t>
        </is>
      </c>
      <c r="F774" s="128" t="inlineStr">
        <is>
          <t>1403/11</t>
        </is>
      </c>
      <c r="G774" s="58" t="inlineStr">
        <is>
          <t>بهمن</t>
        </is>
      </c>
      <c r="H774" s="128" t="inlineStr">
        <is>
          <t>زمستان</t>
        </is>
      </c>
      <c r="I774" s="128" t="inlineStr">
        <is>
          <t>جمعه</t>
        </is>
      </c>
      <c r="J774" s="128" t="inlineStr">
        <is>
          <t>بله</t>
        </is>
      </c>
    </row>
    <row r="775">
      <c r="A775" s="176" t="n">
        <v>45696</v>
      </c>
      <c r="B775" s="177" t="n">
        <v>45696</v>
      </c>
      <c r="C775" s="177" t="n">
        <v>1403</v>
      </c>
      <c r="D775" s="177" t="n">
        <v>11</v>
      </c>
      <c r="E775" s="178" t="inlineStr">
        <is>
          <t>1403/11/20</t>
        </is>
      </c>
      <c r="F775" s="134" t="inlineStr">
        <is>
          <t>1403/11</t>
        </is>
      </c>
      <c r="G775" s="61" t="inlineStr">
        <is>
          <t>بهمن</t>
        </is>
      </c>
      <c r="H775" s="134" t="inlineStr">
        <is>
          <t>زمستان</t>
        </is>
      </c>
      <c r="I775" s="134" t="inlineStr">
        <is>
          <t>شنبه</t>
        </is>
      </c>
      <c r="J775" s="134" t="inlineStr">
        <is>
          <t>خیر</t>
        </is>
      </c>
    </row>
    <row r="776">
      <c r="A776" s="173" t="n">
        <v>45697</v>
      </c>
      <c r="B776" s="174" t="n">
        <v>45697</v>
      </c>
      <c r="C776" s="174" t="n">
        <v>1403</v>
      </c>
      <c r="D776" s="174" t="n">
        <v>11</v>
      </c>
      <c r="E776" s="175" t="inlineStr">
        <is>
          <t>1403/11/21</t>
        </is>
      </c>
      <c r="F776" s="128" t="inlineStr">
        <is>
          <t>1403/11</t>
        </is>
      </c>
      <c r="G776" s="58" t="inlineStr">
        <is>
          <t>بهمن</t>
        </is>
      </c>
      <c r="H776" s="128" t="inlineStr">
        <is>
          <t>زمستان</t>
        </is>
      </c>
      <c r="I776" s="128" t="inlineStr">
        <is>
          <t>یکشنبه</t>
        </is>
      </c>
      <c r="J776" s="128" t="inlineStr">
        <is>
          <t>خیر</t>
        </is>
      </c>
    </row>
    <row r="777">
      <c r="A777" s="176" t="n">
        <v>45698</v>
      </c>
      <c r="B777" s="177" t="n">
        <v>45698</v>
      </c>
      <c r="C777" s="177" t="n">
        <v>1403</v>
      </c>
      <c r="D777" s="177" t="n">
        <v>11</v>
      </c>
      <c r="E777" s="178" t="inlineStr">
        <is>
          <t>1403/11/22</t>
        </is>
      </c>
      <c r="F777" s="134" t="inlineStr">
        <is>
          <t>1403/11</t>
        </is>
      </c>
      <c r="G777" s="61" t="inlineStr">
        <is>
          <t>بهمن</t>
        </is>
      </c>
      <c r="H777" s="134" t="inlineStr">
        <is>
          <t>زمستان</t>
        </is>
      </c>
      <c r="I777" s="134" t="inlineStr">
        <is>
          <t>دوشنبه</t>
        </is>
      </c>
      <c r="J777" s="134" t="inlineStr">
        <is>
          <t>بله</t>
        </is>
      </c>
    </row>
    <row r="778">
      <c r="A778" s="173" t="n">
        <v>45699</v>
      </c>
      <c r="B778" s="174" t="n">
        <v>45699</v>
      </c>
      <c r="C778" s="174" t="n">
        <v>1403</v>
      </c>
      <c r="D778" s="174" t="n">
        <v>11</v>
      </c>
      <c r="E778" s="175" t="inlineStr">
        <is>
          <t>1403/11/23</t>
        </is>
      </c>
      <c r="F778" s="128" t="inlineStr">
        <is>
          <t>1403/11</t>
        </is>
      </c>
      <c r="G778" s="58" t="inlineStr">
        <is>
          <t>بهمن</t>
        </is>
      </c>
      <c r="H778" s="128" t="inlineStr">
        <is>
          <t>زمستان</t>
        </is>
      </c>
      <c r="I778" s="128" t="inlineStr">
        <is>
          <t>سه‌شنبه</t>
        </is>
      </c>
      <c r="J778" s="128" t="inlineStr">
        <is>
          <t>بله</t>
        </is>
      </c>
    </row>
    <row r="779">
      <c r="A779" s="176" t="n">
        <v>45700</v>
      </c>
      <c r="B779" s="177" t="n">
        <v>45700</v>
      </c>
      <c r="C779" s="177" t="n">
        <v>1403</v>
      </c>
      <c r="D779" s="177" t="n">
        <v>11</v>
      </c>
      <c r="E779" s="178" t="inlineStr">
        <is>
          <t>1403/11/24</t>
        </is>
      </c>
      <c r="F779" s="134" t="inlineStr">
        <is>
          <t>1403/11</t>
        </is>
      </c>
      <c r="G779" s="61" t="inlineStr">
        <is>
          <t>بهمن</t>
        </is>
      </c>
      <c r="H779" s="134" t="inlineStr">
        <is>
          <t>زمستان</t>
        </is>
      </c>
      <c r="I779" s="134" t="inlineStr">
        <is>
          <t>چهارشنبه</t>
        </is>
      </c>
      <c r="J779" s="134" t="inlineStr">
        <is>
          <t>بله</t>
        </is>
      </c>
    </row>
    <row r="780">
      <c r="A780" s="173" t="n">
        <v>45701</v>
      </c>
      <c r="B780" s="174" t="n">
        <v>45701</v>
      </c>
      <c r="C780" s="174" t="n">
        <v>1403</v>
      </c>
      <c r="D780" s="174" t="n">
        <v>11</v>
      </c>
      <c r="E780" s="175" t="inlineStr">
        <is>
          <t>1403/11/25</t>
        </is>
      </c>
      <c r="F780" s="128" t="inlineStr">
        <is>
          <t>1403/11</t>
        </is>
      </c>
      <c r="G780" s="58" t="inlineStr">
        <is>
          <t>بهمن</t>
        </is>
      </c>
      <c r="H780" s="128" t="inlineStr">
        <is>
          <t>زمستان</t>
        </is>
      </c>
      <c r="I780" s="128" t="inlineStr">
        <is>
          <t>پنجشنبه</t>
        </is>
      </c>
      <c r="J780" s="128" t="inlineStr">
        <is>
          <t>بله</t>
        </is>
      </c>
    </row>
    <row r="781">
      <c r="A781" s="176" t="n">
        <v>45702</v>
      </c>
      <c r="B781" s="177" t="n">
        <v>45702</v>
      </c>
      <c r="C781" s="177" t="n">
        <v>1403</v>
      </c>
      <c r="D781" s="177" t="n">
        <v>11</v>
      </c>
      <c r="E781" s="178" t="inlineStr">
        <is>
          <t>1403/11/26</t>
        </is>
      </c>
      <c r="F781" s="134" t="inlineStr">
        <is>
          <t>1403/11</t>
        </is>
      </c>
      <c r="G781" s="61" t="inlineStr">
        <is>
          <t>بهمن</t>
        </is>
      </c>
      <c r="H781" s="134" t="inlineStr">
        <is>
          <t>زمستان</t>
        </is>
      </c>
      <c r="I781" s="134" t="inlineStr">
        <is>
          <t>جمعه</t>
        </is>
      </c>
      <c r="J781" s="134" t="inlineStr">
        <is>
          <t>بله</t>
        </is>
      </c>
    </row>
    <row r="782">
      <c r="A782" s="173" t="n">
        <v>45703</v>
      </c>
      <c r="B782" s="174" t="n">
        <v>45703</v>
      </c>
      <c r="C782" s="174" t="n">
        <v>1403</v>
      </c>
      <c r="D782" s="174" t="n">
        <v>11</v>
      </c>
      <c r="E782" s="175" t="inlineStr">
        <is>
          <t>1403/11/27</t>
        </is>
      </c>
      <c r="F782" s="128" t="inlineStr">
        <is>
          <t>1403/11</t>
        </is>
      </c>
      <c r="G782" s="58" t="inlineStr">
        <is>
          <t>بهمن</t>
        </is>
      </c>
      <c r="H782" s="128" t="inlineStr">
        <is>
          <t>زمستان</t>
        </is>
      </c>
      <c r="I782" s="128" t="inlineStr">
        <is>
          <t>شنبه</t>
        </is>
      </c>
      <c r="J782" s="128" t="inlineStr">
        <is>
          <t>خیر</t>
        </is>
      </c>
    </row>
    <row r="783">
      <c r="A783" s="176" t="n">
        <v>45704</v>
      </c>
      <c r="B783" s="177" t="n">
        <v>45704</v>
      </c>
      <c r="C783" s="177" t="n">
        <v>1403</v>
      </c>
      <c r="D783" s="177" t="n">
        <v>11</v>
      </c>
      <c r="E783" s="178" t="inlineStr">
        <is>
          <t>1403/11/28</t>
        </is>
      </c>
      <c r="F783" s="134" t="inlineStr">
        <is>
          <t>1403/11</t>
        </is>
      </c>
      <c r="G783" s="61" t="inlineStr">
        <is>
          <t>بهمن</t>
        </is>
      </c>
      <c r="H783" s="134" t="inlineStr">
        <is>
          <t>زمستان</t>
        </is>
      </c>
      <c r="I783" s="134" t="inlineStr">
        <is>
          <t>یکشنبه</t>
        </is>
      </c>
      <c r="J783" s="134" t="inlineStr">
        <is>
          <t>خیر</t>
        </is>
      </c>
    </row>
    <row r="784">
      <c r="A784" s="173" t="n">
        <v>45705</v>
      </c>
      <c r="B784" s="174" t="n">
        <v>45705</v>
      </c>
      <c r="C784" s="174" t="n">
        <v>1403</v>
      </c>
      <c r="D784" s="174" t="n">
        <v>11</v>
      </c>
      <c r="E784" s="175" t="inlineStr">
        <is>
          <t>1403/11/29</t>
        </is>
      </c>
      <c r="F784" s="128" t="inlineStr">
        <is>
          <t>1403/11</t>
        </is>
      </c>
      <c r="G784" s="58" t="inlineStr">
        <is>
          <t>بهمن</t>
        </is>
      </c>
      <c r="H784" s="128" t="inlineStr">
        <is>
          <t>زمستان</t>
        </is>
      </c>
      <c r="I784" s="128" t="inlineStr">
        <is>
          <t>دوشنبه</t>
        </is>
      </c>
      <c r="J784" s="128" t="inlineStr">
        <is>
          <t>بله</t>
        </is>
      </c>
    </row>
    <row r="785">
      <c r="A785" s="176" t="n">
        <v>45706</v>
      </c>
      <c r="B785" s="177" t="n">
        <v>45706</v>
      </c>
      <c r="C785" s="177" t="n">
        <v>1403</v>
      </c>
      <c r="D785" s="177" t="n">
        <v>11</v>
      </c>
      <c r="E785" s="178" t="inlineStr">
        <is>
          <t>1403/11/30</t>
        </is>
      </c>
      <c r="F785" s="134" t="inlineStr">
        <is>
          <t>1403/11</t>
        </is>
      </c>
      <c r="G785" s="61" t="inlineStr">
        <is>
          <t>بهمن</t>
        </is>
      </c>
      <c r="H785" s="134" t="inlineStr">
        <is>
          <t>زمستان</t>
        </is>
      </c>
      <c r="I785" s="134" t="inlineStr">
        <is>
          <t>سه‌شنبه</t>
        </is>
      </c>
      <c r="J785" s="134" t="inlineStr">
        <is>
          <t>بله</t>
        </is>
      </c>
    </row>
    <row r="786">
      <c r="A786" s="173" t="n">
        <v>45707</v>
      </c>
      <c r="B786" s="174" t="n">
        <v>45707</v>
      </c>
      <c r="C786" s="174" t="n">
        <v>1403</v>
      </c>
      <c r="D786" s="174" t="n">
        <v>12</v>
      </c>
      <c r="E786" s="175" t="inlineStr">
        <is>
          <t>1403/12/01</t>
        </is>
      </c>
      <c r="F786" s="128" t="inlineStr">
        <is>
          <t>1403/12</t>
        </is>
      </c>
      <c r="G786" s="58" t="inlineStr">
        <is>
          <t>اسفند</t>
        </is>
      </c>
      <c r="H786" s="128" t="inlineStr">
        <is>
          <t>زمستان</t>
        </is>
      </c>
      <c r="I786" s="128" t="inlineStr">
        <is>
          <t>چهارشنبه</t>
        </is>
      </c>
      <c r="J786" s="128" t="inlineStr">
        <is>
          <t>بله</t>
        </is>
      </c>
    </row>
    <row r="787">
      <c r="A787" s="176" t="n">
        <v>45708</v>
      </c>
      <c r="B787" s="177" t="n">
        <v>45708</v>
      </c>
      <c r="C787" s="177" t="n">
        <v>1403</v>
      </c>
      <c r="D787" s="177" t="n">
        <v>12</v>
      </c>
      <c r="E787" s="178" t="inlineStr">
        <is>
          <t>1403/12/02</t>
        </is>
      </c>
      <c r="F787" s="134" t="inlineStr">
        <is>
          <t>1403/12</t>
        </is>
      </c>
      <c r="G787" s="61" t="inlineStr">
        <is>
          <t>اسفند</t>
        </is>
      </c>
      <c r="H787" s="134" t="inlineStr">
        <is>
          <t>زمستان</t>
        </is>
      </c>
      <c r="I787" s="134" t="inlineStr">
        <is>
          <t>پنجشنبه</t>
        </is>
      </c>
      <c r="J787" s="134" t="inlineStr">
        <is>
          <t>بله</t>
        </is>
      </c>
    </row>
    <row r="788">
      <c r="A788" s="173" t="n">
        <v>45709</v>
      </c>
      <c r="B788" s="174" t="n">
        <v>45709</v>
      </c>
      <c r="C788" s="174" t="n">
        <v>1403</v>
      </c>
      <c r="D788" s="174" t="n">
        <v>12</v>
      </c>
      <c r="E788" s="175" t="inlineStr">
        <is>
          <t>1403/12/03</t>
        </is>
      </c>
      <c r="F788" s="128" t="inlineStr">
        <is>
          <t>1403/12</t>
        </is>
      </c>
      <c r="G788" s="58" t="inlineStr">
        <is>
          <t>اسفند</t>
        </is>
      </c>
      <c r="H788" s="128" t="inlineStr">
        <is>
          <t>زمستان</t>
        </is>
      </c>
      <c r="I788" s="128" t="inlineStr">
        <is>
          <t>جمعه</t>
        </is>
      </c>
      <c r="J788" s="128" t="inlineStr">
        <is>
          <t>بله</t>
        </is>
      </c>
    </row>
    <row r="789">
      <c r="A789" s="176" t="n">
        <v>45710</v>
      </c>
      <c r="B789" s="177" t="n">
        <v>45710</v>
      </c>
      <c r="C789" s="177" t="n">
        <v>1403</v>
      </c>
      <c r="D789" s="177" t="n">
        <v>12</v>
      </c>
      <c r="E789" s="178" t="inlineStr">
        <is>
          <t>1403/12/04</t>
        </is>
      </c>
      <c r="F789" s="134" t="inlineStr">
        <is>
          <t>1403/12</t>
        </is>
      </c>
      <c r="G789" s="61" t="inlineStr">
        <is>
          <t>اسفند</t>
        </is>
      </c>
      <c r="H789" s="134" t="inlineStr">
        <is>
          <t>زمستان</t>
        </is>
      </c>
      <c r="I789" s="134" t="inlineStr">
        <is>
          <t>شنبه</t>
        </is>
      </c>
      <c r="J789" s="134" t="inlineStr">
        <is>
          <t>خیر</t>
        </is>
      </c>
    </row>
    <row r="790">
      <c r="A790" s="173" t="n">
        <v>45711</v>
      </c>
      <c r="B790" s="174" t="n">
        <v>45711</v>
      </c>
      <c r="C790" s="174" t="n">
        <v>1403</v>
      </c>
      <c r="D790" s="174" t="n">
        <v>12</v>
      </c>
      <c r="E790" s="175" t="inlineStr">
        <is>
          <t>1403/12/05</t>
        </is>
      </c>
      <c r="F790" s="128" t="inlineStr">
        <is>
          <t>1403/12</t>
        </is>
      </c>
      <c r="G790" s="58" t="inlineStr">
        <is>
          <t>اسفند</t>
        </is>
      </c>
      <c r="H790" s="128" t="inlineStr">
        <is>
          <t>زمستان</t>
        </is>
      </c>
      <c r="I790" s="128" t="inlineStr">
        <is>
          <t>یکشنبه</t>
        </is>
      </c>
      <c r="J790" s="128" t="inlineStr">
        <is>
          <t>خیر</t>
        </is>
      </c>
    </row>
    <row r="791">
      <c r="A791" s="176" t="n">
        <v>45712</v>
      </c>
      <c r="B791" s="177" t="n">
        <v>45712</v>
      </c>
      <c r="C791" s="177" t="n">
        <v>1403</v>
      </c>
      <c r="D791" s="177" t="n">
        <v>12</v>
      </c>
      <c r="E791" s="178" t="inlineStr">
        <is>
          <t>1403/12/06</t>
        </is>
      </c>
      <c r="F791" s="134" t="inlineStr">
        <is>
          <t>1403/12</t>
        </is>
      </c>
      <c r="G791" s="61" t="inlineStr">
        <is>
          <t>اسفند</t>
        </is>
      </c>
      <c r="H791" s="134" t="inlineStr">
        <is>
          <t>زمستان</t>
        </is>
      </c>
      <c r="I791" s="134" t="inlineStr">
        <is>
          <t>دوشنبه</t>
        </is>
      </c>
      <c r="J791" s="134" t="inlineStr">
        <is>
          <t>بله</t>
        </is>
      </c>
    </row>
    <row r="792">
      <c r="A792" s="173" t="n">
        <v>45713</v>
      </c>
      <c r="B792" s="174" t="n">
        <v>45713</v>
      </c>
      <c r="C792" s="174" t="n">
        <v>1403</v>
      </c>
      <c r="D792" s="174" t="n">
        <v>12</v>
      </c>
      <c r="E792" s="175" t="inlineStr">
        <is>
          <t>1403/12/07</t>
        </is>
      </c>
      <c r="F792" s="128" t="inlineStr">
        <is>
          <t>1403/12</t>
        </is>
      </c>
      <c r="G792" s="58" t="inlineStr">
        <is>
          <t>اسفند</t>
        </is>
      </c>
      <c r="H792" s="128" t="inlineStr">
        <is>
          <t>زمستان</t>
        </is>
      </c>
      <c r="I792" s="128" t="inlineStr">
        <is>
          <t>سه‌شنبه</t>
        </is>
      </c>
      <c r="J792" s="128" t="inlineStr">
        <is>
          <t>بله</t>
        </is>
      </c>
    </row>
    <row r="793">
      <c r="A793" s="176" t="n">
        <v>45714</v>
      </c>
      <c r="B793" s="177" t="n">
        <v>45714</v>
      </c>
      <c r="C793" s="177" t="n">
        <v>1403</v>
      </c>
      <c r="D793" s="177" t="n">
        <v>12</v>
      </c>
      <c r="E793" s="178" t="inlineStr">
        <is>
          <t>1403/12/08</t>
        </is>
      </c>
      <c r="F793" s="134" t="inlineStr">
        <is>
          <t>1403/12</t>
        </is>
      </c>
      <c r="G793" s="61" t="inlineStr">
        <is>
          <t>اسفند</t>
        </is>
      </c>
      <c r="H793" s="134" t="inlineStr">
        <is>
          <t>زمستان</t>
        </is>
      </c>
      <c r="I793" s="134" t="inlineStr">
        <is>
          <t>چهارشنبه</t>
        </is>
      </c>
      <c r="J793" s="134" t="inlineStr">
        <is>
          <t>بله</t>
        </is>
      </c>
    </row>
    <row r="794">
      <c r="A794" s="173" t="n">
        <v>45715</v>
      </c>
      <c r="B794" s="174" t="n">
        <v>45715</v>
      </c>
      <c r="C794" s="174" t="n">
        <v>1403</v>
      </c>
      <c r="D794" s="174" t="n">
        <v>12</v>
      </c>
      <c r="E794" s="175" t="inlineStr">
        <is>
          <t>1403/12/09</t>
        </is>
      </c>
      <c r="F794" s="128" t="inlineStr">
        <is>
          <t>1403/12</t>
        </is>
      </c>
      <c r="G794" s="58" t="inlineStr">
        <is>
          <t>اسفند</t>
        </is>
      </c>
      <c r="H794" s="128" t="inlineStr">
        <is>
          <t>زمستان</t>
        </is>
      </c>
      <c r="I794" s="128" t="inlineStr">
        <is>
          <t>پنجشنبه</t>
        </is>
      </c>
      <c r="J794" s="128" t="inlineStr">
        <is>
          <t>بله</t>
        </is>
      </c>
    </row>
    <row r="795">
      <c r="A795" s="176" t="n">
        <v>45716</v>
      </c>
      <c r="B795" s="177" t="n">
        <v>45716</v>
      </c>
      <c r="C795" s="177" t="n">
        <v>1403</v>
      </c>
      <c r="D795" s="177" t="n">
        <v>12</v>
      </c>
      <c r="E795" s="178" t="inlineStr">
        <is>
          <t>1403/12/10</t>
        </is>
      </c>
      <c r="F795" s="134" t="inlineStr">
        <is>
          <t>1403/12</t>
        </is>
      </c>
      <c r="G795" s="61" t="inlineStr">
        <is>
          <t>اسفند</t>
        </is>
      </c>
      <c r="H795" s="134" t="inlineStr">
        <is>
          <t>زمستان</t>
        </is>
      </c>
      <c r="I795" s="134" t="inlineStr">
        <is>
          <t>جمعه</t>
        </is>
      </c>
      <c r="J795" s="134" t="inlineStr">
        <is>
          <t>بله</t>
        </is>
      </c>
    </row>
    <row r="796">
      <c r="A796" s="173" t="n">
        <v>45717</v>
      </c>
      <c r="B796" s="174" t="n">
        <v>45717</v>
      </c>
      <c r="C796" s="174" t="n">
        <v>1403</v>
      </c>
      <c r="D796" s="174" t="n">
        <v>12</v>
      </c>
      <c r="E796" s="175" t="inlineStr">
        <is>
          <t>1403/12/11</t>
        </is>
      </c>
      <c r="F796" s="128" t="inlineStr">
        <is>
          <t>1403/12</t>
        </is>
      </c>
      <c r="G796" s="58" t="inlineStr">
        <is>
          <t>اسفند</t>
        </is>
      </c>
      <c r="H796" s="128" t="inlineStr">
        <is>
          <t>زمستان</t>
        </is>
      </c>
      <c r="I796" s="128" t="inlineStr">
        <is>
          <t>شنبه</t>
        </is>
      </c>
      <c r="J796" s="128" t="inlineStr">
        <is>
          <t>خیر</t>
        </is>
      </c>
    </row>
    <row r="797">
      <c r="A797" s="176" t="n">
        <v>45718</v>
      </c>
      <c r="B797" s="177" t="n">
        <v>45718</v>
      </c>
      <c r="C797" s="177" t="n">
        <v>1403</v>
      </c>
      <c r="D797" s="177" t="n">
        <v>12</v>
      </c>
      <c r="E797" s="178" t="inlineStr">
        <is>
          <t>1403/12/12</t>
        </is>
      </c>
      <c r="F797" s="134" t="inlineStr">
        <is>
          <t>1403/12</t>
        </is>
      </c>
      <c r="G797" s="61" t="inlineStr">
        <is>
          <t>اسفند</t>
        </is>
      </c>
      <c r="H797" s="134" t="inlineStr">
        <is>
          <t>زمستان</t>
        </is>
      </c>
      <c r="I797" s="134" t="inlineStr">
        <is>
          <t>یکشنبه</t>
        </is>
      </c>
      <c r="J797" s="134" t="inlineStr">
        <is>
          <t>خیر</t>
        </is>
      </c>
    </row>
    <row r="798">
      <c r="A798" s="173" t="n">
        <v>45719</v>
      </c>
      <c r="B798" s="174" t="n">
        <v>45719</v>
      </c>
      <c r="C798" s="174" t="n">
        <v>1403</v>
      </c>
      <c r="D798" s="174" t="n">
        <v>12</v>
      </c>
      <c r="E798" s="175" t="inlineStr">
        <is>
          <t>1403/12/13</t>
        </is>
      </c>
      <c r="F798" s="128" t="inlineStr">
        <is>
          <t>1403/12</t>
        </is>
      </c>
      <c r="G798" s="58" t="inlineStr">
        <is>
          <t>اسفند</t>
        </is>
      </c>
      <c r="H798" s="128" t="inlineStr">
        <is>
          <t>زمستان</t>
        </is>
      </c>
      <c r="I798" s="128" t="inlineStr">
        <is>
          <t>دوشنبه</t>
        </is>
      </c>
      <c r="J798" s="128" t="inlineStr">
        <is>
          <t>بله</t>
        </is>
      </c>
    </row>
    <row r="799">
      <c r="A799" s="176" t="n">
        <v>45720</v>
      </c>
      <c r="B799" s="177" t="n">
        <v>45720</v>
      </c>
      <c r="C799" s="177" t="n">
        <v>1403</v>
      </c>
      <c r="D799" s="177" t="n">
        <v>12</v>
      </c>
      <c r="E799" s="178" t="inlineStr">
        <is>
          <t>1403/12/14</t>
        </is>
      </c>
      <c r="F799" s="134" t="inlineStr">
        <is>
          <t>1403/12</t>
        </is>
      </c>
      <c r="G799" s="61" t="inlineStr">
        <is>
          <t>اسفند</t>
        </is>
      </c>
      <c r="H799" s="134" t="inlineStr">
        <is>
          <t>زمستان</t>
        </is>
      </c>
      <c r="I799" s="134" t="inlineStr">
        <is>
          <t>سه‌شنبه</t>
        </is>
      </c>
      <c r="J799" s="134" t="inlineStr">
        <is>
          <t>بله</t>
        </is>
      </c>
    </row>
    <row r="800">
      <c r="A800" s="173" t="n">
        <v>45721</v>
      </c>
      <c r="B800" s="174" t="n">
        <v>45721</v>
      </c>
      <c r="C800" s="174" t="n">
        <v>1403</v>
      </c>
      <c r="D800" s="174" t="n">
        <v>12</v>
      </c>
      <c r="E800" s="175" t="inlineStr">
        <is>
          <t>1403/12/15</t>
        </is>
      </c>
      <c r="F800" s="128" t="inlineStr">
        <is>
          <t>1403/12</t>
        </is>
      </c>
      <c r="G800" s="58" t="inlineStr">
        <is>
          <t>اسفند</t>
        </is>
      </c>
      <c r="H800" s="128" t="inlineStr">
        <is>
          <t>زمستان</t>
        </is>
      </c>
      <c r="I800" s="128" t="inlineStr">
        <is>
          <t>چهارشنبه</t>
        </is>
      </c>
      <c r="J800" s="128" t="inlineStr">
        <is>
          <t>بله</t>
        </is>
      </c>
    </row>
    <row r="801">
      <c r="A801" s="176" t="n">
        <v>45722</v>
      </c>
      <c r="B801" s="177" t="n">
        <v>45722</v>
      </c>
      <c r="C801" s="177" t="n">
        <v>1403</v>
      </c>
      <c r="D801" s="177" t="n">
        <v>12</v>
      </c>
      <c r="E801" s="178" t="inlineStr">
        <is>
          <t>1403/12/16</t>
        </is>
      </c>
      <c r="F801" s="134" t="inlineStr">
        <is>
          <t>1403/12</t>
        </is>
      </c>
      <c r="G801" s="61" t="inlineStr">
        <is>
          <t>اسفند</t>
        </is>
      </c>
      <c r="H801" s="134" t="inlineStr">
        <is>
          <t>زمستان</t>
        </is>
      </c>
      <c r="I801" s="134" t="inlineStr">
        <is>
          <t>پنجشنبه</t>
        </is>
      </c>
      <c r="J801" s="134" t="inlineStr">
        <is>
          <t>بله</t>
        </is>
      </c>
    </row>
    <row r="802">
      <c r="A802" s="173" t="n">
        <v>45723</v>
      </c>
      <c r="B802" s="174" t="n">
        <v>45723</v>
      </c>
      <c r="C802" s="174" t="n">
        <v>1403</v>
      </c>
      <c r="D802" s="174" t="n">
        <v>12</v>
      </c>
      <c r="E802" s="175" t="inlineStr">
        <is>
          <t>1403/12/17</t>
        </is>
      </c>
      <c r="F802" s="128" t="inlineStr">
        <is>
          <t>1403/12</t>
        </is>
      </c>
      <c r="G802" s="58" t="inlineStr">
        <is>
          <t>اسفند</t>
        </is>
      </c>
      <c r="H802" s="128" t="inlineStr">
        <is>
          <t>زمستان</t>
        </is>
      </c>
      <c r="I802" s="128" t="inlineStr">
        <is>
          <t>جمعه</t>
        </is>
      </c>
      <c r="J802" s="128" t="inlineStr">
        <is>
          <t>بله</t>
        </is>
      </c>
    </row>
    <row r="803">
      <c r="A803" s="176" t="n">
        <v>45724</v>
      </c>
      <c r="B803" s="177" t="n">
        <v>45724</v>
      </c>
      <c r="C803" s="177" t="n">
        <v>1403</v>
      </c>
      <c r="D803" s="177" t="n">
        <v>12</v>
      </c>
      <c r="E803" s="178" t="inlineStr">
        <is>
          <t>1403/12/18</t>
        </is>
      </c>
      <c r="F803" s="134" t="inlineStr">
        <is>
          <t>1403/12</t>
        </is>
      </c>
      <c r="G803" s="61" t="inlineStr">
        <is>
          <t>اسفند</t>
        </is>
      </c>
      <c r="H803" s="134" t="inlineStr">
        <is>
          <t>زمستان</t>
        </is>
      </c>
      <c r="I803" s="134" t="inlineStr">
        <is>
          <t>شنبه</t>
        </is>
      </c>
      <c r="J803" s="134" t="inlineStr">
        <is>
          <t>خیر</t>
        </is>
      </c>
    </row>
    <row r="804">
      <c r="A804" s="173" t="n">
        <v>45725</v>
      </c>
      <c r="B804" s="174" t="n">
        <v>45725</v>
      </c>
      <c r="C804" s="174" t="n">
        <v>1403</v>
      </c>
      <c r="D804" s="174" t="n">
        <v>12</v>
      </c>
      <c r="E804" s="175" t="inlineStr">
        <is>
          <t>1403/12/19</t>
        </is>
      </c>
      <c r="F804" s="128" t="inlineStr">
        <is>
          <t>1403/12</t>
        </is>
      </c>
      <c r="G804" s="58" t="inlineStr">
        <is>
          <t>اسفند</t>
        </is>
      </c>
      <c r="H804" s="128" t="inlineStr">
        <is>
          <t>زمستان</t>
        </is>
      </c>
      <c r="I804" s="128" t="inlineStr">
        <is>
          <t>یکشنبه</t>
        </is>
      </c>
      <c r="J804" s="128" t="inlineStr">
        <is>
          <t>خیر</t>
        </is>
      </c>
    </row>
    <row r="805">
      <c r="A805" s="176" t="n">
        <v>45726</v>
      </c>
      <c r="B805" s="177" t="n">
        <v>45726</v>
      </c>
      <c r="C805" s="177" t="n">
        <v>1403</v>
      </c>
      <c r="D805" s="177" t="n">
        <v>12</v>
      </c>
      <c r="E805" s="178" t="inlineStr">
        <is>
          <t>1403/12/20</t>
        </is>
      </c>
      <c r="F805" s="134" t="inlineStr">
        <is>
          <t>1403/12</t>
        </is>
      </c>
      <c r="G805" s="61" t="inlineStr">
        <is>
          <t>اسفند</t>
        </is>
      </c>
      <c r="H805" s="134" t="inlineStr">
        <is>
          <t>زمستان</t>
        </is>
      </c>
      <c r="I805" s="134" t="inlineStr">
        <is>
          <t>دوشنبه</t>
        </is>
      </c>
      <c r="J805" s="134" t="inlineStr">
        <is>
          <t>بله</t>
        </is>
      </c>
    </row>
    <row r="806">
      <c r="A806" s="173" t="n">
        <v>45727</v>
      </c>
      <c r="B806" s="174" t="n">
        <v>45727</v>
      </c>
      <c r="C806" s="174" t="n">
        <v>1403</v>
      </c>
      <c r="D806" s="174" t="n">
        <v>12</v>
      </c>
      <c r="E806" s="175" t="inlineStr">
        <is>
          <t>1403/12/21</t>
        </is>
      </c>
      <c r="F806" s="128" t="inlineStr">
        <is>
          <t>1403/12</t>
        </is>
      </c>
      <c r="G806" s="58" t="inlineStr">
        <is>
          <t>اسفند</t>
        </is>
      </c>
      <c r="H806" s="128" t="inlineStr">
        <is>
          <t>زمستان</t>
        </is>
      </c>
      <c r="I806" s="128" t="inlineStr">
        <is>
          <t>سه‌شنبه</t>
        </is>
      </c>
      <c r="J806" s="128" t="inlineStr">
        <is>
          <t>بله</t>
        </is>
      </c>
    </row>
    <row r="807">
      <c r="A807" s="176" t="n">
        <v>45728</v>
      </c>
      <c r="B807" s="177" t="n">
        <v>45728</v>
      </c>
      <c r="C807" s="177" t="n">
        <v>1403</v>
      </c>
      <c r="D807" s="177" t="n">
        <v>12</v>
      </c>
      <c r="E807" s="178" t="inlineStr">
        <is>
          <t>1403/12/22</t>
        </is>
      </c>
      <c r="F807" s="134" t="inlineStr">
        <is>
          <t>1403/12</t>
        </is>
      </c>
      <c r="G807" s="61" t="inlineStr">
        <is>
          <t>اسفند</t>
        </is>
      </c>
      <c r="H807" s="134" t="inlineStr">
        <is>
          <t>زمستان</t>
        </is>
      </c>
      <c r="I807" s="134" t="inlineStr">
        <is>
          <t>چهارشنبه</t>
        </is>
      </c>
      <c r="J807" s="134" t="inlineStr">
        <is>
          <t>بله</t>
        </is>
      </c>
    </row>
    <row r="808">
      <c r="A808" s="173" t="n">
        <v>45729</v>
      </c>
      <c r="B808" s="174" t="n">
        <v>45729</v>
      </c>
      <c r="C808" s="174" t="n">
        <v>1403</v>
      </c>
      <c r="D808" s="174" t="n">
        <v>12</v>
      </c>
      <c r="E808" s="175" t="inlineStr">
        <is>
          <t>1403/12/23</t>
        </is>
      </c>
      <c r="F808" s="128" t="inlineStr">
        <is>
          <t>1403/12</t>
        </is>
      </c>
      <c r="G808" s="58" t="inlineStr">
        <is>
          <t>اسفند</t>
        </is>
      </c>
      <c r="H808" s="128" t="inlineStr">
        <is>
          <t>زمستان</t>
        </is>
      </c>
      <c r="I808" s="128" t="inlineStr">
        <is>
          <t>پنجشنبه</t>
        </is>
      </c>
      <c r="J808" s="128" t="inlineStr">
        <is>
          <t>بله</t>
        </is>
      </c>
    </row>
    <row r="809">
      <c r="A809" s="176" t="n">
        <v>45730</v>
      </c>
      <c r="B809" s="177" t="n">
        <v>45730</v>
      </c>
      <c r="C809" s="177" t="n">
        <v>1403</v>
      </c>
      <c r="D809" s="177" t="n">
        <v>12</v>
      </c>
      <c r="E809" s="178" t="inlineStr">
        <is>
          <t>1403/12/24</t>
        </is>
      </c>
      <c r="F809" s="134" t="inlineStr">
        <is>
          <t>1403/12</t>
        </is>
      </c>
      <c r="G809" s="61" t="inlineStr">
        <is>
          <t>اسفند</t>
        </is>
      </c>
      <c r="H809" s="134" t="inlineStr">
        <is>
          <t>زمستان</t>
        </is>
      </c>
      <c r="I809" s="134" t="inlineStr">
        <is>
          <t>جمعه</t>
        </is>
      </c>
      <c r="J809" s="134" t="inlineStr">
        <is>
          <t>بله</t>
        </is>
      </c>
    </row>
    <row r="810">
      <c r="A810" s="173" t="n">
        <v>45731</v>
      </c>
      <c r="B810" s="174" t="n">
        <v>45731</v>
      </c>
      <c r="C810" s="174" t="n">
        <v>1403</v>
      </c>
      <c r="D810" s="174" t="n">
        <v>12</v>
      </c>
      <c r="E810" s="175" t="inlineStr">
        <is>
          <t>1403/12/25</t>
        </is>
      </c>
      <c r="F810" s="128" t="inlineStr">
        <is>
          <t>1403/12</t>
        </is>
      </c>
      <c r="G810" s="58" t="inlineStr">
        <is>
          <t>اسفند</t>
        </is>
      </c>
      <c r="H810" s="128" t="inlineStr">
        <is>
          <t>زمستان</t>
        </is>
      </c>
      <c r="I810" s="128" t="inlineStr">
        <is>
          <t>شنبه</t>
        </is>
      </c>
      <c r="J810" s="128" t="inlineStr">
        <is>
          <t>خیر</t>
        </is>
      </c>
    </row>
    <row r="811">
      <c r="A811" s="176" t="n">
        <v>45732</v>
      </c>
      <c r="B811" s="177" t="n">
        <v>45732</v>
      </c>
      <c r="C811" s="177" t="n">
        <v>1403</v>
      </c>
      <c r="D811" s="177" t="n">
        <v>12</v>
      </c>
      <c r="E811" s="178" t="inlineStr">
        <is>
          <t>1403/12/26</t>
        </is>
      </c>
      <c r="F811" s="134" t="inlineStr">
        <is>
          <t>1403/12</t>
        </is>
      </c>
      <c r="G811" s="61" t="inlineStr">
        <is>
          <t>اسفند</t>
        </is>
      </c>
      <c r="H811" s="134" t="inlineStr">
        <is>
          <t>زمستان</t>
        </is>
      </c>
      <c r="I811" s="134" t="inlineStr">
        <is>
          <t>یکشنبه</t>
        </is>
      </c>
      <c r="J811" s="134" t="inlineStr">
        <is>
          <t>خیر</t>
        </is>
      </c>
    </row>
    <row r="812">
      <c r="A812" s="173" t="n">
        <v>45733</v>
      </c>
      <c r="B812" s="174" t="n">
        <v>45733</v>
      </c>
      <c r="C812" s="174" t="n">
        <v>1403</v>
      </c>
      <c r="D812" s="174" t="n">
        <v>12</v>
      </c>
      <c r="E812" s="175" t="inlineStr">
        <is>
          <t>1403/12/27</t>
        </is>
      </c>
      <c r="F812" s="128" t="inlineStr">
        <is>
          <t>1403/12</t>
        </is>
      </c>
      <c r="G812" s="58" t="inlineStr">
        <is>
          <t>اسفند</t>
        </is>
      </c>
      <c r="H812" s="128" t="inlineStr">
        <is>
          <t>زمستان</t>
        </is>
      </c>
      <c r="I812" s="128" t="inlineStr">
        <is>
          <t>دوشنبه</t>
        </is>
      </c>
      <c r="J812" s="128" t="inlineStr">
        <is>
          <t>بله</t>
        </is>
      </c>
    </row>
    <row r="813">
      <c r="A813" s="176" t="n">
        <v>45734</v>
      </c>
      <c r="B813" s="177" t="n">
        <v>45734</v>
      </c>
      <c r="C813" s="177" t="n">
        <v>1403</v>
      </c>
      <c r="D813" s="177" t="n">
        <v>12</v>
      </c>
      <c r="E813" s="178" t="inlineStr">
        <is>
          <t>1403/12/28</t>
        </is>
      </c>
      <c r="F813" s="134" t="inlineStr">
        <is>
          <t>1403/12</t>
        </is>
      </c>
      <c r="G813" s="61" t="inlineStr">
        <is>
          <t>اسفند</t>
        </is>
      </c>
      <c r="H813" s="134" t="inlineStr">
        <is>
          <t>زمستان</t>
        </is>
      </c>
      <c r="I813" s="134" t="inlineStr">
        <is>
          <t>سه‌شنبه</t>
        </is>
      </c>
      <c r="J813" s="134" t="inlineStr">
        <is>
          <t>بله</t>
        </is>
      </c>
    </row>
    <row r="814">
      <c r="A814" s="173" t="n">
        <v>45735</v>
      </c>
      <c r="B814" s="174" t="n">
        <v>45735</v>
      </c>
      <c r="C814" s="174" t="n">
        <v>1403</v>
      </c>
      <c r="D814" s="174" t="n">
        <v>12</v>
      </c>
      <c r="E814" s="175" t="inlineStr">
        <is>
          <t>1403/12/29</t>
        </is>
      </c>
      <c r="F814" s="128" t="inlineStr">
        <is>
          <t>1403/12</t>
        </is>
      </c>
      <c r="G814" s="58" t="inlineStr">
        <is>
          <t>اسفند</t>
        </is>
      </c>
      <c r="H814" s="128" t="inlineStr">
        <is>
          <t>زمستان</t>
        </is>
      </c>
      <c r="I814" s="128" t="inlineStr">
        <is>
          <t>چهارشنبه</t>
        </is>
      </c>
      <c r="J814" s="128" t="inlineStr">
        <is>
          <t>بله</t>
        </is>
      </c>
    </row>
    <row r="815">
      <c r="A815" s="176" t="n">
        <v>45736</v>
      </c>
      <c r="B815" s="177" t="n">
        <v>45736</v>
      </c>
      <c r="C815" s="177" t="n">
        <v>1403</v>
      </c>
      <c r="D815" s="177" t="n">
        <v>12</v>
      </c>
      <c r="E815" s="178" t="inlineStr">
        <is>
          <t>1403/12/30</t>
        </is>
      </c>
      <c r="F815" s="134" t="inlineStr">
        <is>
          <t>1403/12</t>
        </is>
      </c>
      <c r="G815" s="61" t="inlineStr">
        <is>
          <t>اسفند</t>
        </is>
      </c>
      <c r="H815" s="134" t="inlineStr">
        <is>
          <t>زمستان</t>
        </is>
      </c>
      <c r="I815" s="134" t="inlineStr">
        <is>
          <t>پنجشنبه</t>
        </is>
      </c>
      <c r="J815" s="134" t="inlineStr">
        <is>
          <t>بله</t>
        </is>
      </c>
    </row>
    <row r="816">
      <c r="A816" s="173" t="n">
        <v>45737</v>
      </c>
      <c r="B816" s="174" t="n">
        <v>45737</v>
      </c>
      <c r="C816" s="174" t="n">
        <v>1404</v>
      </c>
      <c r="D816" s="174" t="n">
        <v>1</v>
      </c>
      <c r="E816" s="175" t="inlineStr">
        <is>
          <t>1404/01/01</t>
        </is>
      </c>
      <c r="F816" s="128" t="inlineStr">
        <is>
          <t>1404/01</t>
        </is>
      </c>
      <c r="G816" s="58" t="inlineStr">
        <is>
          <t>فروردین</t>
        </is>
      </c>
      <c r="H816" s="128" t="inlineStr">
        <is>
          <t>بهار</t>
        </is>
      </c>
      <c r="I816" s="128" t="inlineStr">
        <is>
          <t>جمعه</t>
        </is>
      </c>
      <c r="J816" s="128" t="inlineStr">
        <is>
          <t>بله</t>
        </is>
      </c>
    </row>
    <row r="817">
      <c r="A817" s="176" t="n">
        <v>45738</v>
      </c>
      <c r="B817" s="177" t="n">
        <v>45738</v>
      </c>
      <c r="C817" s="177" t="n">
        <v>1404</v>
      </c>
      <c r="D817" s="177" t="n">
        <v>1</v>
      </c>
      <c r="E817" s="178" t="inlineStr">
        <is>
          <t>1404/01/02</t>
        </is>
      </c>
      <c r="F817" s="134" t="inlineStr">
        <is>
          <t>1404/01</t>
        </is>
      </c>
      <c r="G817" s="61" t="inlineStr">
        <is>
          <t>فروردین</t>
        </is>
      </c>
      <c r="H817" s="134" t="inlineStr">
        <is>
          <t>بهار</t>
        </is>
      </c>
      <c r="I817" s="134" t="inlineStr">
        <is>
          <t>شنبه</t>
        </is>
      </c>
      <c r="J817" s="134" t="inlineStr">
        <is>
          <t>خیر</t>
        </is>
      </c>
    </row>
    <row r="818">
      <c r="A818" s="173" t="n">
        <v>45739</v>
      </c>
      <c r="B818" s="174" t="n">
        <v>45739</v>
      </c>
      <c r="C818" s="174" t="n">
        <v>1404</v>
      </c>
      <c r="D818" s="174" t="n">
        <v>1</v>
      </c>
      <c r="E818" s="175" t="inlineStr">
        <is>
          <t>1404/01/03</t>
        </is>
      </c>
      <c r="F818" s="128" t="inlineStr">
        <is>
          <t>1404/01</t>
        </is>
      </c>
      <c r="G818" s="58" t="inlineStr">
        <is>
          <t>فروردین</t>
        </is>
      </c>
      <c r="H818" s="128" t="inlineStr">
        <is>
          <t>بهار</t>
        </is>
      </c>
      <c r="I818" s="128" t="inlineStr">
        <is>
          <t>یکشنبه</t>
        </is>
      </c>
      <c r="J818" s="128" t="inlineStr">
        <is>
          <t>خیر</t>
        </is>
      </c>
    </row>
    <row r="819">
      <c r="A819" s="176" t="n">
        <v>45740</v>
      </c>
      <c r="B819" s="177" t="n">
        <v>45740</v>
      </c>
      <c r="C819" s="177" t="n">
        <v>1404</v>
      </c>
      <c r="D819" s="177" t="n">
        <v>1</v>
      </c>
      <c r="E819" s="178" t="inlineStr">
        <is>
          <t>1404/01/04</t>
        </is>
      </c>
      <c r="F819" s="134" t="inlineStr">
        <is>
          <t>1404/01</t>
        </is>
      </c>
      <c r="G819" s="61" t="inlineStr">
        <is>
          <t>فروردین</t>
        </is>
      </c>
      <c r="H819" s="134" t="inlineStr">
        <is>
          <t>بهار</t>
        </is>
      </c>
      <c r="I819" s="134" t="inlineStr">
        <is>
          <t>دوشنبه</t>
        </is>
      </c>
      <c r="J819" s="134" t="inlineStr">
        <is>
          <t>بله</t>
        </is>
      </c>
    </row>
    <row r="820">
      <c r="A820" s="173" t="n">
        <v>45741</v>
      </c>
      <c r="B820" s="174" t="n">
        <v>45741</v>
      </c>
      <c r="C820" s="174" t="n">
        <v>1404</v>
      </c>
      <c r="D820" s="174" t="n">
        <v>1</v>
      </c>
      <c r="E820" s="175" t="inlineStr">
        <is>
          <t>1404/01/05</t>
        </is>
      </c>
      <c r="F820" s="128" t="inlineStr">
        <is>
          <t>1404/01</t>
        </is>
      </c>
      <c r="G820" s="58" t="inlineStr">
        <is>
          <t>فروردین</t>
        </is>
      </c>
      <c r="H820" s="128" t="inlineStr">
        <is>
          <t>بهار</t>
        </is>
      </c>
      <c r="I820" s="128" t="inlineStr">
        <is>
          <t>سه‌شنبه</t>
        </is>
      </c>
      <c r="J820" s="128" t="inlineStr">
        <is>
          <t>بله</t>
        </is>
      </c>
    </row>
    <row r="821">
      <c r="A821" s="176" t="n">
        <v>45742</v>
      </c>
      <c r="B821" s="177" t="n">
        <v>45742</v>
      </c>
      <c r="C821" s="177" t="n">
        <v>1404</v>
      </c>
      <c r="D821" s="177" t="n">
        <v>1</v>
      </c>
      <c r="E821" s="178" t="inlineStr">
        <is>
          <t>1404/01/06</t>
        </is>
      </c>
      <c r="F821" s="134" t="inlineStr">
        <is>
          <t>1404/01</t>
        </is>
      </c>
      <c r="G821" s="61" t="inlineStr">
        <is>
          <t>فروردین</t>
        </is>
      </c>
      <c r="H821" s="134" t="inlineStr">
        <is>
          <t>بهار</t>
        </is>
      </c>
      <c r="I821" s="134" t="inlineStr">
        <is>
          <t>چهارشنبه</t>
        </is>
      </c>
      <c r="J821" s="134" t="inlineStr">
        <is>
          <t>بله</t>
        </is>
      </c>
    </row>
    <row r="822">
      <c r="A822" s="173" t="n">
        <v>45743</v>
      </c>
      <c r="B822" s="174" t="n">
        <v>45743</v>
      </c>
      <c r="C822" s="174" t="n">
        <v>1404</v>
      </c>
      <c r="D822" s="174" t="n">
        <v>1</v>
      </c>
      <c r="E822" s="175" t="inlineStr">
        <is>
          <t>1404/01/07</t>
        </is>
      </c>
      <c r="F822" s="128" t="inlineStr">
        <is>
          <t>1404/01</t>
        </is>
      </c>
      <c r="G822" s="58" t="inlineStr">
        <is>
          <t>فروردین</t>
        </is>
      </c>
      <c r="H822" s="128" t="inlineStr">
        <is>
          <t>بهار</t>
        </is>
      </c>
      <c r="I822" s="128" t="inlineStr">
        <is>
          <t>پنجشنبه</t>
        </is>
      </c>
      <c r="J822" s="128" t="inlineStr">
        <is>
          <t>بله</t>
        </is>
      </c>
    </row>
    <row r="823">
      <c r="A823" s="176" t="n">
        <v>45744</v>
      </c>
      <c r="B823" s="177" t="n">
        <v>45744</v>
      </c>
      <c r="C823" s="177" t="n">
        <v>1404</v>
      </c>
      <c r="D823" s="177" t="n">
        <v>1</v>
      </c>
      <c r="E823" s="178" t="inlineStr">
        <is>
          <t>1404/01/08</t>
        </is>
      </c>
      <c r="F823" s="134" t="inlineStr">
        <is>
          <t>1404/01</t>
        </is>
      </c>
      <c r="G823" s="61" t="inlineStr">
        <is>
          <t>فروردین</t>
        </is>
      </c>
      <c r="H823" s="134" t="inlineStr">
        <is>
          <t>بهار</t>
        </is>
      </c>
      <c r="I823" s="134" t="inlineStr">
        <is>
          <t>جمعه</t>
        </is>
      </c>
      <c r="J823" s="134" t="inlineStr">
        <is>
          <t>بله</t>
        </is>
      </c>
    </row>
    <row r="824">
      <c r="A824" s="173" t="n">
        <v>45745</v>
      </c>
      <c r="B824" s="174" t="n">
        <v>45745</v>
      </c>
      <c r="C824" s="174" t="n">
        <v>1404</v>
      </c>
      <c r="D824" s="174" t="n">
        <v>1</v>
      </c>
      <c r="E824" s="175" t="inlineStr">
        <is>
          <t>1404/01/09</t>
        </is>
      </c>
      <c r="F824" s="128" t="inlineStr">
        <is>
          <t>1404/01</t>
        </is>
      </c>
      <c r="G824" s="58" t="inlineStr">
        <is>
          <t>فروردین</t>
        </is>
      </c>
      <c r="H824" s="128" t="inlineStr">
        <is>
          <t>بهار</t>
        </is>
      </c>
      <c r="I824" s="128" t="inlineStr">
        <is>
          <t>شنبه</t>
        </is>
      </c>
      <c r="J824" s="128" t="inlineStr">
        <is>
          <t>خیر</t>
        </is>
      </c>
    </row>
    <row r="825">
      <c r="A825" s="176" t="n">
        <v>45746</v>
      </c>
      <c r="B825" s="177" t="n">
        <v>45746</v>
      </c>
      <c r="C825" s="177" t="n">
        <v>1404</v>
      </c>
      <c r="D825" s="177" t="n">
        <v>1</v>
      </c>
      <c r="E825" s="178" t="inlineStr">
        <is>
          <t>1404/01/10</t>
        </is>
      </c>
      <c r="F825" s="134" t="inlineStr">
        <is>
          <t>1404/01</t>
        </is>
      </c>
      <c r="G825" s="61" t="inlineStr">
        <is>
          <t>فروردین</t>
        </is>
      </c>
      <c r="H825" s="134" t="inlineStr">
        <is>
          <t>بهار</t>
        </is>
      </c>
      <c r="I825" s="134" t="inlineStr">
        <is>
          <t>یکشنبه</t>
        </is>
      </c>
      <c r="J825" s="134" t="inlineStr">
        <is>
          <t>خیر</t>
        </is>
      </c>
    </row>
    <row r="826">
      <c r="A826" s="173" t="n">
        <v>45747</v>
      </c>
      <c r="B826" s="174" t="n">
        <v>45747</v>
      </c>
      <c r="C826" s="174" t="n">
        <v>1404</v>
      </c>
      <c r="D826" s="174" t="n">
        <v>1</v>
      </c>
      <c r="E826" s="175" t="inlineStr">
        <is>
          <t>1404/01/11</t>
        </is>
      </c>
      <c r="F826" s="128" t="inlineStr">
        <is>
          <t>1404/01</t>
        </is>
      </c>
      <c r="G826" s="58" t="inlineStr">
        <is>
          <t>فروردین</t>
        </is>
      </c>
      <c r="H826" s="128" t="inlineStr">
        <is>
          <t>بهار</t>
        </is>
      </c>
      <c r="I826" s="128" t="inlineStr">
        <is>
          <t>دوشنبه</t>
        </is>
      </c>
      <c r="J826" s="128" t="inlineStr">
        <is>
          <t>بله</t>
        </is>
      </c>
    </row>
    <row r="827">
      <c r="A827" s="176" t="n">
        <v>45748</v>
      </c>
      <c r="B827" s="177" t="n">
        <v>45748</v>
      </c>
      <c r="C827" s="177" t="n">
        <v>1404</v>
      </c>
      <c r="D827" s="177" t="n">
        <v>1</v>
      </c>
      <c r="E827" s="178" t="inlineStr">
        <is>
          <t>1404/01/12</t>
        </is>
      </c>
      <c r="F827" s="134" t="inlineStr">
        <is>
          <t>1404/01</t>
        </is>
      </c>
      <c r="G827" s="61" t="inlineStr">
        <is>
          <t>فروردین</t>
        </is>
      </c>
      <c r="H827" s="134" t="inlineStr">
        <is>
          <t>بهار</t>
        </is>
      </c>
      <c r="I827" s="134" t="inlineStr">
        <is>
          <t>سه‌شنبه</t>
        </is>
      </c>
      <c r="J827" s="134" t="inlineStr">
        <is>
          <t>بله</t>
        </is>
      </c>
    </row>
    <row r="828">
      <c r="A828" s="173" t="n">
        <v>45749</v>
      </c>
      <c r="B828" s="174" t="n">
        <v>45749</v>
      </c>
      <c r="C828" s="174" t="n">
        <v>1404</v>
      </c>
      <c r="D828" s="174" t="n">
        <v>1</v>
      </c>
      <c r="E828" s="175" t="inlineStr">
        <is>
          <t>1404/01/13</t>
        </is>
      </c>
      <c r="F828" s="128" t="inlineStr">
        <is>
          <t>1404/01</t>
        </is>
      </c>
      <c r="G828" s="58" t="inlineStr">
        <is>
          <t>فروردین</t>
        </is>
      </c>
      <c r="H828" s="128" t="inlineStr">
        <is>
          <t>بهار</t>
        </is>
      </c>
      <c r="I828" s="128" t="inlineStr">
        <is>
          <t>چهارشنبه</t>
        </is>
      </c>
      <c r="J828" s="128" t="inlineStr">
        <is>
          <t>بله</t>
        </is>
      </c>
    </row>
    <row r="829">
      <c r="A829" s="176" t="n">
        <v>45750</v>
      </c>
      <c r="B829" s="177" t="n">
        <v>45750</v>
      </c>
      <c r="C829" s="177" t="n">
        <v>1404</v>
      </c>
      <c r="D829" s="177" t="n">
        <v>1</v>
      </c>
      <c r="E829" s="178" t="inlineStr">
        <is>
          <t>1404/01/14</t>
        </is>
      </c>
      <c r="F829" s="134" t="inlineStr">
        <is>
          <t>1404/01</t>
        </is>
      </c>
      <c r="G829" s="61" t="inlineStr">
        <is>
          <t>فروردین</t>
        </is>
      </c>
      <c r="H829" s="134" t="inlineStr">
        <is>
          <t>بهار</t>
        </is>
      </c>
      <c r="I829" s="134" t="inlineStr">
        <is>
          <t>پنجشنبه</t>
        </is>
      </c>
      <c r="J829" s="134" t="inlineStr">
        <is>
          <t>بله</t>
        </is>
      </c>
    </row>
    <row r="830">
      <c r="A830" s="173" t="n">
        <v>45751</v>
      </c>
      <c r="B830" s="174" t="n">
        <v>45751</v>
      </c>
      <c r="C830" s="174" t="n">
        <v>1404</v>
      </c>
      <c r="D830" s="174" t="n">
        <v>1</v>
      </c>
      <c r="E830" s="175" t="inlineStr">
        <is>
          <t>1404/01/15</t>
        </is>
      </c>
      <c r="F830" s="128" t="inlineStr">
        <is>
          <t>1404/01</t>
        </is>
      </c>
      <c r="G830" s="58" t="inlineStr">
        <is>
          <t>فروردین</t>
        </is>
      </c>
      <c r="H830" s="128" t="inlineStr">
        <is>
          <t>بهار</t>
        </is>
      </c>
      <c r="I830" s="128" t="inlineStr">
        <is>
          <t>جمعه</t>
        </is>
      </c>
      <c r="J830" s="128" t="inlineStr">
        <is>
          <t>بله</t>
        </is>
      </c>
    </row>
    <row r="831">
      <c r="A831" s="176" t="n">
        <v>45752</v>
      </c>
      <c r="B831" s="177" t="n">
        <v>45752</v>
      </c>
      <c r="C831" s="177" t="n">
        <v>1404</v>
      </c>
      <c r="D831" s="177" t="n">
        <v>1</v>
      </c>
      <c r="E831" s="178" t="inlineStr">
        <is>
          <t>1404/01/16</t>
        </is>
      </c>
      <c r="F831" s="134" t="inlineStr">
        <is>
          <t>1404/01</t>
        </is>
      </c>
      <c r="G831" s="61" t="inlineStr">
        <is>
          <t>فروردین</t>
        </is>
      </c>
      <c r="H831" s="134" t="inlineStr">
        <is>
          <t>بهار</t>
        </is>
      </c>
      <c r="I831" s="134" t="inlineStr">
        <is>
          <t>شنبه</t>
        </is>
      </c>
      <c r="J831" s="134" t="inlineStr">
        <is>
          <t>خیر</t>
        </is>
      </c>
    </row>
    <row r="832">
      <c r="A832" s="173" t="n">
        <v>45753</v>
      </c>
      <c r="B832" s="174" t="n">
        <v>45753</v>
      </c>
      <c r="C832" s="174" t="n">
        <v>1404</v>
      </c>
      <c r="D832" s="174" t="n">
        <v>1</v>
      </c>
      <c r="E832" s="175" t="inlineStr">
        <is>
          <t>1404/01/17</t>
        </is>
      </c>
      <c r="F832" s="128" t="inlineStr">
        <is>
          <t>1404/01</t>
        </is>
      </c>
      <c r="G832" s="58" t="inlineStr">
        <is>
          <t>فروردین</t>
        </is>
      </c>
      <c r="H832" s="128" t="inlineStr">
        <is>
          <t>بهار</t>
        </is>
      </c>
      <c r="I832" s="128" t="inlineStr">
        <is>
          <t>یکشنبه</t>
        </is>
      </c>
      <c r="J832" s="128" t="inlineStr">
        <is>
          <t>خیر</t>
        </is>
      </c>
    </row>
    <row r="833">
      <c r="A833" s="176" t="n">
        <v>45754</v>
      </c>
      <c r="B833" s="177" t="n">
        <v>45754</v>
      </c>
      <c r="C833" s="177" t="n">
        <v>1404</v>
      </c>
      <c r="D833" s="177" t="n">
        <v>1</v>
      </c>
      <c r="E833" s="178" t="inlineStr">
        <is>
          <t>1404/01/18</t>
        </is>
      </c>
      <c r="F833" s="134" t="inlineStr">
        <is>
          <t>1404/01</t>
        </is>
      </c>
      <c r="G833" s="61" t="inlineStr">
        <is>
          <t>فروردین</t>
        </is>
      </c>
      <c r="H833" s="134" t="inlineStr">
        <is>
          <t>بهار</t>
        </is>
      </c>
      <c r="I833" s="134" t="inlineStr">
        <is>
          <t>دوشنبه</t>
        </is>
      </c>
      <c r="J833" s="134" t="inlineStr">
        <is>
          <t>بله</t>
        </is>
      </c>
    </row>
    <row r="834">
      <c r="A834" s="173" t="n">
        <v>45755</v>
      </c>
      <c r="B834" s="174" t="n">
        <v>45755</v>
      </c>
      <c r="C834" s="174" t="n">
        <v>1404</v>
      </c>
      <c r="D834" s="174" t="n">
        <v>1</v>
      </c>
      <c r="E834" s="175" t="inlineStr">
        <is>
          <t>1404/01/19</t>
        </is>
      </c>
      <c r="F834" s="128" t="inlineStr">
        <is>
          <t>1404/01</t>
        </is>
      </c>
      <c r="G834" s="58" t="inlineStr">
        <is>
          <t>فروردین</t>
        </is>
      </c>
      <c r="H834" s="128" t="inlineStr">
        <is>
          <t>بهار</t>
        </is>
      </c>
      <c r="I834" s="128" t="inlineStr">
        <is>
          <t>سه‌شنبه</t>
        </is>
      </c>
      <c r="J834" s="128" t="inlineStr">
        <is>
          <t>بله</t>
        </is>
      </c>
    </row>
    <row r="835">
      <c r="A835" s="176" t="n">
        <v>45756</v>
      </c>
      <c r="B835" s="177" t="n">
        <v>45756</v>
      </c>
      <c r="C835" s="177" t="n">
        <v>1404</v>
      </c>
      <c r="D835" s="177" t="n">
        <v>1</v>
      </c>
      <c r="E835" s="178" t="inlineStr">
        <is>
          <t>1404/01/20</t>
        </is>
      </c>
      <c r="F835" s="134" t="inlineStr">
        <is>
          <t>1404/01</t>
        </is>
      </c>
      <c r="G835" s="61" t="inlineStr">
        <is>
          <t>فروردین</t>
        </is>
      </c>
      <c r="H835" s="134" t="inlineStr">
        <is>
          <t>بهار</t>
        </is>
      </c>
      <c r="I835" s="134" t="inlineStr">
        <is>
          <t>چهارشنبه</t>
        </is>
      </c>
      <c r="J835" s="134" t="inlineStr">
        <is>
          <t>بله</t>
        </is>
      </c>
    </row>
    <row r="836">
      <c r="A836" s="173" t="n">
        <v>45757</v>
      </c>
      <c r="B836" s="174" t="n">
        <v>45757</v>
      </c>
      <c r="C836" s="174" t="n">
        <v>1404</v>
      </c>
      <c r="D836" s="174" t="n">
        <v>1</v>
      </c>
      <c r="E836" s="175" t="inlineStr">
        <is>
          <t>1404/01/21</t>
        </is>
      </c>
      <c r="F836" s="128" t="inlineStr">
        <is>
          <t>1404/01</t>
        </is>
      </c>
      <c r="G836" s="58" t="inlineStr">
        <is>
          <t>فروردین</t>
        </is>
      </c>
      <c r="H836" s="128" t="inlineStr">
        <is>
          <t>بهار</t>
        </is>
      </c>
      <c r="I836" s="128" t="inlineStr">
        <is>
          <t>پنجشنبه</t>
        </is>
      </c>
      <c r="J836" s="128" t="inlineStr">
        <is>
          <t>بله</t>
        </is>
      </c>
    </row>
    <row r="837">
      <c r="A837" s="176" t="n">
        <v>45758</v>
      </c>
      <c r="B837" s="177" t="n">
        <v>45758</v>
      </c>
      <c r="C837" s="177" t="n">
        <v>1404</v>
      </c>
      <c r="D837" s="177" t="n">
        <v>1</v>
      </c>
      <c r="E837" s="178" t="inlineStr">
        <is>
          <t>1404/01/22</t>
        </is>
      </c>
      <c r="F837" s="134" t="inlineStr">
        <is>
          <t>1404/01</t>
        </is>
      </c>
      <c r="G837" s="61" t="inlineStr">
        <is>
          <t>فروردین</t>
        </is>
      </c>
      <c r="H837" s="134" t="inlineStr">
        <is>
          <t>بهار</t>
        </is>
      </c>
      <c r="I837" s="134" t="inlineStr">
        <is>
          <t>جمعه</t>
        </is>
      </c>
      <c r="J837" s="134" t="inlineStr">
        <is>
          <t>بله</t>
        </is>
      </c>
    </row>
    <row r="838">
      <c r="A838" s="173" t="n">
        <v>45759</v>
      </c>
      <c r="B838" s="174" t="n">
        <v>45759</v>
      </c>
      <c r="C838" s="174" t="n">
        <v>1404</v>
      </c>
      <c r="D838" s="174" t="n">
        <v>1</v>
      </c>
      <c r="E838" s="175" t="inlineStr">
        <is>
          <t>1404/01/23</t>
        </is>
      </c>
      <c r="F838" s="128" t="inlineStr">
        <is>
          <t>1404/01</t>
        </is>
      </c>
      <c r="G838" s="58" t="inlineStr">
        <is>
          <t>فروردین</t>
        </is>
      </c>
      <c r="H838" s="128" t="inlineStr">
        <is>
          <t>بهار</t>
        </is>
      </c>
      <c r="I838" s="128" t="inlineStr">
        <is>
          <t>شنبه</t>
        </is>
      </c>
      <c r="J838" s="128" t="inlineStr">
        <is>
          <t>خیر</t>
        </is>
      </c>
    </row>
    <row r="839">
      <c r="A839" s="176" t="n">
        <v>45760</v>
      </c>
      <c r="B839" s="177" t="n">
        <v>45760</v>
      </c>
      <c r="C839" s="177" t="n">
        <v>1404</v>
      </c>
      <c r="D839" s="177" t="n">
        <v>1</v>
      </c>
      <c r="E839" s="178" t="inlineStr">
        <is>
          <t>1404/01/24</t>
        </is>
      </c>
      <c r="F839" s="134" t="inlineStr">
        <is>
          <t>1404/01</t>
        </is>
      </c>
      <c r="G839" s="61" t="inlineStr">
        <is>
          <t>فروردین</t>
        </is>
      </c>
      <c r="H839" s="134" t="inlineStr">
        <is>
          <t>بهار</t>
        </is>
      </c>
      <c r="I839" s="134" t="inlineStr">
        <is>
          <t>یکشنبه</t>
        </is>
      </c>
      <c r="J839" s="134" t="inlineStr">
        <is>
          <t>خیر</t>
        </is>
      </c>
    </row>
    <row r="840">
      <c r="A840" s="173" t="n">
        <v>45761</v>
      </c>
      <c r="B840" s="174" t="n">
        <v>45761</v>
      </c>
      <c r="C840" s="174" t="n">
        <v>1404</v>
      </c>
      <c r="D840" s="174" t="n">
        <v>1</v>
      </c>
      <c r="E840" s="175" t="inlineStr">
        <is>
          <t>1404/01/25</t>
        </is>
      </c>
      <c r="F840" s="128" t="inlineStr">
        <is>
          <t>1404/01</t>
        </is>
      </c>
      <c r="G840" s="58" t="inlineStr">
        <is>
          <t>فروردین</t>
        </is>
      </c>
      <c r="H840" s="128" t="inlineStr">
        <is>
          <t>بهار</t>
        </is>
      </c>
      <c r="I840" s="128" t="inlineStr">
        <is>
          <t>دوشنبه</t>
        </is>
      </c>
      <c r="J840" s="128" t="inlineStr">
        <is>
          <t>بله</t>
        </is>
      </c>
    </row>
    <row r="841">
      <c r="A841" s="176" t="n">
        <v>45762</v>
      </c>
      <c r="B841" s="177" t="n">
        <v>45762</v>
      </c>
      <c r="C841" s="177" t="n">
        <v>1404</v>
      </c>
      <c r="D841" s="177" t="n">
        <v>1</v>
      </c>
      <c r="E841" s="178" t="inlineStr">
        <is>
          <t>1404/01/26</t>
        </is>
      </c>
      <c r="F841" s="134" t="inlineStr">
        <is>
          <t>1404/01</t>
        </is>
      </c>
      <c r="G841" s="61" t="inlineStr">
        <is>
          <t>فروردین</t>
        </is>
      </c>
      <c r="H841" s="134" t="inlineStr">
        <is>
          <t>بهار</t>
        </is>
      </c>
      <c r="I841" s="134" t="inlineStr">
        <is>
          <t>سه‌شنبه</t>
        </is>
      </c>
      <c r="J841" s="134" t="inlineStr">
        <is>
          <t>بله</t>
        </is>
      </c>
    </row>
    <row r="842">
      <c r="A842" s="173" t="n">
        <v>45763</v>
      </c>
      <c r="B842" s="174" t="n">
        <v>45763</v>
      </c>
      <c r="C842" s="174" t="n">
        <v>1404</v>
      </c>
      <c r="D842" s="174" t="n">
        <v>1</v>
      </c>
      <c r="E842" s="175" t="inlineStr">
        <is>
          <t>1404/01/27</t>
        </is>
      </c>
      <c r="F842" s="128" t="inlineStr">
        <is>
          <t>1404/01</t>
        </is>
      </c>
      <c r="G842" s="58" t="inlineStr">
        <is>
          <t>فروردین</t>
        </is>
      </c>
      <c r="H842" s="128" t="inlineStr">
        <is>
          <t>بهار</t>
        </is>
      </c>
      <c r="I842" s="128" t="inlineStr">
        <is>
          <t>چهارشنبه</t>
        </is>
      </c>
      <c r="J842" s="128" t="inlineStr">
        <is>
          <t>بله</t>
        </is>
      </c>
    </row>
    <row r="843">
      <c r="A843" s="176" t="n">
        <v>45764</v>
      </c>
      <c r="B843" s="177" t="n">
        <v>45764</v>
      </c>
      <c r="C843" s="177" t="n">
        <v>1404</v>
      </c>
      <c r="D843" s="177" t="n">
        <v>1</v>
      </c>
      <c r="E843" s="178" t="inlineStr">
        <is>
          <t>1404/01/28</t>
        </is>
      </c>
      <c r="F843" s="134" t="inlineStr">
        <is>
          <t>1404/01</t>
        </is>
      </c>
      <c r="G843" s="61" t="inlineStr">
        <is>
          <t>فروردین</t>
        </is>
      </c>
      <c r="H843" s="134" t="inlineStr">
        <is>
          <t>بهار</t>
        </is>
      </c>
      <c r="I843" s="134" t="inlineStr">
        <is>
          <t>پنجشنبه</t>
        </is>
      </c>
      <c r="J843" s="134" t="inlineStr">
        <is>
          <t>بله</t>
        </is>
      </c>
    </row>
    <row r="844">
      <c r="A844" s="173" t="n">
        <v>45765</v>
      </c>
      <c r="B844" s="174" t="n">
        <v>45765</v>
      </c>
      <c r="C844" s="174" t="n">
        <v>1404</v>
      </c>
      <c r="D844" s="174" t="n">
        <v>1</v>
      </c>
      <c r="E844" s="175" t="inlineStr">
        <is>
          <t>1404/01/29</t>
        </is>
      </c>
      <c r="F844" s="128" t="inlineStr">
        <is>
          <t>1404/01</t>
        </is>
      </c>
      <c r="G844" s="58" t="inlineStr">
        <is>
          <t>فروردین</t>
        </is>
      </c>
      <c r="H844" s="128" t="inlineStr">
        <is>
          <t>بهار</t>
        </is>
      </c>
      <c r="I844" s="128" t="inlineStr">
        <is>
          <t>جمعه</t>
        </is>
      </c>
      <c r="J844" s="128" t="inlineStr">
        <is>
          <t>بله</t>
        </is>
      </c>
    </row>
    <row r="845">
      <c r="A845" s="176" t="n">
        <v>45766</v>
      </c>
      <c r="B845" s="177" t="n">
        <v>45766</v>
      </c>
      <c r="C845" s="177" t="n">
        <v>1404</v>
      </c>
      <c r="D845" s="177" t="n">
        <v>1</v>
      </c>
      <c r="E845" s="178" t="inlineStr">
        <is>
          <t>1404/01/30</t>
        </is>
      </c>
      <c r="F845" s="134" t="inlineStr">
        <is>
          <t>1404/01</t>
        </is>
      </c>
      <c r="G845" s="61" t="inlineStr">
        <is>
          <t>فروردین</t>
        </is>
      </c>
      <c r="H845" s="134" t="inlineStr">
        <is>
          <t>بهار</t>
        </is>
      </c>
      <c r="I845" s="134" t="inlineStr">
        <is>
          <t>شنبه</t>
        </is>
      </c>
      <c r="J845" s="134" t="inlineStr">
        <is>
          <t>خیر</t>
        </is>
      </c>
    </row>
    <row r="846">
      <c r="A846" s="173" t="n">
        <v>45767</v>
      </c>
      <c r="B846" s="174" t="n">
        <v>45767</v>
      </c>
      <c r="C846" s="174" t="n">
        <v>1404</v>
      </c>
      <c r="D846" s="174" t="n">
        <v>1</v>
      </c>
      <c r="E846" s="175" t="inlineStr">
        <is>
          <t>1404/01/31</t>
        </is>
      </c>
      <c r="F846" s="128" t="inlineStr">
        <is>
          <t>1404/01</t>
        </is>
      </c>
      <c r="G846" s="58" t="inlineStr">
        <is>
          <t>فروردین</t>
        </is>
      </c>
      <c r="H846" s="128" t="inlineStr">
        <is>
          <t>بهار</t>
        </is>
      </c>
      <c r="I846" s="128" t="inlineStr">
        <is>
          <t>یکشنبه</t>
        </is>
      </c>
      <c r="J846" s="128" t="inlineStr">
        <is>
          <t>خیر</t>
        </is>
      </c>
    </row>
    <row r="847">
      <c r="A847" s="176" t="n">
        <v>45768</v>
      </c>
      <c r="B847" s="177" t="n">
        <v>45768</v>
      </c>
      <c r="C847" s="177" t="n">
        <v>1404</v>
      </c>
      <c r="D847" s="177" t="n">
        <v>2</v>
      </c>
      <c r="E847" s="178" t="inlineStr">
        <is>
          <t>1404/02/01</t>
        </is>
      </c>
      <c r="F847" s="134" t="inlineStr">
        <is>
          <t>1404/02</t>
        </is>
      </c>
      <c r="G847" s="61" t="inlineStr">
        <is>
          <t>اردیبهشت</t>
        </is>
      </c>
      <c r="H847" s="134" t="inlineStr">
        <is>
          <t>بهار</t>
        </is>
      </c>
      <c r="I847" s="134" t="inlineStr">
        <is>
          <t>دوشنبه</t>
        </is>
      </c>
      <c r="J847" s="134" t="inlineStr">
        <is>
          <t>بله</t>
        </is>
      </c>
    </row>
    <row r="848">
      <c r="A848" s="173" t="n">
        <v>45769</v>
      </c>
      <c r="B848" s="174" t="n">
        <v>45769</v>
      </c>
      <c r="C848" s="174" t="n">
        <v>1404</v>
      </c>
      <c r="D848" s="174" t="n">
        <v>2</v>
      </c>
      <c r="E848" s="175" t="inlineStr">
        <is>
          <t>1404/02/02</t>
        </is>
      </c>
      <c r="F848" s="128" t="inlineStr">
        <is>
          <t>1404/02</t>
        </is>
      </c>
      <c r="G848" s="58" t="inlineStr">
        <is>
          <t>اردیبهشت</t>
        </is>
      </c>
      <c r="H848" s="128" t="inlineStr">
        <is>
          <t>بهار</t>
        </is>
      </c>
      <c r="I848" s="128" t="inlineStr">
        <is>
          <t>سه‌شنبه</t>
        </is>
      </c>
      <c r="J848" s="128" t="inlineStr">
        <is>
          <t>بله</t>
        </is>
      </c>
    </row>
    <row r="849">
      <c r="A849" s="176" t="n">
        <v>45770</v>
      </c>
      <c r="B849" s="177" t="n">
        <v>45770</v>
      </c>
      <c r="C849" s="177" t="n">
        <v>1404</v>
      </c>
      <c r="D849" s="177" t="n">
        <v>2</v>
      </c>
      <c r="E849" s="178" t="inlineStr">
        <is>
          <t>1404/02/03</t>
        </is>
      </c>
      <c r="F849" s="134" t="inlineStr">
        <is>
          <t>1404/02</t>
        </is>
      </c>
      <c r="G849" s="61" t="inlineStr">
        <is>
          <t>اردیبهشت</t>
        </is>
      </c>
      <c r="H849" s="134" t="inlineStr">
        <is>
          <t>بهار</t>
        </is>
      </c>
      <c r="I849" s="134" t="inlineStr">
        <is>
          <t>چهارشنبه</t>
        </is>
      </c>
      <c r="J849" s="134" t="inlineStr">
        <is>
          <t>بله</t>
        </is>
      </c>
    </row>
    <row r="850">
      <c r="A850" s="173" t="n">
        <v>45771</v>
      </c>
      <c r="B850" s="174" t="n">
        <v>45771</v>
      </c>
      <c r="C850" s="174" t="n">
        <v>1404</v>
      </c>
      <c r="D850" s="174" t="n">
        <v>2</v>
      </c>
      <c r="E850" s="175" t="inlineStr">
        <is>
          <t>1404/02/04</t>
        </is>
      </c>
      <c r="F850" s="128" t="inlineStr">
        <is>
          <t>1404/02</t>
        </is>
      </c>
      <c r="G850" s="58" t="inlineStr">
        <is>
          <t>اردیبهشت</t>
        </is>
      </c>
      <c r="H850" s="128" t="inlineStr">
        <is>
          <t>بهار</t>
        </is>
      </c>
      <c r="I850" s="128" t="inlineStr">
        <is>
          <t>پنجشنبه</t>
        </is>
      </c>
      <c r="J850" s="128" t="inlineStr">
        <is>
          <t>بله</t>
        </is>
      </c>
    </row>
    <row r="851">
      <c r="A851" s="176" t="n">
        <v>45772</v>
      </c>
      <c r="B851" s="177" t="n">
        <v>45772</v>
      </c>
      <c r="C851" s="177" t="n">
        <v>1404</v>
      </c>
      <c r="D851" s="177" t="n">
        <v>2</v>
      </c>
      <c r="E851" s="178" t="inlineStr">
        <is>
          <t>1404/02/05</t>
        </is>
      </c>
      <c r="F851" s="134" t="inlineStr">
        <is>
          <t>1404/02</t>
        </is>
      </c>
      <c r="G851" s="61" t="inlineStr">
        <is>
          <t>اردیبهشت</t>
        </is>
      </c>
      <c r="H851" s="134" t="inlineStr">
        <is>
          <t>بهار</t>
        </is>
      </c>
      <c r="I851" s="134" t="inlineStr">
        <is>
          <t>جمعه</t>
        </is>
      </c>
      <c r="J851" s="134" t="inlineStr">
        <is>
          <t>بله</t>
        </is>
      </c>
    </row>
    <row r="852">
      <c r="A852" s="173" t="n">
        <v>45773</v>
      </c>
      <c r="B852" s="174" t="n">
        <v>45773</v>
      </c>
      <c r="C852" s="174" t="n">
        <v>1404</v>
      </c>
      <c r="D852" s="174" t="n">
        <v>2</v>
      </c>
      <c r="E852" s="175" t="inlineStr">
        <is>
          <t>1404/02/06</t>
        </is>
      </c>
      <c r="F852" s="128" t="inlineStr">
        <is>
          <t>1404/02</t>
        </is>
      </c>
      <c r="G852" s="58" t="inlineStr">
        <is>
          <t>اردیبهشت</t>
        </is>
      </c>
      <c r="H852" s="128" t="inlineStr">
        <is>
          <t>بهار</t>
        </is>
      </c>
      <c r="I852" s="128" t="inlineStr">
        <is>
          <t>شنبه</t>
        </is>
      </c>
      <c r="J852" s="128" t="inlineStr">
        <is>
          <t>خیر</t>
        </is>
      </c>
    </row>
    <row r="853">
      <c r="A853" s="176" t="n">
        <v>45774</v>
      </c>
      <c r="B853" s="177" t="n">
        <v>45774</v>
      </c>
      <c r="C853" s="177" t="n">
        <v>1404</v>
      </c>
      <c r="D853" s="177" t="n">
        <v>2</v>
      </c>
      <c r="E853" s="178" t="inlineStr">
        <is>
          <t>1404/02/07</t>
        </is>
      </c>
      <c r="F853" s="134" t="inlineStr">
        <is>
          <t>1404/02</t>
        </is>
      </c>
      <c r="G853" s="61" t="inlineStr">
        <is>
          <t>اردیبهشت</t>
        </is>
      </c>
      <c r="H853" s="134" t="inlineStr">
        <is>
          <t>بهار</t>
        </is>
      </c>
      <c r="I853" s="134" t="inlineStr">
        <is>
          <t>یکشنبه</t>
        </is>
      </c>
      <c r="J853" s="134" t="inlineStr">
        <is>
          <t>خیر</t>
        </is>
      </c>
    </row>
    <row r="854">
      <c r="A854" s="173" t="n">
        <v>45775</v>
      </c>
      <c r="B854" s="174" t="n">
        <v>45775</v>
      </c>
      <c r="C854" s="174" t="n">
        <v>1404</v>
      </c>
      <c r="D854" s="174" t="n">
        <v>2</v>
      </c>
      <c r="E854" s="175" t="inlineStr">
        <is>
          <t>1404/02/08</t>
        </is>
      </c>
      <c r="F854" s="128" t="inlineStr">
        <is>
          <t>1404/02</t>
        </is>
      </c>
      <c r="G854" s="58" t="inlineStr">
        <is>
          <t>اردیبهشت</t>
        </is>
      </c>
      <c r="H854" s="128" t="inlineStr">
        <is>
          <t>بهار</t>
        </is>
      </c>
      <c r="I854" s="128" t="inlineStr">
        <is>
          <t>دوشنبه</t>
        </is>
      </c>
      <c r="J854" s="128" t="inlineStr">
        <is>
          <t>بله</t>
        </is>
      </c>
    </row>
    <row r="855">
      <c r="A855" s="176" t="n">
        <v>45776</v>
      </c>
      <c r="B855" s="177" t="n">
        <v>45776</v>
      </c>
      <c r="C855" s="177" t="n">
        <v>1404</v>
      </c>
      <c r="D855" s="177" t="n">
        <v>2</v>
      </c>
      <c r="E855" s="178" t="inlineStr">
        <is>
          <t>1404/02/09</t>
        </is>
      </c>
      <c r="F855" s="134" t="inlineStr">
        <is>
          <t>1404/02</t>
        </is>
      </c>
      <c r="G855" s="61" t="inlineStr">
        <is>
          <t>اردیبهشت</t>
        </is>
      </c>
      <c r="H855" s="134" t="inlineStr">
        <is>
          <t>بهار</t>
        </is>
      </c>
      <c r="I855" s="134" t="inlineStr">
        <is>
          <t>سه‌شنبه</t>
        </is>
      </c>
      <c r="J855" s="134" t="inlineStr">
        <is>
          <t>بله</t>
        </is>
      </c>
    </row>
    <row r="856">
      <c r="A856" s="173" t="n">
        <v>45777</v>
      </c>
      <c r="B856" s="174" t="n">
        <v>45777</v>
      </c>
      <c r="C856" s="174" t="n">
        <v>1404</v>
      </c>
      <c r="D856" s="174" t="n">
        <v>2</v>
      </c>
      <c r="E856" s="175" t="inlineStr">
        <is>
          <t>1404/02/10</t>
        </is>
      </c>
      <c r="F856" s="128" t="inlineStr">
        <is>
          <t>1404/02</t>
        </is>
      </c>
      <c r="G856" s="58" t="inlineStr">
        <is>
          <t>اردیبهشت</t>
        </is>
      </c>
      <c r="H856" s="128" t="inlineStr">
        <is>
          <t>بهار</t>
        </is>
      </c>
      <c r="I856" s="128" t="inlineStr">
        <is>
          <t>چهارشنبه</t>
        </is>
      </c>
      <c r="J856" s="128" t="inlineStr">
        <is>
          <t>بله</t>
        </is>
      </c>
    </row>
    <row r="857">
      <c r="A857" s="176" t="n">
        <v>45778</v>
      </c>
      <c r="B857" s="177" t="n">
        <v>45778</v>
      </c>
      <c r="C857" s="177" t="n">
        <v>1404</v>
      </c>
      <c r="D857" s="177" t="n">
        <v>2</v>
      </c>
      <c r="E857" s="178" t="inlineStr">
        <is>
          <t>1404/02/11</t>
        </is>
      </c>
      <c r="F857" s="134" t="inlineStr">
        <is>
          <t>1404/02</t>
        </is>
      </c>
      <c r="G857" s="61" t="inlineStr">
        <is>
          <t>اردیبهشت</t>
        </is>
      </c>
      <c r="H857" s="134" t="inlineStr">
        <is>
          <t>بهار</t>
        </is>
      </c>
      <c r="I857" s="134" t="inlineStr">
        <is>
          <t>پنجشنبه</t>
        </is>
      </c>
      <c r="J857" s="134" t="inlineStr">
        <is>
          <t>بله</t>
        </is>
      </c>
    </row>
    <row r="858">
      <c r="A858" s="173" t="n">
        <v>45779</v>
      </c>
      <c r="B858" s="174" t="n">
        <v>45779</v>
      </c>
      <c r="C858" s="174" t="n">
        <v>1404</v>
      </c>
      <c r="D858" s="174" t="n">
        <v>2</v>
      </c>
      <c r="E858" s="175" t="inlineStr">
        <is>
          <t>1404/02/12</t>
        </is>
      </c>
      <c r="F858" s="128" t="inlineStr">
        <is>
          <t>1404/02</t>
        </is>
      </c>
      <c r="G858" s="58" t="inlineStr">
        <is>
          <t>اردیبهشت</t>
        </is>
      </c>
      <c r="H858" s="128" t="inlineStr">
        <is>
          <t>بهار</t>
        </is>
      </c>
      <c r="I858" s="128" t="inlineStr">
        <is>
          <t>جمعه</t>
        </is>
      </c>
      <c r="J858" s="128" t="inlineStr">
        <is>
          <t>بله</t>
        </is>
      </c>
    </row>
    <row r="859">
      <c r="A859" s="176" t="n">
        <v>45780</v>
      </c>
      <c r="B859" s="177" t="n">
        <v>45780</v>
      </c>
      <c r="C859" s="177" t="n">
        <v>1404</v>
      </c>
      <c r="D859" s="177" t="n">
        <v>2</v>
      </c>
      <c r="E859" s="178" t="inlineStr">
        <is>
          <t>1404/02/13</t>
        </is>
      </c>
      <c r="F859" s="134" t="inlineStr">
        <is>
          <t>1404/02</t>
        </is>
      </c>
      <c r="G859" s="61" t="inlineStr">
        <is>
          <t>اردیبهشت</t>
        </is>
      </c>
      <c r="H859" s="134" t="inlineStr">
        <is>
          <t>بهار</t>
        </is>
      </c>
      <c r="I859" s="134" t="inlineStr">
        <is>
          <t>شنبه</t>
        </is>
      </c>
      <c r="J859" s="134" t="inlineStr">
        <is>
          <t>خیر</t>
        </is>
      </c>
    </row>
    <row r="860">
      <c r="A860" s="173" t="n">
        <v>45781</v>
      </c>
      <c r="B860" s="174" t="n">
        <v>45781</v>
      </c>
      <c r="C860" s="174" t="n">
        <v>1404</v>
      </c>
      <c r="D860" s="174" t="n">
        <v>2</v>
      </c>
      <c r="E860" s="175" t="inlineStr">
        <is>
          <t>1404/02/14</t>
        </is>
      </c>
      <c r="F860" s="128" t="inlineStr">
        <is>
          <t>1404/02</t>
        </is>
      </c>
      <c r="G860" s="58" t="inlineStr">
        <is>
          <t>اردیبهشت</t>
        </is>
      </c>
      <c r="H860" s="128" t="inlineStr">
        <is>
          <t>بهار</t>
        </is>
      </c>
      <c r="I860" s="128" t="inlineStr">
        <is>
          <t>یکشنبه</t>
        </is>
      </c>
      <c r="J860" s="128" t="inlineStr">
        <is>
          <t>خیر</t>
        </is>
      </c>
    </row>
    <row r="861">
      <c r="A861" s="176" t="n">
        <v>45782</v>
      </c>
      <c r="B861" s="177" t="n">
        <v>45782</v>
      </c>
      <c r="C861" s="177" t="n">
        <v>1404</v>
      </c>
      <c r="D861" s="177" t="n">
        <v>2</v>
      </c>
      <c r="E861" s="178" t="inlineStr">
        <is>
          <t>1404/02/15</t>
        </is>
      </c>
      <c r="F861" s="134" t="inlineStr">
        <is>
          <t>1404/02</t>
        </is>
      </c>
      <c r="G861" s="61" t="inlineStr">
        <is>
          <t>اردیبهشت</t>
        </is>
      </c>
      <c r="H861" s="134" t="inlineStr">
        <is>
          <t>بهار</t>
        </is>
      </c>
      <c r="I861" s="134" t="inlineStr">
        <is>
          <t>دوشنبه</t>
        </is>
      </c>
      <c r="J861" s="134" t="inlineStr">
        <is>
          <t>بله</t>
        </is>
      </c>
    </row>
    <row r="862">
      <c r="A862" s="173" t="n">
        <v>45783</v>
      </c>
      <c r="B862" s="174" t="n">
        <v>45783</v>
      </c>
      <c r="C862" s="174" t="n">
        <v>1404</v>
      </c>
      <c r="D862" s="174" t="n">
        <v>2</v>
      </c>
      <c r="E862" s="175" t="inlineStr">
        <is>
          <t>1404/02/16</t>
        </is>
      </c>
      <c r="F862" s="128" t="inlineStr">
        <is>
          <t>1404/02</t>
        </is>
      </c>
      <c r="G862" s="58" t="inlineStr">
        <is>
          <t>اردیبهشت</t>
        </is>
      </c>
      <c r="H862" s="128" t="inlineStr">
        <is>
          <t>بهار</t>
        </is>
      </c>
      <c r="I862" s="128" t="inlineStr">
        <is>
          <t>سه‌شنبه</t>
        </is>
      </c>
      <c r="J862" s="128" t="inlineStr">
        <is>
          <t>بله</t>
        </is>
      </c>
    </row>
    <row r="863">
      <c r="A863" s="176" t="n">
        <v>45784</v>
      </c>
      <c r="B863" s="177" t="n">
        <v>45784</v>
      </c>
      <c r="C863" s="177" t="n">
        <v>1404</v>
      </c>
      <c r="D863" s="177" t="n">
        <v>2</v>
      </c>
      <c r="E863" s="178" t="inlineStr">
        <is>
          <t>1404/02/17</t>
        </is>
      </c>
      <c r="F863" s="134" t="inlineStr">
        <is>
          <t>1404/02</t>
        </is>
      </c>
      <c r="G863" s="61" t="inlineStr">
        <is>
          <t>اردیبهشت</t>
        </is>
      </c>
      <c r="H863" s="134" t="inlineStr">
        <is>
          <t>بهار</t>
        </is>
      </c>
      <c r="I863" s="134" t="inlineStr">
        <is>
          <t>چهارشنبه</t>
        </is>
      </c>
      <c r="J863" s="134" t="inlineStr">
        <is>
          <t>بله</t>
        </is>
      </c>
    </row>
    <row r="864">
      <c r="A864" s="173" t="n">
        <v>45785</v>
      </c>
      <c r="B864" s="174" t="n">
        <v>45785</v>
      </c>
      <c r="C864" s="174" t="n">
        <v>1404</v>
      </c>
      <c r="D864" s="174" t="n">
        <v>2</v>
      </c>
      <c r="E864" s="175" t="inlineStr">
        <is>
          <t>1404/02/18</t>
        </is>
      </c>
      <c r="F864" s="128" t="inlineStr">
        <is>
          <t>1404/02</t>
        </is>
      </c>
      <c r="G864" s="58" t="inlineStr">
        <is>
          <t>اردیبهشت</t>
        </is>
      </c>
      <c r="H864" s="128" t="inlineStr">
        <is>
          <t>بهار</t>
        </is>
      </c>
      <c r="I864" s="128" t="inlineStr">
        <is>
          <t>پنجشنبه</t>
        </is>
      </c>
      <c r="J864" s="128" t="inlineStr">
        <is>
          <t>بله</t>
        </is>
      </c>
    </row>
    <row r="865">
      <c r="A865" s="176" t="n">
        <v>45786</v>
      </c>
      <c r="B865" s="177" t="n">
        <v>45786</v>
      </c>
      <c r="C865" s="177" t="n">
        <v>1404</v>
      </c>
      <c r="D865" s="177" t="n">
        <v>2</v>
      </c>
      <c r="E865" s="178" t="inlineStr">
        <is>
          <t>1404/02/19</t>
        </is>
      </c>
      <c r="F865" s="134" t="inlineStr">
        <is>
          <t>1404/02</t>
        </is>
      </c>
      <c r="G865" s="61" t="inlineStr">
        <is>
          <t>اردیبهشت</t>
        </is>
      </c>
      <c r="H865" s="134" t="inlineStr">
        <is>
          <t>بهار</t>
        </is>
      </c>
      <c r="I865" s="134" t="inlineStr">
        <is>
          <t>جمعه</t>
        </is>
      </c>
      <c r="J865" s="134" t="inlineStr">
        <is>
          <t>بله</t>
        </is>
      </c>
    </row>
    <row r="866">
      <c r="A866" s="173" t="n">
        <v>45787</v>
      </c>
      <c r="B866" s="174" t="n">
        <v>45787</v>
      </c>
      <c r="C866" s="174" t="n">
        <v>1404</v>
      </c>
      <c r="D866" s="174" t="n">
        <v>2</v>
      </c>
      <c r="E866" s="175" t="inlineStr">
        <is>
          <t>1404/02/20</t>
        </is>
      </c>
      <c r="F866" s="128" t="inlineStr">
        <is>
          <t>1404/02</t>
        </is>
      </c>
      <c r="G866" s="58" t="inlineStr">
        <is>
          <t>اردیبهشت</t>
        </is>
      </c>
      <c r="H866" s="128" t="inlineStr">
        <is>
          <t>بهار</t>
        </is>
      </c>
      <c r="I866" s="128" t="inlineStr">
        <is>
          <t>شنبه</t>
        </is>
      </c>
      <c r="J866" s="128" t="inlineStr">
        <is>
          <t>خیر</t>
        </is>
      </c>
    </row>
    <row r="867">
      <c r="A867" s="176" t="n">
        <v>45788</v>
      </c>
      <c r="B867" s="177" t="n">
        <v>45788</v>
      </c>
      <c r="C867" s="177" t="n">
        <v>1404</v>
      </c>
      <c r="D867" s="177" t="n">
        <v>2</v>
      </c>
      <c r="E867" s="178" t="inlineStr">
        <is>
          <t>1404/02/21</t>
        </is>
      </c>
      <c r="F867" s="134" t="inlineStr">
        <is>
          <t>1404/02</t>
        </is>
      </c>
      <c r="G867" s="61" t="inlineStr">
        <is>
          <t>اردیبهشت</t>
        </is>
      </c>
      <c r="H867" s="134" t="inlineStr">
        <is>
          <t>بهار</t>
        </is>
      </c>
      <c r="I867" s="134" t="inlineStr">
        <is>
          <t>یکشنبه</t>
        </is>
      </c>
      <c r="J867" s="134" t="inlineStr">
        <is>
          <t>خیر</t>
        </is>
      </c>
    </row>
    <row r="868">
      <c r="A868" s="173" t="n">
        <v>45789</v>
      </c>
      <c r="B868" s="174" t="n">
        <v>45789</v>
      </c>
      <c r="C868" s="174" t="n">
        <v>1404</v>
      </c>
      <c r="D868" s="174" t="n">
        <v>2</v>
      </c>
      <c r="E868" s="175" t="inlineStr">
        <is>
          <t>1404/02/22</t>
        </is>
      </c>
      <c r="F868" s="128" t="inlineStr">
        <is>
          <t>1404/02</t>
        </is>
      </c>
      <c r="G868" s="58" t="inlineStr">
        <is>
          <t>اردیبهشت</t>
        </is>
      </c>
      <c r="H868" s="128" t="inlineStr">
        <is>
          <t>بهار</t>
        </is>
      </c>
      <c r="I868" s="128" t="inlineStr">
        <is>
          <t>دوشنبه</t>
        </is>
      </c>
      <c r="J868" s="128" t="inlineStr">
        <is>
          <t>بله</t>
        </is>
      </c>
    </row>
    <row r="869">
      <c r="A869" s="176" t="n">
        <v>45790</v>
      </c>
      <c r="B869" s="177" t="n">
        <v>45790</v>
      </c>
      <c r="C869" s="177" t="n">
        <v>1404</v>
      </c>
      <c r="D869" s="177" t="n">
        <v>2</v>
      </c>
      <c r="E869" s="178" t="inlineStr">
        <is>
          <t>1404/02/23</t>
        </is>
      </c>
      <c r="F869" s="134" t="inlineStr">
        <is>
          <t>1404/02</t>
        </is>
      </c>
      <c r="G869" s="61" t="inlineStr">
        <is>
          <t>اردیبهشت</t>
        </is>
      </c>
      <c r="H869" s="134" t="inlineStr">
        <is>
          <t>بهار</t>
        </is>
      </c>
      <c r="I869" s="134" t="inlineStr">
        <is>
          <t>سه‌شنبه</t>
        </is>
      </c>
      <c r="J869" s="134" t="inlineStr">
        <is>
          <t>بله</t>
        </is>
      </c>
    </row>
    <row r="870">
      <c r="A870" s="173" t="n">
        <v>45791</v>
      </c>
      <c r="B870" s="174" t="n">
        <v>45791</v>
      </c>
      <c r="C870" s="174" t="n">
        <v>1404</v>
      </c>
      <c r="D870" s="174" t="n">
        <v>2</v>
      </c>
      <c r="E870" s="175" t="inlineStr">
        <is>
          <t>1404/02/24</t>
        </is>
      </c>
      <c r="F870" s="128" t="inlineStr">
        <is>
          <t>1404/02</t>
        </is>
      </c>
      <c r="G870" s="58" t="inlineStr">
        <is>
          <t>اردیبهشت</t>
        </is>
      </c>
      <c r="H870" s="128" t="inlineStr">
        <is>
          <t>بهار</t>
        </is>
      </c>
      <c r="I870" s="128" t="inlineStr">
        <is>
          <t>چهارشنبه</t>
        </is>
      </c>
      <c r="J870" s="128" t="inlineStr">
        <is>
          <t>بله</t>
        </is>
      </c>
    </row>
    <row r="871">
      <c r="A871" s="176" t="n">
        <v>45792</v>
      </c>
      <c r="B871" s="177" t="n">
        <v>45792</v>
      </c>
      <c r="C871" s="177" t="n">
        <v>1404</v>
      </c>
      <c r="D871" s="177" t="n">
        <v>2</v>
      </c>
      <c r="E871" s="178" t="inlineStr">
        <is>
          <t>1404/02/25</t>
        </is>
      </c>
      <c r="F871" s="134" t="inlineStr">
        <is>
          <t>1404/02</t>
        </is>
      </c>
      <c r="G871" s="61" t="inlineStr">
        <is>
          <t>اردیبهشت</t>
        </is>
      </c>
      <c r="H871" s="134" t="inlineStr">
        <is>
          <t>بهار</t>
        </is>
      </c>
      <c r="I871" s="134" t="inlineStr">
        <is>
          <t>پنجشنبه</t>
        </is>
      </c>
      <c r="J871" s="134" t="inlineStr">
        <is>
          <t>بله</t>
        </is>
      </c>
    </row>
    <row r="872">
      <c r="A872" s="173" t="n">
        <v>45793</v>
      </c>
      <c r="B872" s="174" t="n">
        <v>45793</v>
      </c>
      <c r="C872" s="174" t="n">
        <v>1404</v>
      </c>
      <c r="D872" s="174" t="n">
        <v>2</v>
      </c>
      <c r="E872" s="175" t="inlineStr">
        <is>
          <t>1404/02/26</t>
        </is>
      </c>
      <c r="F872" s="128" t="inlineStr">
        <is>
          <t>1404/02</t>
        </is>
      </c>
      <c r="G872" s="58" t="inlineStr">
        <is>
          <t>اردیبهشت</t>
        </is>
      </c>
      <c r="H872" s="128" t="inlineStr">
        <is>
          <t>بهار</t>
        </is>
      </c>
      <c r="I872" s="128" t="inlineStr">
        <is>
          <t>جمعه</t>
        </is>
      </c>
      <c r="J872" s="128" t="inlineStr">
        <is>
          <t>بله</t>
        </is>
      </c>
    </row>
    <row r="873">
      <c r="A873" s="176" t="n">
        <v>45794</v>
      </c>
      <c r="B873" s="177" t="n">
        <v>45794</v>
      </c>
      <c r="C873" s="177" t="n">
        <v>1404</v>
      </c>
      <c r="D873" s="177" t="n">
        <v>2</v>
      </c>
      <c r="E873" s="178" t="inlineStr">
        <is>
          <t>1404/02/27</t>
        </is>
      </c>
      <c r="F873" s="134" t="inlineStr">
        <is>
          <t>1404/02</t>
        </is>
      </c>
      <c r="G873" s="61" t="inlineStr">
        <is>
          <t>اردیبهشت</t>
        </is>
      </c>
      <c r="H873" s="134" t="inlineStr">
        <is>
          <t>بهار</t>
        </is>
      </c>
      <c r="I873" s="134" t="inlineStr">
        <is>
          <t>شنبه</t>
        </is>
      </c>
      <c r="J873" s="134" t="inlineStr">
        <is>
          <t>خیر</t>
        </is>
      </c>
    </row>
    <row r="874">
      <c r="A874" s="173" t="n">
        <v>45795</v>
      </c>
      <c r="B874" s="174" t="n">
        <v>45795</v>
      </c>
      <c r="C874" s="174" t="n">
        <v>1404</v>
      </c>
      <c r="D874" s="174" t="n">
        <v>2</v>
      </c>
      <c r="E874" s="175" t="inlineStr">
        <is>
          <t>1404/02/28</t>
        </is>
      </c>
      <c r="F874" s="128" t="inlineStr">
        <is>
          <t>1404/02</t>
        </is>
      </c>
      <c r="G874" s="58" t="inlineStr">
        <is>
          <t>اردیبهشت</t>
        </is>
      </c>
      <c r="H874" s="128" t="inlineStr">
        <is>
          <t>بهار</t>
        </is>
      </c>
      <c r="I874" s="128" t="inlineStr">
        <is>
          <t>یکشنبه</t>
        </is>
      </c>
      <c r="J874" s="128" t="inlineStr">
        <is>
          <t>خیر</t>
        </is>
      </c>
    </row>
    <row r="875">
      <c r="A875" s="176" t="n">
        <v>45796</v>
      </c>
      <c r="B875" s="177" t="n">
        <v>45796</v>
      </c>
      <c r="C875" s="177" t="n">
        <v>1404</v>
      </c>
      <c r="D875" s="177" t="n">
        <v>2</v>
      </c>
      <c r="E875" s="178" t="inlineStr">
        <is>
          <t>1404/02/29</t>
        </is>
      </c>
      <c r="F875" s="134" t="inlineStr">
        <is>
          <t>1404/02</t>
        </is>
      </c>
      <c r="G875" s="61" t="inlineStr">
        <is>
          <t>اردیبهشت</t>
        </is>
      </c>
      <c r="H875" s="134" t="inlineStr">
        <is>
          <t>بهار</t>
        </is>
      </c>
      <c r="I875" s="134" t="inlineStr">
        <is>
          <t>دوشنبه</t>
        </is>
      </c>
      <c r="J875" s="134" t="inlineStr">
        <is>
          <t>بله</t>
        </is>
      </c>
    </row>
    <row r="876">
      <c r="A876" s="173" t="n">
        <v>45797</v>
      </c>
      <c r="B876" s="174" t="n">
        <v>45797</v>
      </c>
      <c r="C876" s="174" t="n">
        <v>1404</v>
      </c>
      <c r="D876" s="174" t="n">
        <v>2</v>
      </c>
      <c r="E876" s="175" t="inlineStr">
        <is>
          <t>1404/02/30</t>
        </is>
      </c>
      <c r="F876" s="128" t="inlineStr">
        <is>
          <t>1404/02</t>
        </is>
      </c>
      <c r="G876" s="58" t="inlineStr">
        <is>
          <t>اردیبهشت</t>
        </is>
      </c>
      <c r="H876" s="128" t="inlineStr">
        <is>
          <t>بهار</t>
        </is>
      </c>
      <c r="I876" s="128" t="inlineStr">
        <is>
          <t>سه‌شنبه</t>
        </is>
      </c>
      <c r="J876" s="128" t="inlineStr">
        <is>
          <t>بله</t>
        </is>
      </c>
    </row>
    <row r="877">
      <c r="A877" s="176" t="n">
        <v>45798</v>
      </c>
      <c r="B877" s="177" t="n">
        <v>45798</v>
      </c>
      <c r="C877" s="177" t="n">
        <v>1404</v>
      </c>
      <c r="D877" s="177" t="n">
        <v>2</v>
      </c>
      <c r="E877" s="178" t="inlineStr">
        <is>
          <t>1404/02/31</t>
        </is>
      </c>
      <c r="F877" s="134" t="inlineStr">
        <is>
          <t>1404/02</t>
        </is>
      </c>
      <c r="G877" s="61" t="inlineStr">
        <is>
          <t>اردیبهشت</t>
        </is>
      </c>
      <c r="H877" s="134" t="inlineStr">
        <is>
          <t>بهار</t>
        </is>
      </c>
      <c r="I877" s="134" t="inlineStr">
        <is>
          <t>چهارشنبه</t>
        </is>
      </c>
      <c r="J877" s="134" t="inlineStr">
        <is>
          <t>بله</t>
        </is>
      </c>
    </row>
    <row r="878">
      <c r="A878" s="173" t="n">
        <v>45799</v>
      </c>
      <c r="B878" s="174" t="n">
        <v>45799</v>
      </c>
      <c r="C878" s="174" t="n">
        <v>1404</v>
      </c>
      <c r="D878" s="174" t="n">
        <v>3</v>
      </c>
      <c r="E878" s="175" t="inlineStr">
        <is>
          <t>1404/03/01</t>
        </is>
      </c>
      <c r="F878" s="128" t="inlineStr">
        <is>
          <t>1404/03</t>
        </is>
      </c>
      <c r="G878" s="58" t="inlineStr">
        <is>
          <t>خرداد</t>
        </is>
      </c>
      <c r="H878" s="128" t="inlineStr">
        <is>
          <t>بهار</t>
        </is>
      </c>
      <c r="I878" s="128" t="inlineStr">
        <is>
          <t>پنجشنبه</t>
        </is>
      </c>
      <c r="J878" s="128" t="inlineStr">
        <is>
          <t>بله</t>
        </is>
      </c>
    </row>
    <row r="879">
      <c r="A879" s="176" t="n">
        <v>45800</v>
      </c>
      <c r="B879" s="177" t="n">
        <v>45800</v>
      </c>
      <c r="C879" s="177" t="n">
        <v>1404</v>
      </c>
      <c r="D879" s="177" t="n">
        <v>3</v>
      </c>
      <c r="E879" s="178" t="inlineStr">
        <is>
          <t>1404/03/02</t>
        </is>
      </c>
      <c r="F879" s="134" t="inlineStr">
        <is>
          <t>1404/03</t>
        </is>
      </c>
      <c r="G879" s="61" t="inlineStr">
        <is>
          <t>خرداد</t>
        </is>
      </c>
      <c r="H879" s="134" t="inlineStr">
        <is>
          <t>بهار</t>
        </is>
      </c>
      <c r="I879" s="134" t="inlineStr">
        <is>
          <t>جمعه</t>
        </is>
      </c>
      <c r="J879" s="134" t="inlineStr">
        <is>
          <t>بله</t>
        </is>
      </c>
    </row>
    <row r="880">
      <c r="A880" s="173" t="n">
        <v>45801</v>
      </c>
      <c r="B880" s="174" t="n">
        <v>45801</v>
      </c>
      <c r="C880" s="174" t="n">
        <v>1404</v>
      </c>
      <c r="D880" s="174" t="n">
        <v>3</v>
      </c>
      <c r="E880" s="175" t="inlineStr">
        <is>
          <t>1404/03/03</t>
        </is>
      </c>
      <c r="F880" s="128" t="inlineStr">
        <is>
          <t>1404/03</t>
        </is>
      </c>
      <c r="G880" s="58" t="inlineStr">
        <is>
          <t>خرداد</t>
        </is>
      </c>
      <c r="H880" s="128" t="inlineStr">
        <is>
          <t>بهار</t>
        </is>
      </c>
      <c r="I880" s="128" t="inlineStr">
        <is>
          <t>شنبه</t>
        </is>
      </c>
      <c r="J880" s="128" t="inlineStr">
        <is>
          <t>خیر</t>
        </is>
      </c>
    </row>
    <row r="881">
      <c r="A881" s="176" t="n">
        <v>45802</v>
      </c>
      <c r="B881" s="177" t="n">
        <v>45802</v>
      </c>
      <c r="C881" s="177" t="n">
        <v>1404</v>
      </c>
      <c r="D881" s="177" t="n">
        <v>3</v>
      </c>
      <c r="E881" s="178" t="inlineStr">
        <is>
          <t>1404/03/04</t>
        </is>
      </c>
      <c r="F881" s="134" t="inlineStr">
        <is>
          <t>1404/03</t>
        </is>
      </c>
      <c r="G881" s="61" t="inlineStr">
        <is>
          <t>خرداد</t>
        </is>
      </c>
      <c r="H881" s="134" t="inlineStr">
        <is>
          <t>بهار</t>
        </is>
      </c>
      <c r="I881" s="134" t="inlineStr">
        <is>
          <t>یکشنبه</t>
        </is>
      </c>
      <c r="J881" s="134" t="inlineStr">
        <is>
          <t>خیر</t>
        </is>
      </c>
    </row>
    <row r="882">
      <c r="A882" s="173" t="n">
        <v>45803</v>
      </c>
      <c r="B882" s="174" t="n">
        <v>45803</v>
      </c>
      <c r="C882" s="174" t="n">
        <v>1404</v>
      </c>
      <c r="D882" s="174" t="n">
        <v>3</v>
      </c>
      <c r="E882" s="175" t="inlineStr">
        <is>
          <t>1404/03/05</t>
        </is>
      </c>
      <c r="F882" s="128" t="inlineStr">
        <is>
          <t>1404/03</t>
        </is>
      </c>
      <c r="G882" s="58" t="inlineStr">
        <is>
          <t>خرداد</t>
        </is>
      </c>
      <c r="H882" s="128" t="inlineStr">
        <is>
          <t>بهار</t>
        </is>
      </c>
      <c r="I882" s="128" t="inlineStr">
        <is>
          <t>دوشنبه</t>
        </is>
      </c>
      <c r="J882" s="128" t="inlineStr">
        <is>
          <t>بله</t>
        </is>
      </c>
    </row>
    <row r="883">
      <c r="A883" s="176" t="n">
        <v>45804</v>
      </c>
      <c r="B883" s="177" t="n">
        <v>45804</v>
      </c>
      <c r="C883" s="177" t="n">
        <v>1404</v>
      </c>
      <c r="D883" s="177" t="n">
        <v>3</v>
      </c>
      <c r="E883" s="178" t="inlineStr">
        <is>
          <t>1404/03/06</t>
        </is>
      </c>
      <c r="F883" s="134" t="inlineStr">
        <is>
          <t>1404/03</t>
        </is>
      </c>
      <c r="G883" s="61" t="inlineStr">
        <is>
          <t>خرداد</t>
        </is>
      </c>
      <c r="H883" s="134" t="inlineStr">
        <is>
          <t>بهار</t>
        </is>
      </c>
      <c r="I883" s="134" t="inlineStr">
        <is>
          <t>سه‌شنبه</t>
        </is>
      </c>
      <c r="J883" s="134" t="inlineStr">
        <is>
          <t>بله</t>
        </is>
      </c>
    </row>
    <row r="884">
      <c r="A884" s="173" t="n">
        <v>45805</v>
      </c>
      <c r="B884" s="174" t="n">
        <v>45805</v>
      </c>
      <c r="C884" s="174" t="n">
        <v>1404</v>
      </c>
      <c r="D884" s="174" t="n">
        <v>3</v>
      </c>
      <c r="E884" s="175" t="inlineStr">
        <is>
          <t>1404/03/07</t>
        </is>
      </c>
      <c r="F884" s="128" t="inlineStr">
        <is>
          <t>1404/03</t>
        </is>
      </c>
      <c r="G884" s="58" t="inlineStr">
        <is>
          <t>خرداد</t>
        </is>
      </c>
      <c r="H884" s="128" t="inlineStr">
        <is>
          <t>بهار</t>
        </is>
      </c>
      <c r="I884" s="128" t="inlineStr">
        <is>
          <t>چهارشنبه</t>
        </is>
      </c>
      <c r="J884" s="128" t="inlineStr">
        <is>
          <t>بله</t>
        </is>
      </c>
    </row>
    <row r="885">
      <c r="A885" s="176" t="n">
        <v>45806</v>
      </c>
      <c r="B885" s="177" t="n">
        <v>45806</v>
      </c>
      <c r="C885" s="177" t="n">
        <v>1404</v>
      </c>
      <c r="D885" s="177" t="n">
        <v>3</v>
      </c>
      <c r="E885" s="178" t="inlineStr">
        <is>
          <t>1404/03/08</t>
        </is>
      </c>
      <c r="F885" s="134" t="inlineStr">
        <is>
          <t>1404/03</t>
        </is>
      </c>
      <c r="G885" s="61" t="inlineStr">
        <is>
          <t>خرداد</t>
        </is>
      </c>
      <c r="H885" s="134" t="inlineStr">
        <is>
          <t>بهار</t>
        </is>
      </c>
      <c r="I885" s="134" t="inlineStr">
        <is>
          <t>پنجشنبه</t>
        </is>
      </c>
      <c r="J885" s="134" t="inlineStr">
        <is>
          <t>بله</t>
        </is>
      </c>
    </row>
    <row r="886">
      <c r="A886" s="173" t="n">
        <v>45807</v>
      </c>
      <c r="B886" s="174" t="n">
        <v>45807</v>
      </c>
      <c r="C886" s="174" t="n">
        <v>1404</v>
      </c>
      <c r="D886" s="174" t="n">
        <v>3</v>
      </c>
      <c r="E886" s="175" t="inlineStr">
        <is>
          <t>1404/03/09</t>
        </is>
      </c>
      <c r="F886" s="128" t="inlineStr">
        <is>
          <t>1404/03</t>
        </is>
      </c>
      <c r="G886" s="58" t="inlineStr">
        <is>
          <t>خرداد</t>
        </is>
      </c>
      <c r="H886" s="128" t="inlineStr">
        <is>
          <t>بهار</t>
        </is>
      </c>
      <c r="I886" s="128" t="inlineStr">
        <is>
          <t>جمعه</t>
        </is>
      </c>
      <c r="J886" s="128" t="inlineStr">
        <is>
          <t>بله</t>
        </is>
      </c>
    </row>
    <row r="887">
      <c r="A887" s="176" t="n">
        <v>45808</v>
      </c>
      <c r="B887" s="177" t="n">
        <v>45808</v>
      </c>
      <c r="C887" s="177" t="n">
        <v>1404</v>
      </c>
      <c r="D887" s="177" t="n">
        <v>3</v>
      </c>
      <c r="E887" s="178" t="inlineStr">
        <is>
          <t>1404/03/10</t>
        </is>
      </c>
      <c r="F887" s="134" t="inlineStr">
        <is>
          <t>1404/03</t>
        </is>
      </c>
      <c r="G887" s="61" t="inlineStr">
        <is>
          <t>خرداد</t>
        </is>
      </c>
      <c r="H887" s="134" t="inlineStr">
        <is>
          <t>بهار</t>
        </is>
      </c>
      <c r="I887" s="134" t="inlineStr">
        <is>
          <t>شنبه</t>
        </is>
      </c>
      <c r="J887" s="134" t="inlineStr">
        <is>
          <t>خیر</t>
        </is>
      </c>
    </row>
    <row r="888">
      <c r="A888" s="173" t="n">
        <v>45809</v>
      </c>
      <c r="B888" s="174" t="n">
        <v>45809</v>
      </c>
      <c r="C888" s="174" t="n">
        <v>1404</v>
      </c>
      <c r="D888" s="174" t="n">
        <v>3</v>
      </c>
      <c r="E888" s="175" t="inlineStr">
        <is>
          <t>1404/03/11</t>
        </is>
      </c>
      <c r="F888" s="128" t="inlineStr">
        <is>
          <t>1404/03</t>
        </is>
      </c>
      <c r="G888" s="58" t="inlineStr">
        <is>
          <t>خرداد</t>
        </is>
      </c>
      <c r="H888" s="128" t="inlineStr">
        <is>
          <t>بهار</t>
        </is>
      </c>
      <c r="I888" s="128" t="inlineStr">
        <is>
          <t>یکشنبه</t>
        </is>
      </c>
      <c r="J888" s="128" t="inlineStr">
        <is>
          <t>خیر</t>
        </is>
      </c>
    </row>
    <row r="889">
      <c r="A889" s="176" t="n">
        <v>45810</v>
      </c>
      <c r="B889" s="177" t="n">
        <v>45810</v>
      </c>
      <c r="C889" s="177" t="n">
        <v>1404</v>
      </c>
      <c r="D889" s="177" t="n">
        <v>3</v>
      </c>
      <c r="E889" s="178" t="inlineStr">
        <is>
          <t>1404/03/12</t>
        </is>
      </c>
      <c r="F889" s="134" t="inlineStr">
        <is>
          <t>1404/03</t>
        </is>
      </c>
      <c r="G889" s="61" t="inlineStr">
        <is>
          <t>خرداد</t>
        </is>
      </c>
      <c r="H889" s="134" t="inlineStr">
        <is>
          <t>بهار</t>
        </is>
      </c>
      <c r="I889" s="134" t="inlineStr">
        <is>
          <t>دوشنبه</t>
        </is>
      </c>
      <c r="J889" s="134" t="inlineStr">
        <is>
          <t>بله</t>
        </is>
      </c>
    </row>
    <row r="890">
      <c r="A890" s="173" t="n">
        <v>45811</v>
      </c>
      <c r="B890" s="174" t="n">
        <v>45811</v>
      </c>
      <c r="C890" s="174" t="n">
        <v>1404</v>
      </c>
      <c r="D890" s="174" t="n">
        <v>3</v>
      </c>
      <c r="E890" s="175" t="inlineStr">
        <is>
          <t>1404/03/13</t>
        </is>
      </c>
      <c r="F890" s="128" t="inlineStr">
        <is>
          <t>1404/03</t>
        </is>
      </c>
      <c r="G890" s="58" t="inlineStr">
        <is>
          <t>خرداد</t>
        </is>
      </c>
      <c r="H890" s="128" t="inlineStr">
        <is>
          <t>بهار</t>
        </is>
      </c>
      <c r="I890" s="128" t="inlineStr">
        <is>
          <t>سه‌شنبه</t>
        </is>
      </c>
      <c r="J890" s="128" t="inlineStr">
        <is>
          <t>بله</t>
        </is>
      </c>
    </row>
    <row r="891">
      <c r="A891" s="176" t="n">
        <v>45812</v>
      </c>
      <c r="B891" s="177" t="n">
        <v>45812</v>
      </c>
      <c r="C891" s="177" t="n">
        <v>1404</v>
      </c>
      <c r="D891" s="177" t="n">
        <v>3</v>
      </c>
      <c r="E891" s="178" t="inlineStr">
        <is>
          <t>1404/03/14</t>
        </is>
      </c>
      <c r="F891" s="134" t="inlineStr">
        <is>
          <t>1404/03</t>
        </is>
      </c>
      <c r="G891" s="61" t="inlineStr">
        <is>
          <t>خرداد</t>
        </is>
      </c>
      <c r="H891" s="134" t="inlineStr">
        <is>
          <t>بهار</t>
        </is>
      </c>
      <c r="I891" s="134" t="inlineStr">
        <is>
          <t>چهارشنبه</t>
        </is>
      </c>
      <c r="J891" s="134" t="inlineStr">
        <is>
          <t>بله</t>
        </is>
      </c>
    </row>
    <row r="892">
      <c r="A892" s="173" t="n">
        <v>45813</v>
      </c>
      <c r="B892" s="174" t="n">
        <v>45813</v>
      </c>
      <c r="C892" s="174" t="n">
        <v>1404</v>
      </c>
      <c r="D892" s="174" t="n">
        <v>3</v>
      </c>
      <c r="E892" s="175" t="inlineStr">
        <is>
          <t>1404/03/15</t>
        </is>
      </c>
      <c r="F892" s="128" t="inlineStr">
        <is>
          <t>1404/03</t>
        </is>
      </c>
      <c r="G892" s="58" t="inlineStr">
        <is>
          <t>خرداد</t>
        </is>
      </c>
      <c r="H892" s="128" t="inlineStr">
        <is>
          <t>بهار</t>
        </is>
      </c>
      <c r="I892" s="128" t="inlineStr">
        <is>
          <t>پنجشنبه</t>
        </is>
      </c>
      <c r="J892" s="128" t="inlineStr">
        <is>
          <t>بله</t>
        </is>
      </c>
    </row>
    <row r="893">
      <c r="A893" s="176" t="n">
        <v>45814</v>
      </c>
      <c r="B893" s="177" t="n">
        <v>45814</v>
      </c>
      <c r="C893" s="177" t="n">
        <v>1404</v>
      </c>
      <c r="D893" s="177" t="n">
        <v>3</v>
      </c>
      <c r="E893" s="178" t="inlineStr">
        <is>
          <t>1404/03/16</t>
        </is>
      </c>
      <c r="F893" s="134" t="inlineStr">
        <is>
          <t>1404/03</t>
        </is>
      </c>
      <c r="G893" s="61" t="inlineStr">
        <is>
          <t>خرداد</t>
        </is>
      </c>
      <c r="H893" s="134" t="inlineStr">
        <is>
          <t>بهار</t>
        </is>
      </c>
      <c r="I893" s="134" t="inlineStr">
        <is>
          <t>جمعه</t>
        </is>
      </c>
      <c r="J893" s="134" t="inlineStr">
        <is>
          <t>بله</t>
        </is>
      </c>
    </row>
    <row r="894">
      <c r="A894" s="173" t="n">
        <v>45815</v>
      </c>
      <c r="B894" s="174" t="n">
        <v>45815</v>
      </c>
      <c r="C894" s="174" t="n">
        <v>1404</v>
      </c>
      <c r="D894" s="174" t="n">
        <v>3</v>
      </c>
      <c r="E894" s="175" t="inlineStr">
        <is>
          <t>1404/03/17</t>
        </is>
      </c>
      <c r="F894" s="128" t="inlineStr">
        <is>
          <t>1404/03</t>
        </is>
      </c>
      <c r="G894" s="58" t="inlineStr">
        <is>
          <t>خرداد</t>
        </is>
      </c>
      <c r="H894" s="128" t="inlineStr">
        <is>
          <t>بهار</t>
        </is>
      </c>
      <c r="I894" s="128" t="inlineStr">
        <is>
          <t>شنبه</t>
        </is>
      </c>
      <c r="J894" s="128" t="inlineStr">
        <is>
          <t>خیر</t>
        </is>
      </c>
    </row>
    <row r="895">
      <c r="A895" s="176" t="n">
        <v>45816</v>
      </c>
      <c r="B895" s="177" t="n">
        <v>45816</v>
      </c>
      <c r="C895" s="177" t="n">
        <v>1404</v>
      </c>
      <c r="D895" s="177" t="n">
        <v>3</v>
      </c>
      <c r="E895" s="178" t="inlineStr">
        <is>
          <t>1404/03/18</t>
        </is>
      </c>
      <c r="F895" s="134" t="inlineStr">
        <is>
          <t>1404/03</t>
        </is>
      </c>
      <c r="G895" s="61" t="inlineStr">
        <is>
          <t>خرداد</t>
        </is>
      </c>
      <c r="H895" s="134" t="inlineStr">
        <is>
          <t>بهار</t>
        </is>
      </c>
      <c r="I895" s="134" t="inlineStr">
        <is>
          <t>یکشنبه</t>
        </is>
      </c>
      <c r="J895" s="134" t="inlineStr">
        <is>
          <t>خیر</t>
        </is>
      </c>
    </row>
    <row r="896">
      <c r="A896" s="173" t="n">
        <v>45817</v>
      </c>
      <c r="B896" s="174" t="n">
        <v>45817</v>
      </c>
      <c r="C896" s="174" t="n">
        <v>1404</v>
      </c>
      <c r="D896" s="174" t="n">
        <v>3</v>
      </c>
      <c r="E896" s="175" t="inlineStr">
        <is>
          <t>1404/03/19</t>
        </is>
      </c>
      <c r="F896" s="128" t="inlineStr">
        <is>
          <t>1404/03</t>
        </is>
      </c>
      <c r="G896" s="58" t="inlineStr">
        <is>
          <t>خرداد</t>
        </is>
      </c>
      <c r="H896" s="128" t="inlineStr">
        <is>
          <t>بهار</t>
        </is>
      </c>
      <c r="I896" s="128" t="inlineStr">
        <is>
          <t>دوشنبه</t>
        </is>
      </c>
      <c r="J896" s="128" t="inlineStr">
        <is>
          <t>بله</t>
        </is>
      </c>
    </row>
    <row r="897">
      <c r="A897" s="176" t="n">
        <v>45818</v>
      </c>
      <c r="B897" s="177" t="n">
        <v>45818</v>
      </c>
      <c r="C897" s="177" t="n">
        <v>1404</v>
      </c>
      <c r="D897" s="177" t="n">
        <v>3</v>
      </c>
      <c r="E897" s="178" t="inlineStr">
        <is>
          <t>1404/03/20</t>
        </is>
      </c>
      <c r="F897" s="134" t="inlineStr">
        <is>
          <t>1404/03</t>
        </is>
      </c>
      <c r="G897" s="61" t="inlineStr">
        <is>
          <t>خرداد</t>
        </is>
      </c>
      <c r="H897" s="134" t="inlineStr">
        <is>
          <t>بهار</t>
        </is>
      </c>
      <c r="I897" s="134" t="inlineStr">
        <is>
          <t>سه‌شنبه</t>
        </is>
      </c>
      <c r="J897" s="134" t="inlineStr">
        <is>
          <t>بله</t>
        </is>
      </c>
    </row>
    <row r="898">
      <c r="A898" s="173" t="n">
        <v>45819</v>
      </c>
      <c r="B898" s="174" t="n">
        <v>45819</v>
      </c>
      <c r="C898" s="174" t="n">
        <v>1404</v>
      </c>
      <c r="D898" s="174" t="n">
        <v>3</v>
      </c>
      <c r="E898" s="175" t="inlineStr">
        <is>
          <t>1404/03/21</t>
        </is>
      </c>
      <c r="F898" s="128" t="inlineStr">
        <is>
          <t>1404/03</t>
        </is>
      </c>
      <c r="G898" s="58" t="inlineStr">
        <is>
          <t>خرداد</t>
        </is>
      </c>
      <c r="H898" s="128" t="inlineStr">
        <is>
          <t>بهار</t>
        </is>
      </c>
      <c r="I898" s="128" t="inlineStr">
        <is>
          <t>چهارشنبه</t>
        </is>
      </c>
      <c r="J898" s="128" t="inlineStr">
        <is>
          <t>بله</t>
        </is>
      </c>
    </row>
    <row r="899">
      <c r="A899" s="176" t="n">
        <v>45820</v>
      </c>
      <c r="B899" s="177" t="n">
        <v>45820</v>
      </c>
      <c r="C899" s="177" t="n">
        <v>1404</v>
      </c>
      <c r="D899" s="177" t="n">
        <v>3</v>
      </c>
      <c r="E899" s="178" t="inlineStr">
        <is>
          <t>1404/03/22</t>
        </is>
      </c>
      <c r="F899" s="134" t="inlineStr">
        <is>
          <t>1404/03</t>
        </is>
      </c>
      <c r="G899" s="61" t="inlineStr">
        <is>
          <t>خرداد</t>
        </is>
      </c>
      <c r="H899" s="134" t="inlineStr">
        <is>
          <t>بهار</t>
        </is>
      </c>
      <c r="I899" s="134" t="inlineStr">
        <is>
          <t>پنجشنبه</t>
        </is>
      </c>
      <c r="J899" s="134" t="inlineStr">
        <is>
          <t>بله</t>
        </is>
      </c>
    </row>
    <row r="900">
      <c r="A900" s="173" t="n">
        <v>45821</v>
      </c>
      <c r="B900" s="174" t="n">
        <v>45821</v>
      </c>
      <c r="C900" s="174" t="n">
        <v>1404</v>
      </c>
      <c r="D900" s="174" t="n">
        <v>3</v>
      </c>
      <c r="E900" s="175" t="inlineStr">
        <is>
          <t>1404/03/23</t>
        </is>
      </c>
      <c r="F900" s="128" t="inlineStr">
        <is>
          <t>1404/03</t>
        </is>
      </c>
      <c r="G900" s="58" t="inlineStr">
        <is>
          <t>خرداد</t>
        </is>
      </c>
      <c r="H900" s="128" t="inlineStr">
        <is>
          <t>بهار</t>
        </is>
      </c>
      <c r="I900" s="128" t="inlineStr">
        <is>
          <t>جمعه</t>
        </is>
      </c>
      <c r="J900" s="128" t="inlineStr">
        <is>
          <t>بله</t>
        </is>
      </c>
    </row>
    <row r="901">
      <c r="A901" s="176" t="n">
        <v>45822</v>
      </c>
      <c r="B901" s="177" t="n">
        <v>45822</v>
      </c>
      <c r="C901" s="177" t="n">
        <v>1404</v>
      </c>
      <c r="D901" s="177" t="n">
        <v>3</v>
      </c>
      <c r="E901" s="178" t="inlineStr">
        <is>
          <t>1404/03/24</t>
        </is>
      </c>
      <c r="F901" s="134" t="inlineStr">
        <is>
          <t>1404/03</t>
        </is>
      </c>
      <c r="G901" s="61" t="inlineStr">
        <is>
          <t>خرداد</t>
        </is>
      </c>
      <c r="H901" s="134" t="inlineStr">
        <is>
          <t>بهار</t>
        </is>
      </c>
      <c r="I901" s="134" t="inlineStr">
        <is>
          <t>شنبه</t>
        </is>
      </c>
      <c r="J901" s="134" t="inlineStr">
        <is>
          <t>خیر</t>
        </is>
      </c>
    </row>
    <row r="902">
      <c r="A902" s="173" t="n">
        <v>45823</v>
      </c>
      <c r="B902" s="174" t="n">
        <v>45823</v>
      </c>
      <c r="C902" s="174" t="n">
        <v>1404</v>
      </c>
      <c r="D902" s="174" t="n">
        <v>3</v>
      </c>
      <c r="E902" s="175" t="inlineStr">
        <is>
          <t>1404/03/25</t>
        </is>
      </c>
      <c r="F902" s="128" t="inlineStr">
        <is>
          <t>1404/03</t>
        </is>
      </c>
      <c r="G902" s="58" t="inlineStr">
        <is>
          <t>خرداد</t>
        </is>
      </c>
      <c r="H902" s="128" t="inlineStr">
        <is>
          <t>بهار</t>
        </is>
      </c>
      <c r="I902" s="128" t="inlineStr">
        <is>
          <t>یکشنبه</t>
        </is>
      </c>
      <c r="J902" s="128" t="inlineStr">
        <is>
          <t>خیر</t>
        </is>
      </c>
    </row>
    <row r="903">
      <c r="A903" s="176" t="n">
        <v>45824</v>
      </c>
      <c r="B903" s="177" t="n">
        <v>45824</v>
      </c>
      <c r="C903" s="177" t="n">
        <v>1404</v>
      </c>
      <c r="D903" s="177" t="n">
        <v>3</v>
      </c>
      <c r="E903" s="178" t="inlineStr">
        <is>
          <t>1404/03/26</t>
        </is>
      </c>
      <c r="F903" s="134" t="inlineStr">
        <is>
          <t>1404/03</t>
        </is>
      </c>
      <c r="G903" s="61" t="inlineStr">
        <is>
          <t>خرداد</t>
        </is>
      </c>
      <c r="H903" s="134" t="inlineStr">
        <is>
          <t>بهار</t>
        </is>
      </c>
      <c r="I903" s="134" t="inlineStr">
        <is>
          <t>دوشنبه</t>
        </is>
      </c>
      <c r="J903" s="134" t="inlineStr">
        <is>
          <t>بله</t>
        </is>
      </c>
    </row>
    <row r="904">
      <c r="A904" s="173" t="n">
        <v>45825</v>
      </c>
      <c r="B904" s="174" t="n">
        <v>45825</v>
      </c>
      <c r="C904" s="174" t="n">
        <v>1404</v>
      </c>
      <c r="D904" s="174" t="n">
        <v>3</v>
      </c>
      <c r="E904" s="175" t="inlineStr">
        <is>
          <t>1404/03/27</t>
        </is>
      </c>
      <c r="F904" s="128" t="inlineStr">
        <is>
          <t>1404/03</t>
        </is>
      </c>
      <c r="G904" s="58" t="inlineStr">
        <is>
          <t>خرداد</t>
        </is>
      </c>
      <c r="H904" s="128" t="inlineStr">
        <is>
          <t>بهار</t>
        </is>
      </c>
      <c r="I904" s="128" t="inlineStr">
        <is>
          <t>سه‌شنبه</t>
        </is>
      </c>
      <c r="J904" s="128" t="inlineStr">
        <is>
          <t>بله</t>
        </is>
      </c>
    </row>
    <row r="905">
      <c r="A905" s="176" t="n">
        <v>45826</v>
      </c>
      <c r="B905" s="177" t="n">
        <v>45826</v>
      </c>
      <c r="C905" s="177" t="n">
        <v>1404</v>
      </c>
      <c r="D905" s="177" t="n">
        <v>3</v>
      </c>
      <c r="E905" s="178" t="inlineStr">
        <is>
          <t>1404/03/28</t>
        </is>
      </c>
      <c r="F905" s="134" t="inlineStr">
        <is>
          <t>1404/03</t>
        </is>
      </c>
      <c r="G905" s="61" t="inlineStr">
        <is>
          <t>خرداد</t>
        </is>
      </c>
      <c r="H905" s="134" t="inlineStr">
        <is>
          <t>بهار</t>
        </is>
      </c>
      <c r="I905" s="134" t="inlineStr">
        <is>
          <t>چهارشنبه</t>
        </is>
      </c>
      <c r="J905" s="134" t="inlineStr">
        <is>
          <t>بله</t>
        </is>
      </c>
    </row>
    <row r="906">
      <c r="A906" s="173" t="n">
        <v>45827</v>
      </c>
      <c r="B906" s="174" t="n">
        <v>45827</v>
      </c>
      <c r="C906" s="174" t="n">
        <v>1404</v>
      </c>
      <c r="D906" s="174" t="n">
        <v>3</v>
      </c>
      <c r="E906" s="175" t="inlineStr">
        <is>
          <t>1404/03/29</t>
        </is>
      </c>
      <c r="F906" s="128" t="inlineStr">
        <is>
          <t>1404/03</t>
        </is>
      </c>
      <c r="G906" s="58" t="inlineStr">
        <is>
          <t>خرداد</t>
        </is>
      </c>
      <c r="H906" s="128" t="inlineStr">
        <is>
          <t>بهار</t>
        </is>
      </c>
      <c r="I906" s="128" t="inlineStr">
        <is>
          <t>پنجشنبه</t>
        </is>
      </c>
      <c r="J906" s="128" t="inlineStr">
        <is>
          <t>بله</t>
        </is>
      </c>
    </row>
    <row r="907">
      <c r="A907" s="176" t="n">
        <v>45828</v>
      </c>
      <c r="B907" s="177" t="n">
        <v>45828</v>
      </c>
      <c r="C907" s="177" t="n">
        <v>1404</v>
      </c>
      <c r="D907" s="177" t="n">
        <v>3</v>
      </c>
      <c r="E907" s="178" t="inlineStr">
        <is>
          <t>1404/03/30</t>
        </is>
      </c>
      <c r="F907" s="134" t="inlineStr">
        <is>
          <t>1404/03</t>
        </is>
      </c>
      <c r="G907" s="61" t="inlineStr">
        <is>
          <t>خرداد</t>
        </is>
      </c>
      <c r="H907" s="134" t="inlineStr">
        <is>
          <t>بهار</t>
        </is>
      </c>
      <c r="I907" s="134" t="inlineStr">
        <is>
          <t>جمعه</t>
        </is>
      </c>
      <c r="J907" s="134" t="inlineStr">
        <is>
          <t>بله</t>
        </is>
      </c>
    </row>
    <row r="908">
      <c r="A908" s="173" t="n">
        <v>45829</v>
      </c>
      <c r="B908" s="174" t="n">
        <v>45829</v>
      </c>
      <c r="C908" s="174" t="n">
        <v>1404</v>
      </c>
      <c r="D908" s="174" t="n">
        <v>3</v>
      </c>
      <c r="E908" s="175" t="inlineStr">
        <is>
          <t>1404/03/31</t>
        </is>
      </c>
      <c r="F908" s="128" t="inlineStr">
        <is>
          <t>1404/03</t>
        </is>
      </c>
      <c r="G908" s="58" t="inlineStr">
        <is>
          <t>خرداد</t>
        </is>
      </c>
      <c r="H908" s="128" t="inlineStr">
        <is>
          <t>بهار</t>
        </is>
      </c>
      <c r="I908" s="128" t="inlineStr">
        <is>
          <t>شنبه</t>
        </is>
      </c>
      <c r="J908" s="128" t="inlineStr">
        <is>
          <t>خیر</t>
        </is>
      </c>
    </row>
    <row r="909">
      <c r="A909" s="176" t="n">
        <v>45830</v>
      </c>
      <c r="B909" s="177" t="n">
        <v>45830</v>
      </c>
      <c r="C909" s="177" t="n">
        <v>1404</v>
      </c>
      <c r="D909" s="177" t="n">
        <v>4</v>
      </c>
      <c r="E909" s="178" t="inlineStr">
        <is>
          <t>1404/04/01</t>
        </is>
      </c>
      <c r="F909" s="134" t="inlineStr">
        <is>
          <t>1404/04</t>
        </is>
      </c>
      <c r="G909" s="61" t="inlineStr">
        <is>
          <t>تیر</t>
        </is>
      </c>
      <c r="H909" s="134" t="inlineStr">
        <is>
          <t>تابستان</t>
        </is>
      </c>
      <c r="I909" s="134" t="inlineStr">
        <is>
          <t>یکشنبه</t>
        </is>
      </c>
      <c r="J909" s="134" t="inlineStr">
        <is>
          <t>خیر</t>
        </is>
      </c>
    </row>
    <row r="910">
      <c r="A910" s="173" t="n">
        <v>45831</v>
      </c>
      <c r="B910" s="174" t="n">
        <v>45831</v>
      </c>
      <c r="C910" s="174" t="n">
        <v>1404</v>
      </c>
      <c r="D910" s="174" t="n">
        <v>4</v>
      </c>
      <c r="E910" s="175" t="inlineStr">
        <is>
          <t>1404/04/02</t>
        </is>
      </c>
      <c r="F910" s="128" t="inlineStr">
        <is>
          <t>1404/04</t>
        </is>
      </c>
      <c r="G910" s="58" t="inlineStr">
        <is>
          <t>تیر</t>
        </is>
      </c>
      <c r="H910" s="128" t="inlineStr">
        <is>
          <t>تابستان</t>
        </is>
      </c>
      <c r="I910" s="128" t="inlineStr">
        <is>
          <t>دوشنبه</t>
        </is>
      </c>
      <c r="J910" s="128" t="inlineStr">
        <is>
          <t>بله</t>
        </is>
      </c>
    </row>
    <row r="911">
      <c r="A911" s="176" t="n">
        <v>45832</v>
      </c>
      <c r="B911" s="177" t="n">
        <v>45832</v>
      </c>
      <c r="C911" s="177" t="n">
        <v>1404</v>
      </c>
      <c r="D911" s="177" t="n">
        <v>4</v>
      </c>
      <c r="E911" s="178" t="inlineStr">
        <is>
          <t>1404/04/03</t>
        </is>
      </c>
      <c r="F911" s="134" t="inlineStr">
        <is>
          <t>1404/04</t>
        </is>
      </c>
      <c r="G911" s="61" t="inlineStr">
        <is>
          <t>تیر</t>
        </is>
      </c>
      <c r="H911" s="134" t="inlineStr">
        <is>
          <t>تابستان</t>
        </is>
      </c>
      <c r="I911" s="134" t="inlineStr">
        <is>
          <t>سه‌شنبه</t>
        </is>
      </c>
      <c r="J911" s="134" t="inlineStr">
        <is>
          <t>بله</t>
        </is>
      </c>
    </row>
    <row r="912">
      <c r="A912" s="173" t="n">
        <v>45833</v>
      </c>
      <c r="B912" s="174" t="n">
        <v>45833</v>
      </c>
      <c r="C912" s="174" t="n">
        <v>1404</v>
      </c>
      <c r="D912" s="174" t="n">
        <v>4</v>
      </c>
      <c r="E912" s="175" t="inlineStr">
        <is>
          <t>1404/04/04</t>
        </is>
      </c>
      <c r="F912" s="128" t="inlineStr">
        <is>
          <t>1404/04</t>
        </is>
      </c>
      <c r="G912" s="58" t="inlineStr">
        <is>
          <t>تیر</t>
        </is>
      </c>
      <c r="H912" s="128" t="inlineStr">
        <is>
          <t>تابستان</t>
        </is>
      </c>
      <c r="I912" s="128" t="inlineStr">
        <is>
          <t>چهارشنبه</t>
        </is>
      </c>
      <c r="J912" s="128" t="inlineStr">
        <is>
          <t>بله</t>
        </is>
      </c>
    </row>
    <row r="913">
      <c r="A913" s="176" t="n">
        <v>45834</v>
      </c>
      <c r="B913" s="177" t="n">
        <v>45834</v>
      </c>
      <c r="C913" s="177" t="n">
        <v>1404</v>
      </c>
      <c r="D913" s="177" t="n">
        <v>4</v>
      </c>
      <c r="E913" s="178" t="inlineStr">
        <is>
          <t>1404/04/05</t>
        </is>
      </c>
      <c r="F913" s="134" t="inlineStr">
        <is>
          <t>1404/04</t>
        </is>
      </c>
      <c r="G913" s="61" t="inlineStr">
        <is>
          <t>تیر</t>
        </is>
      </c>
      <c r="H913" s="134" t="inlineStr">
        <is>
          <t>تابستان</t>
        </is>
      </c>
      <c r="I913" s="134" t="inlineStr">
        <is>
          <t>پنجشنبه</t>
        </is>
      </c>
      <c r="J913" s="134" t="inlineStr">
        <is>
          <t>بله</t>
        </is>
      </c>
    </row>
    <row r="914">
      <c r="A914" s="173" t="n">
        <v>45835</v>
      </c>
      <c r="B914" s="174" t="n">
        <v>45835</v>
      </c>
      <c r="C914" s="174" t="n">
        <v>1404</v>
      </c>
      <c r="D914" s="174" t="n">
        <v>4</v>
      </c>
      <c r="E914" s="175" t="inlineStr">
        <is>
          <t>1404/04/06</t>
        </is>
      </c>
      <c r="F914" s="128" t="inlineStr">
        <is>
          <t>1404/04</t>
        </is>
      </c>
      <c r="G914" s="58" t="inlineStr">
        <is>
          <t>تیر</t>
        </is>
      </c>
      <c r="H914" s="128" t="inlineStr">
        <is>
          <t>تابستان</t>
        </is>
      </c>
      <c r="I914" s="128" t="inlineStr">
        <is>
          <t>جمعه</t>
        </is>
      </c>
      <c r="J914" s="128" t="inlineStr">
        <is>
          <t>بله</t>
        </is>
      </c>
    </row>
    <row r="915">
      <c r="A915" s="176" t="n">
        <v>45836</v>
      </c>
      <c r="B915" s="177" t="n">
        <v>45836</v>
      </c>
      <c r="C915" s="177" t="n">
        <v>1404</v>
      </c>
      <c r="D915" s="177" t="n">
        <v>4</v>
      </c>
      <c r="E915" s="178" t="inlineStr">
        <is>
          <t>1404/04/07</t>
        </is>
      </c>
      <c r="F915" s="134" t="inlineStr">
        <is>
          <t>1404/04</t>
        </is>
      </c>
      <c r="G915" s="61" t="inlineStr">
        <is>
          <t>تیر</t>
        </is>
      </c>
      <c r="H915" s="134" t="inlineStr">
        <is>
          <t>تابستان</t>
        </is>
      </c>
      <c r="I915" s="134" t="inlineStr">
        <is>
          <t>شنبه</t>
        </is>
      </c>
      <c r="J915" s="134" t="inlineStr">
        <is>
          <t>خیر</t>
        </is>
      </c>
    </row>
    <row r="916">
      <c r="A916" s="173" t="n">
        <v>45837</v>
      </c>
      <c r="B916" s="174" t="n">
        <v>45837</v>
      </c>
      <c r="C916" s="174" t="n">
        <v>1404</v>
      </c>
      <c r="D916" s="174" t="n">
        <v>4</v>
      </c>
      <c r="E916" s="175" t="inlineStr">
        <is>
          <t>1404/04/08</t>
        </is>
      </c>
      <c r="F916" s="128" t="inlineStr">
        <is>
          <t>1404/04</t>
        </is>
      </c>
      <c r="G916" s="58" t="inlineStr">
        <is>
          <t>تیر</t>
        </is>
      </c>
      <c r="H916" s="128" t="inlineStr">
        <is>
          <t>تابستان</t>
        </is>
      </c>
      <c r="I916" s="128" t="inlineStr">
        <is>
          <t>یکشنبه</t>
        </is>
      </c>
      <c r="J916" s="128" t="inlineStr">
        <is>
          <t>خیر</t>
        </is>
      </c>
    </row>
    <row r="917">
      <c r="A917" s="176" t="n">
        <v>45838</v>
      </c>
      <c r="B917" s="177" t="n">
        <v>45838</v>
      </c>
      <c r="C917" s="177" t="n">
        <v>1404</v>
      </c>
      <c r="D917" s="177" t="n">
        <v>4</v>
      </c>
      <c r="E917" s="178" t="inlineStr">
        <is>
          <t>1404/04/09</t>
        </is>
      </c>
      <c r="F917" s="134" t="inlineStr">
        <is>
          <t>1404/04</t>
        </is>
      </c>
      <c r="G917" s="61" t="inlineStr">
        <is>
          <t>تیر</t>
        </is>
      </c>
      <c r="H917" s="134" t="inlineStr">
        <is>
          <t>تابستان</t>
        </is>
      </c>
      <c r="I917" s="134" t="inlineStr">
        <is>
          <t>دوشنبه</t>
        </is>
      </c>
      <c r="J917" s="134" t="inlineStr">
        <is>
          <t>بله</t>
        </is>
      </c>
    </row>
    <row r="918">
      <c r="A918" s="173" t="n">
        <v>45839</v>
      </c>
      <c r="B918" s="174" t="n">
        <v>45839</v>
      </c>
      <c r="C918" s="174" t="n">
        <v>1404</v>
      </c>
      <c r="D918" s="174" t="n">
        <v>4</v>
      </c>
      <c r="E918" s="175" t="inlineStr">
        <is>
          <t>1404/04/10</t>
        </is>
      </c>
      <c r="F918" s="128" t="inlineStr">
        <is>
          <t>1404/04</t>
        </is>
      </c>
      <c r="G918" s="58" t="inlineStr">
        <is>
          <t>تیر</t>
        </is>
      </c>
      <c r="H918" s="128" t="inlineStr">
        <is>
          <t>تابستان</t>
        </is>
      </c>
      <c r="I918" s="128" t="inlineStr">
        <is>
          <t>سه‌شنبه</t>
        </is>
      </c>
      <c r="J918" s="128" t="inlineStr">
        <is>
          <t>بله</t>
        </is>
      </c>
    </row>
    <row r="919">
      <c r="A919" s="176" t="n">
        <v>45840</v>
      </c>
      <c r="B919" s="177" t="n">
        <v>45840</v>
      </c>
      <c r="C919" s="177" t="n">
        <v>1404</v>
      </c>
      <c r="D919" s="177" t="n">
        <v>4</v>
      </c>
      <c r="E919" s="178" t="inlineStr">
        <is>
          <t>1404/04/11</t>
        </is>
      </c>
      <c r="F919" s="134" t="inlineStr">
        <is>
          <t>1404/04</t>
        </is>
      </c>
      <c r="G919" s="61" t="inlineStr">
        <is>
          <t>تیر</t>
        </is>
      </c>
      <c r="H919" s="134" t="inlineStr">
        <is>
          <t>تابستان</t>
        </is>
      </c>
      <c r="I919" s="134" t="inlineStr">
        <is>
          <t>چهارشنبه</t>
        </is>
      </c>
      <c r="J919" s="134" t="inlineStr">
        <is>
          <t>بله</t>
        </is>
      </c>
    </row>
    <row r="920">
      <c r="A920" s="173" t="n">
        <v>45841</v>
      </c>
      <c r="B920" s="174" t="n">
        <v>45841</v>
      </c>
      <c r="C920" s="174" t="n">
        <v>1404</v>
      </c>
      <c r="D920" s="174" t="n">
        <v>4</v>
      </c>
      <c r="E920" s="175" t="inlineStr">
        <is>
          <t>1404/04/12</t>
        </is>
      </c>
      <c r="F920" s="128" t="inlineStr">
        <is>
          <t>1404/04</t>
        </is>
      </c>
      <c r="G920" s="58" t="inlineStr">
        <is>
          <t>تیر</t>
        </is>
      </c>
      <c r="H920" s="128" t="inlineStr">
        <is>
          <t>تابستان</t>
        </is>
      </c>
      <c r="I920" s="128" t="inlineStr">
        <is>
          <t>پنجشنبه</t>
        </is>
      </c>
      <c r="J920" s="128" t="inlineStr">
        <is>
          <t>بله</t>
        </is>
      </c>
    </row>
    <row r="921">
      <c r="A921" s="176" t="n">
        <v>45842</v>
      </c>
      <c r="B921" s="177" t="n">
        <v>45842</v>
      </c>
      <c r="C921" s="177" t="n">
        <v>1404</v>
      </c>
      <c r="D921" s="177" t="n">
        <v>4</v>
      </c>
      <c r="E921" s="178" t="inlineStr">
        <is>
          <t>1404/04/13</t>
        </is>
      </c>
      <c r="F921" s="134" t="inlineStr">
        <is>
          <t>1404/04</t>
        </is>
      </c>
      <c r="G921" s="61" t="inlineStr">
        <is>
          <t>تیر</t>
        </is>
      </c>
      <c r="H921" s="134" t="inlineStr">
        <is>
          <t>تابستان</t>
        </is>
      </c>
      <c r="I921" s="134" t="inlineStr">
        <is>
          <t>جمعه</t>
        </is>
      </c>
      <c r="J921" s="134" t="inlineStr">
        <is>
          <t>بله</t>
        </is>
      </c>
    </row>
    <row r="922">
      <c r="A922" s="173" t="n">
        <v>45843</v>
      </c>
      <c r="B922" s="174" t="n">
        <v>45843</v>
      </c>
      <c r="C922" s="174" t="n">
        <v>1404</v>
      </c>
      <c r="D922" s="174" t="n">
        <v>4</v>
      </c>
      <c r="E922" s="175" t="inlineStr">
        <is>
          <t>1404/04/14</t>
        </is>
      </c>
      <c r="F922" s="128" t="inlineStr">
        <is>
          <t>1404/04</t>
        </is>
      </c>
      <c r="G922" s="58" t="inlineStr">
        <is>
          <t>تیر</t>
        </is>
      </c>
      <c r="H922" s="128" t="inlineStr">
        <is>
          <t>تابستان</t>
        </is>
      </c>
      <c r="I922" s="128" t="inlineStr">
        <is>
          <t>شنبه</t>
        </is>
      </c>
      <c r="J922" s="128" t="inlineStr">
        <is>
          <t>خیر</t>
        </is>
      </c>
    </row>
    <row r="923">
      <c r="A923" s="176" t="n">
        <v>45844</v>
      </c>
      <c r="B923" s="177" t="n">
        <v>45844</v>
      </c>
      <c r="C923" s="177" t="n">
        <v>1404</v>
      </c>
      <c r="D923" s="177" t="n">
        <v>4</v>
      </c>
      <c r="E923" s="178" t="inlineStr">
        <is>
          <t>1404/04/15</t>
        </is>
      </c>
      <c r="F923" s="134" t="inlineStr">
        <is>
          <t>1404/04</t>
        </is>
      </c>
      <c r="G923" s="61" t="inlineStr">
        <is>
          <t>تیر</t>
        </is>
      </c>
      <c r="H923" s="134" t="inlineStr">
        <is>
          <t>تابستان</t>
        </is>
      </c>
      <c r="I923" s="134" t="inlineStr">
        <is>
          <t>یکشنبه</t>
        </is>
      </c>
      <c r="J923" s="134" t="inlineStr">
        <is>
          <t>خیر</t>
        </is>
      </c>
    </row>
    <row r="924">
      <c r="A924" s="173" t="n">
        <v>45845</v>
      </c>
      <c r="B924" s="174" t="n">
        <v>45845</v>
      </c>
      <c r="C924" s="174" t="n">
        <v>1404</v>
      </c>
      <c r="D924" s="174" t="n">
        <v>4</v>
      </c>
      <c r="E924" s="175" t="inlineStr">
        <is>
          <t>1404/04/16</t>
        </is>
      </c>
      <c r="F924" s="128" t="inlineStr">
        <is>
          <t>1404/04</t>
        </is>
      </c>
      <c r="G924" s="58" t="inlineStr">
        <is>
          <t>تیر</t>
        </is>
      </c>
      <c r="H924" s="128" t="inlineStr">
        <is>
          <t>تابستان</t>
        </is>
      </c>
      <c r="I924" s="128" t="inlineStr">
        <is>
          <t>دوشنبه</t>
        </is>
      </c>
      <c r="J924" s="128" t="inlineStr">
        <is>
          <t>بله</t>
        </is>
      </c>
    </row>
    <row r="925">
      <c r="A925" s="176" t="n">
        <v>45846</v>
      </c>
      <c r="B925" s="177" t="n">
        <v>45846</v>
      </c>
      <c r="C925" s="177" t="n">
        <v>1404</v>
      </c>
      <c r="D925" s="177" t="n">
        <v>4</v>
      </c>
      <c r="E925" s="178" t="inlineStr">
        <is>
          <t>1404/04/17</t>
        </is>
      </c>
      <c r="F925" s="134" t="inlineStr">
        <is>
          <t>1404/04</t>
        </is>
      </c>
      <c r="G925" s="61" t="inlineStr">
        <is>
          <t>تیر</t>
        </is>
      </c>
      <c r="H925" s="134" t="inlineStr">
        <is>
          <t>تابستان</t>
        </is>
      </c>
      <c r="I925" s="134" t="inlineStr">
        <is>
          <t>سه‌شنبه</t>
        </is>
      </c>
      <c r="J925" s="134" t="inlineStr">
        <is>
          <t>بله</t>
        </is>
      </c>
    </row>
    <row r="926">
      <c r="A926" s="173" t="n">
        <v>45847</v>
      </c>
      <c r="B926" s="174" t="n">
        <v>45847</v>
      </c>
      <c r="C926" s="174" t="n">
        <v>1404</v>
      </c>
      <c r="D926" s="174" t="n">
        <v>4</v>
      </c>
      <c r="E926" s="175" t="inlineStr">
        <is>
          <t>1404/04/18</t>
        </is>
      </c>
      <c r="F926" s="128" t="inlineStr">
        <is>
          <t>1404/04</t>
        </is>
      </c>
      <c r="G926" s="58" t="inlineStr">
        <is>
          <t>تیر</t>
        </is>
      </c>
      <c r="H926" s="128" t="inlineStr">
        <is>
          <t>تابستان</t>
        </is>
      </c>
      <c r="I926" s="128" t="inlineStr">
        <is>
          <t>چهارشنبه</t>
        </is>
      </c>
      <c r="J926" s="128" t="inlineStr">
        <is>
          <t>بله</t>
        </is>
      </c>
    </row>
    <row r="927">
      <c r="A927" s="176" t="n">
        <v>45848</v>
      </c>
      <c r="B927" s="177" t="n">
        <v>45848</v>
      </c>
      <c r="C927" s="177" t="n">
        <v>1404</v>
      </c>
      <c r="D927" s="177" t="n">
        <v>4</v>
      </c>
      <c r="E927" s="178" t="inlineStr">
        <is>
          <t>1404/04/19</t>
        </is>
      </c>
      <c r="F927" s="134" t="inlineStr">
        <is>
          <t>1404/04</t>
        </is>
      </c>
      <c r="G927" s="61" t="inlineStr">
        <is>
          <t>تیر</t>
        </is>
      </c>
      <c r="H927" s="134" t="inlineStr">
        <is>
          <t>تابستان</t>
        </is>
      </c>
      <c r="I927" s="134" t="inlineStr">
        <is>
          <t>پنجشنبه</t>
        </is>
      </c>
      <c r="J927" s="134" t="inlineStr">
        <is>
          <t>بله</t>
        </is>
      </c>
    </row>
    <row r="928">
      <c r="A928" s="173" t="n">
        <v>45849</v>
      </c>
      <c r="B928" s="174" t="n">
        <v>45849</v>
      </c>
      <c r="C928" s="174" t="n">
        <v>1404</v>
      </c>
      <c r="D928" s="174" t="n">
        <v>4</v>
      </c>
      <c r="E928" s="175" t="inlineStr">
        <is>
          <t>1404/04/20</t>
        </is>
      </c>
      <c r="F928" s="128" t="inlineStr">
        <is>
          <t>1404/04</t>
        </is>
      </c>
      <c r="G928" s="58" t="inlineStr">
        <is>
          <t>تیر</t>
        </is>
      </c>
      <c r="H928" s="128" t="inlineStr">
        <is>
          <t>تابستان</t>
        </is>
      </c>
      <c r="I928" s="128" t="inlineStr">
        <is>
          <t>جمعه</t>
        </is>
      </c>
      <c r="J928" s="128" t="inlineStr">
        <is>
          <t>بله</t>
        </is>
      </c>
    </row>
    <row r="929">
      <c r="A929" s="176" t="n">
        <v>45850</v>
      </c>
      <c r="B929" s="177" t="n">
        <v>45850</v>
      </c>
      <c r="C929" s="177" t="n">
        <v>1404</v>
      </c>
      <c r="D929" s="177" t="n">
        <v>4</v>
      </c>
      <c r="E929" s="178" t="inlineStr">
        <is>
          <t>1404/04/21</t>
        </is>
      </c>
      <c r="F929" s="134" t="inlineStr">
        <is>
          <t>1404/04</t>
        </is>
      </c>
      <c r="G929" s="61" t="inlineStr">
        <is>
          <t>تیر</t>
        </is>
      </c>
      <c r="H929" s="134" t="inlineStr">
        <is>
          <t>تابستان</t>
        </is>
      </c>
      <c r="I929" s="134" t="inlineStr">
        <is>
          <t>شنبه</t>
        </is>
      </c>
      <c r="J929" s="134" t="inlineStr">
        <is>
          <t>خیر</t>
        </is>
      </c>
    </row>
    <row r="930">
      <c r="A930" s="173" t="n">
        <v>45851</v>
      </c>
      <c r="B930" s="174" t="n">
        <v>45851</v>
      </c>
      <c r="C930" s="174" t="n">
        <v>1404</v>
      </c>
      <c r="D930" s="174" t="n">
        <v>4</v>
      </c>
      <c r="E930" s="175" t="inlineStr">
        <is>
          <t>1404/04/22</t>
        </is>
      </c>
      <c r="F930" s="128" t="inlineStr">
        <is>
          <t>1404/04</t>
        </is>
      </c>
      <c r="G930" s="58" t="inlineStr">
        <is>
          <t>تیر</t>
        </is>
      </c>
      <c r="H930" s="128" t="inlineStr">
        <is>
          <t>تابستان</t>
        </is>
      </c>
      <c r="I930" s="128" t="inlineStr">
        <is>
          <t>یکشنبه</t>
        </is>
      </c>
      <c r="J930" s="128" t="inlineStr">
        <is>
          <t>خیر</t>
        </is>
      </c>
    </row>
    <row r="931">
      <c r="A931" s="176" t="n">
        <v>45852</v>
      </c>
      <c r="B931" s="177" t="n">
        <v>45852</v>
      </c>
      <c r="C931" s="177" t="n">
        <v>1404</v>
      </c>
      <c r="D931" s="177" t="n">
        <v>4</v>
      </c>
      <c r="E931" s="178" t="inlineStr">
        <is>
          <t>1404/04/23</t>
        </is>
      </c>
      <c r="F931" s="134" t="inlineStr">
        <is>
          <t>1404/04</t>
        </is>
      </c>
      <c r="G931" s="61" t="inlineStr">
        <is>
          <t>تیر</t>
        </is>
      </c>
      <c r="H931" s="134" t="inlineStr">
        <is>
          <t>تابستان</t>
        </is>
      </c>
      <c r="I931" s="134" t="inlineStr">
        <is>
          <t>دوشنبه</t>
        </is>
      </c>
      <c r="J931" s="134" t="inlineStr">
        <is>
          <t>بله</t>
        </is>
      </c>
    </row>
    <row r="932">
      <c r="A932" s="173" t="n">
        <v>45853</v>
      </c>
      <c r="B932" s="174" t="n">
        <v>45853</v>
      </c>
      <c r="C932" s="174" t="n">
        <v>1404</v>
      </c>
      <c r="D932" s="174" t="n">
        <v>4</v>
      </c>
      <c r="E932" s="175" t="inlineStr">
        <is>
          <t>1404/04/24</t>
        </is>
      </c>
      <c r="F932" s="128" t="inlineStr">
        <is>
          <t>1404/04</t>
        </is>
      </c>
      <c r="G932" s="58" t="inlineStr">
        <is>
          <t>تیر</t>
        </is>
      </c>
      <c r="H932" s="128" t="inlineStr">
        <is>
          <t>تابستان</t>
        </is>
      </c>
      <c r="I932" s="128" t="inlineStr">
        <is>
          <t>سه‌شنبه</t>
        </is>
      </c>
      <c r="J932" s="128" t="inlineStr">
        <is>
          <t>بله</t>
        </is>
      </c>
    </row>
    <row r="933">
      <c r="A933" s="176" t="n">
        <v>45854</v>
      </c>
      <c r="B933" s="177" t="n">
        <v>45854</v>
      </c>
      <c r="C933" s="177" t="n">
        <v>1404</v>
      </c>
      <c r="D933" s="177" t="n">
        <v>4</v>
      </c>
      <c r="E933" s="178" t="inlineStr">
        <is>
          <t>1404/04/25</t>
        </is>
      </c>
      <c r="F933" s="134" t="inlineStr">
        <is>
          <t>1404/04</t>
        </is>
      </c>
      <c r="G933" s="61" t="inlineStr">
        <is>
          <t>تیر</t>
        </is>
      </c>
      <c r="H933" s="134" t="inlineStr">
        <is>
          <t>تابستان</t>
        </is>
      </c>
      <c r="I933" s="134" t="inlineStr">
        <is>
          <t>چهارشنبه</t>
        </is>
      </c>
      <c r="J933" s="134" t="inlineStr">
        <is>
          <t>بله</t>
        </is>
      </c>
    </row>
    <row r="934">
      <c r="A934" s="173" t="n">
        <v>45855</v>
      </c>
      <c r="B934" s="174" t="n">
        <v>45855</v>
      </c>
      <c r="C934" s="174" t="n">
        <v>1404</v>
      </c>
      <c r="D934" s="174" t="n">
        <v>4</v>
      </c>
      <c r="E934" s="175" t="inlineStr">
        <is>
          <t>1404/04/26</t>
        </is>
      </c>
      <c r="F934" s="128" t="inlineStr">
        <is>
          <t>1404/04</t>
        </is>
      </c>
      <c r="G934" s="58" t="inlineStr">
        <is>
          <t>تیر</t>
        </is>
      </c>
      <c r="H934" s="128" t="inlineStr">
        <is>
          <t>تابستان</t>
        </is>
      </c>
      <c r="I934" s="128" t="inlineStr">
        <is>
          <t>پنجشنبه</t>
        </is>
      </c>
      <c r="J934" s="128" t="inlineStr">
        <is>
          <t>بله</t>
        </is>
      </c>
    </row>
    <row r="935">
      <c r="A935" s="176" t="n">
        <v>45856</v>
      </c>
      <c r="B935" s="177" t="n">
        <v>45856</v>
      </c>
      <c r="C935" s="177" t="n">
        <v>1404</v>
      </c>
      <c r="D935" s="177" t="n">
        <v>4</v>
      </c>
      <c r="E935" s="178" t="inlineStr">
        <is>
          <t>1404/04/27</t>
        </is>
      </c>
      <c r="F935" s="134" t="inlineStr">
        <is>
          <t>1404/04</t>
        </is>
      </c>
      <c r="G935" s="61" t="inlineStr">
        <is>
          <t>تیر</t>
        </is>
      </c>
      <c r="H935" s="134" t="inlineStr">
        <is>
          <t>تابستان</t>
        </is>
      </c>
      <c r="I935" s="134" t="inlineStr">
        <is>
          <t>جمعه</t>
        </is>
      </c>
      <c r="J935" s="134" t="inlineStr">
        <is>
          <t>بله</t>
        </is>
      </c>
    </row>
    <row r="936">
      <c r="A936" s="173" t="n">
        <v>45857</v>
      </c>
      <c r="B936" s="174" t="n">
        <v>45857</v>
      </c>
      <c r="C936" s="174" t="n">
        <v>1404</v>
      </c>
      <c r="D936" s="174" t="n">
        <v>4</v>
      </c>
      <c r="E936" s="175" t="inlineStr">
        <is>
          <t>1404/04/28</t>
        </is>
      </c>
      <c r="F936" s="128" t="inlineStr">
        <is>
          <t>1404/04</t>
        </is>
      </c>
      <c r="G936" s="58" t="inlineStr">
        <is>
          <t>تیر</t>
        </is>
      </c>
      <c r="H936" s="128" t="inlineStr">
        <is>
          <t>تابستان</t>
        </is>
      </c>
      <c r="I936" s="128" t="inlineStr">
        <is>
          <t>شنبه</t>
        </is>
      </c>
      <c r="J936" s="128" t="inlineStr">
        <is>
          <t>خیر</t>
        </is>
      </c>
    </row>
    <row r="937">
      <c r="A937" s="176" t="n">
        <v>45858</v>
      </c>
      <c r="B937" s="177" t="n">
        <v>45858</v>
      </c>
      <c r="C937" s="177" t="n">
        <v>1404</v>
      </c>
      <c r="D937" s="177" t="n">
        <v>4</v>
      </c>
      <c r="E937" s="178" t="inlineStr">
        <is>
          <t>1404/04/29</t>
        </is>
      </c>
      <c r="F937" s="134" t="inlineStr">
        <is>
          <t>1404/04</t>
        </is>
      </c>
      <c r="G937" s="61" t="inlineStr">
        <is>
          <t>تیر</t>
        </is>
      </c>
      <c r="H937" s="134" t="inlineStr">
        <is>
          <t>تابستان</t>
        </is>
      </c>
      <c r="I937" s="134" t="inlineStr">
        <is>
          <t>یکشنبه</t>
        </is>
      </c>
      <c r="J937" s="134" t="inlineStr">
        <is>
          <t>خیر</t>
        </is>
      </c>
    </row>
    <row r="938">
      <c r="A938" s="173" t="n">
        <v>45859</v>
      </c>
      <c r="B938" s="174" t="n">
        <v>45859</v>
      </c>
      <c r="C938" s="174" t="n">
        <v>1404</v>
      </c>
      <c r="D938" s="174" t="n">
        <v>4</v>
      </c>
      <c r="E938" s="175" t="inlineStr">
        <is>
          <t>1404/04/30</t>
        </is>
      </c>
      <c r="F938" s="128" t="inlineStr">
        <is>
          <t>1404/04</t>
        </is>
      </c>
      <c r="G938" s="58" t="inlineStr">
        <is>
          <t>تیر</t>
        </is>
      </c>
      <c r="H938" s="128" t="inlineStr">
        <is>
          <t>تابستان</t>
        </is>
      </c>
      <c r="I938" s="128" t="inlineStr">
        <is>
          <t>دوشنبه</t>
        </is>
      </c>
      <c r="J938" s="128" t="inlineStr">
        <is>
          <t>بله</t>
        </is>
      </c>
    </row>
    <row r="939">
      <c r="A939" s="176" t="n">
        <v>45860</v>
      </c>
      <c r="B939" s="177" t="n">
        <v>45860</v>
      </c>
      <c r="C939" s="177" t="n">
        <v>1404</v>
      </c>
      <c r="D939" s="177" t="n">
        <v>4</v>
      </c>
      <c r="E939" s="178" t="inlineStr">
        <is>
          <t>1404/04/31</t>
        </is>
      </c>
      <c r="F939" s="134" t="inlineStr">
        <is>
          <t>1404/04</t>
        </is>
      </c>
      <c r="G939" s="61" t="inlineStr">
        <is>
          <t>تیر</t>
        </is>
      </c>
      <c r="H939" s="134" t="inlineStr">
        <is>
          <t>تابستان</t>
        </is>
      </c>
      <c r="I939" s="134" t="inlineStr">
        <is>
          <t>سه‌شنبه</t>
        </is>
      </c>
      <c r="J939" s="134" t="inlineStr">
        <is>
          <t>بله</t>
        </is>
      </c>
    </row>
    <row r="940">
      <c r="A940" s="173" t="n">
        <v>45861</v>
      </c>
      <c r="B940" s="174" t="n">
        <v>45861</v>
      </c>
      <c r="C940" s="174" t="n">
        <v>1404</v>
      </c>
      <c r="D940" s="174" t="n">
        <v>5</v>
      </c>
      <c r="E940" s="175" t="inlineStr">
        <is>
          <t>1404/05/01</t>
        </is>
      </c>
      <c r="F940" s="128" t="inlineStr">
        <is>
          <t>1404/05</t>
        </is>
      </c>
      <c r="G940" s="58" t="inlineStr">
        <is>
          <t>مرداد</t>
        </is>
      </c>
      <c r="H940" s="128" t="inlineStr">
        <is>
          <t>تابستان</t>
        </is>
      </c>
      <c r="I940" s="128" t="inlineStr">
        <is>
          <t>چهارشنبه</t>
        </is>
      </c>
      <c r="J940" s="128" t="inlineStr">
        <is>
          <t>بله</t>
        </is>
      </c>
    </row>
    <row r="941">
      <c r="A941" s="176" t="n">
        <v>45862</v>
      </c>
      <c r="B941" s="177" t="n">
        <v>45862</v>
      </c>
      <c r="C941" s="177" t="n">
        <v>1404</v>
      </c>
      <c r="D941" s="177" t="n">
        <v>5</v>
      </c>
      <c r="E941" s="178" t="inlineStr">
        <is>
          <t>1404/05/02</t>
        </is>
      </c>
      <c r="F941" s="134" t="inlineStr">
        <is>
          <t>1404/05</t>
        </is>
      </c>
      <c r="G941" s="61" t="inlineStr">
        <is>
          <t>مرداد</t>
        </is>
      </c>
      <c r="H941" s="134" t="inlineStr">
        <is>
          <t>تابستان</t>
        </is>
      </c>
      <c r="I941" s="134" t="inlineStr">
        <is>
          <t>پنجشنبه</t>
        </is>
      </c>
      <c r="J941" s="134" t="inlineStr">
        <is>
          <t>بله</t>
        </is>
      </c>
    </row>
    <row r="942">
      <c r="A942" s="173" t="n">
        <v>45863</v>
      </c>
      <c r="B942" s="174" t="n">
        <v>45863</v>
      </c>
      <c r="C942" s="174" t="n">
        <v>1404</v>
      </c>
      <c r="D942" s="174" t="n">
        <v>5</v>
      </c>
      <c r="E942" s="175" t="inlineStr">
        <is>
          <t>1404/05/03</t>
        </is>
      </c>
      <c r="F942" s="128" t="inlineStr">
        <is>
          <t>1404/05</t>
        </is>
      </c>
      <c r="G942" s="58" t="inlineStr">
        <is>
          <t>مرداد</t>
        </is>
      </c>
      <c r="H942" s="128" t="inlineStr">
        <is>
          <t>تابستان</t>
        </is>
      </c>
      <c r="I942" s="128" t="inlineStr">
        <is>
          <t>جمعه</t>
        </is>
      </c>
      <c r="J942" s="128" t="inlineStr">
        <is>
          <t>بله</t>
        </is>
      </c>
    </row>
    <row r="943">
      <c r="A943" s="176" t="n">
        <v>45864</v>
      </c>
      <c r="B943" s="177" t="n">
        <v>45864</v>
      </c>
      <c r="C943" s="177" t="n">
        <v>1404</v>
      </c>
      <c r="D943" s="177" t="n">
        <v>5</v>
      </c>
      <c r="E943" s="178" t="inlineStr">
        <is>
          <t>1404/05/04</t>
        </is>
      </c>
      <c r="F943" s="134" t="inlineStr">
        <is>
          <t>1404/05</t>
        </is>
      </c>
      <c r="G943" s="61" t="inlineStr">
        <is>
          <t>مرداد</t>
        </is>
      </c>
      <c r="H943" s="134" t="inlineStr">
        <is>
          <t>تابستان</t>
        </is>
      </c>
      <c r="I943" s="134" t="inlineStr">
        <is>
          <t>شنبه</t>
        </is>
      </c>
      <c r="J943" s="134" t="inlineStr">
        <is>
          <t>خیر</t>
        </is>
      </c>
    </row>
    <row r="944">
      <c r="A944" s="173" t="n">
        <v>45865</v>
      </c>
      <c r="B944" s="174" t="n">
        <v>45865</v>
      </c>
      <c r="C944" s="174" t="n">
        <v>1404</v>
      </c>
      <c r="D944" s="174" t="n">
        <v>5</v>
      </c>
      <c r="E944" s="175" t="inlineStr">
        <is>
          <t>1404/05/05</t>
        </is>
      </c>
      <c r="F944" s="128" t="inlineStr">
        <is>
          <t>1404/05</t>
        </is>
      </c>
      <c r="G944" s="58" t="inlineStr">
        <is>
          <t>مرداد</t>
        </is>
      </c>
      <c r="H944" s="128" t="inlineStr">
        <is>
          <t>تابستان</t>
        </is>
      </c>
      <c r="I944" s="128" t="inlineStr">
        <is>
          <t>یکشنبه</t>
        </is>
      </c>
      <c r="J944" s="128" t="inlineStr">
        <is>
          <t>خیر</t>
        </is>
      </c>
    </row>
    <row r="945">
      <c r="A945" s="176" t="n">
        <v>45866</v>
      </c>
      <c r="B945" s="177" t="n">
        <v>45866</v>
      </c>
      <c r="C945" s="177" t="n">
        <v>1404</v>
      </c>
      <c r="D945" s="177" t="n">
        <v>5</v>
      </c>
      <c r="E945" s="178" t="inlineStr">
        <is>
          <t>1404/05/06</t>
        </is>
      </c>
      <c r="F945" s="134" t="inlineStr">
        <is>
          <t>1404/05</t>
        </is>
      </c>
      <c r="G945" s="61" t="inlineStr">
        <is>
          <t>مرداد</t>
        </is>
      </c>
      <c r="H945" s="134" t="inlineStr">
        <is>
          <t>تابستان</t>
        </is>
      </c>
      <c r="I945" s="134" t="inlineStr">
        <is>
          <t>دوشنبه</t>
        </is>
      </c>
      <c r="J945" s="134" t="inlineStr">
        <is>
          <t>بله</t>
        </is>
      </c>
    </row>
    <row r="946">
      <c r="A946" s="173" t="n">
        <v>45867</v>
      </c>
      <c r="B946" s="174" t="n">
        <v>45867</v>
      </c>
      <c r="C946" s="174" t="n">
        <v>1404</v>
      </c>
      <c r="D946" s="174" t="n">
        <v>5</v>
      </c>
      <c r="E946" s="175" t="inlineStr">
        <is>
          <t>1404/05/07</t>
        </is>
      </c>
      <c r="F946" s="128" t="inlineStr">
        <is>
          <t>1404/05</t>
        </is>
      </c>
      <c r="G946" s="58" t="inlineStr">
        <is>
          <t>مرداد</t>
        </is>
      </c>
      <c r="H946" s="128" t="inlineStr">
        <is>
          <t>تابستان</t>
        </is>
      </c>
      <c r="I946" s="128" t="inlineStr">
        <is>
          <t>سه‌شنبه</t>
        </is>
      </c>
      <c r="J946" s="128" t="inlineStr">
        <is>
          <t>بله</t>
        </is>
      </c>
    </row>
    <row r="947">
      <c r="A947" s="176" t="n">
        <v>45868</v>
      </c>
      <c r="B947" s="177" t="n">
        <v>45868</v>
      </c>
      <c r="C947" s="177" t="n">
        <v>1404</v>
      </c>
      <c r="D947" s="177" t="n">
        <v>5</v>
      </c>
      <c r="E947" s="178" t="inlineStr">
        <is>
          <t>1404/05/08</t>
        </is>
      </c>
      <c r="F947" s="134" t="inlineStr">
        <is>
          <t>1404/05</t>
        </is>
      </c>
      <c r="G947" s="61" t="inlineStr">
        <is>
          <t>مرداد</t>
        </is>
      </c>
      <c r="H947" s="134" t="inlineStr">
        <is>
          <t>تابستان</t>
        </is>
      </c>
      <c r="I947" s="134" t="inlineStr">
        <is>
          <t>چهارشنبه</t>
        </is>
      </c>
      <c r="J947" s="134" t="inlineStr">
        <is>
          <t>بله</t>
        </is>
      </c>
    </row>
    <row r="948">
      <c r="A948" s="173" t="n">
        <v>45869</v>
      </c>
      <c r="B948" s="174" t="n">
        <v>45869</v>
      </c>
      <c r="C948" s="174" t="n">
        <v>1404</v>
      </c>
      <c r="D948" s="174" t="n">
        <v>5</v>
      </c>
      <c r="E948" s="175" t="inlineStr">
        <is>
          <t>1404/05/09</t>
        </is>
      </c>
      <c r="F948" s="128" t="inlineStr">
        <is>
          <t>1404/05</t>
        </is>
      </c>
      <c r="G948" s="58" t="inlineStr">
        <is>
          <t>مرداد</t>
        </is>
      </c>
      <c r="H948" s="128" t="inlineStr">
        <is>
          <t>تابستان</t>
        </is>
      </c>
      <c r="I948" s="128" t="inlineStr">
        <is>
          <t>پنجشنبه</t>
        </is>
      </c>
      <c r="J948" s="128" t="inlineStr">
        <is>
          <t>بله</t>
        </is>
      </c>
    </row>
    <row r="949">
      <c r="A949" s="176" t="n">
        <v>45870</v>
      </c>
      <c r="B949" s="177" t="n">
        <v>45870</v>
      </c>
      <c r="C949" s="177" t="n">
        <v>1404</v>
      </c>
      <c r="D949" s="177" t="n">
        <v>5</v>
      </c>
      <c r="E949" s="178" t="inlineStr">
        <is>
          <t>1404/05/10</t>
        </is>
      </c>
      <c r="F949" s="134" t="inlineStr">
        <is>
          <t>1404/05</t>
        </is>
      </c>
      <c r="G949" s="61" t="inlineStr">
        <is>
          <t>مرداد</t>
        </is>
      </c>
      <c r="H949" s="134" t="inlineStr">
        <is>
          <t>تابستان</t>
        </is>
      </c>
      <c r="I949" s="134" t="inlineStr">
        <is>
          <t>جمعه</t>
        </is>
      </c>
      <c r="J949" s="134" t="inlineStr">
        <is>
          <t>بله</t>
        </is>
      </c>
    </row>
    <row r="950">
      <c r="A950" s="173" t="n">
        <v>45871</v>
      </c>
      <c r="B950" s="174" t="n">
        <v>45871</v>
      </c>
      <c r="C950" s="174" t="n">
        <v>1404</v>
      </c>
      <c r="D950" s="174" t="n">
        <v>5</v>
      </c>
      <c r="E950" s="175" t="inlineStr">
        <is>
          <t>1404/05/11</t>
        </is>
      </c>
      <c r="F950" s="128" t="inlineStr">
        <is>
          <t>1404/05</t>
        </is>
      </c>
      <c r="G950" s="58" t="inlineStr">
        <is>
          <t>مرداد</t>
        </is>
      </c>
      <c r="H950" s="128" t="inlineStr">
        <is>
          <t>تابستان</t>
        </is>
      </c>
      <c r="I950" s="128" t="inlineStr">
        <is>
          <t>شنبه</t>
        </is>
      </c>
      <c r="J950" s="128" t="inlineStr">
        <is>
          <t>خیر</t>
        </is>
      </c>
    </row>
    <row r="951">
      <c r="A951" s="176" t="n">
        <v>45872</v>
      </c>
      <c r="B951" s="177" t="n">
        <v>45872</v>
      </c>
      <c r="C951" s="177" t="n">
        <v>1404</v>
      </c>
      <c r="D951" s="177" t="n">
        <v>5</v>
      </c>
      <c r="E951" s="178" t="inlineStr">
        <is>
          <t>1404/05/12</t>
        </is>
      </c>
      <c r="F951" s="134" t="inlineStr">
        <is>
          <t>1404/05</t>
        </is>
      </c>
      <c r="G951" s="61" t="inlineStr">
        <is>
          <t>مرداد</t>
        </is>
      </c>
      <c r="H951" s="134" t="inlineStr">
        <is>
          <t>تابستان</t>
        </is>
      </c>
      <c r="I951" s="134" t="inlineStr">
        <is>
          <t>یکشنبه</t>
        </is>
      </c>
      <c r="J951" s="134" t="inlineStr">
        <is>
          <t>خیر</t>
        </is>
      </c>
    </row>
    <row r="952">
      <c r="A952" s="173" t="n">
        <v>45873</v>
      </c>
      <c r="B952" s="174" t="n">
        <v>45873</v>
      </c>
      <c r="C952" s="174" t="n">
        <v>1404</v>
      </c>
      <c r="D952" s="174" t="n">
        <v>5</v>
      </c>
      <c r="E952" s="175" t="inlineStr">
        <is>
          <t>1404/05/13</t>
        </is>
      </c>
      <c r="F952" s="128" t="inlineStr">
        <is>
          <t>1404/05</t>
        </is>
      </c>
      <c r="G952" s="58" t="inlineStr">
        <is>
          <t>مرداد</t>
        </is>
      </c>
      <c r="H952" s="128" t="inlineStr">
        <is>
          <t>تابستان</t>
        </is>
      </c>
      <c r="I952" s="128" t="inlineStr">
        <is>
          <t>دوشنبه</t>
        </is>
      </c>
      <c r="J952" s="128" t="inlineStr">
        <is>
          <t>بله</t>
        </is>
      </c>
    </row>
    <row r="953">
      <c r="A953" s="176" t="n">
        <v>45874</v>
      </c>
      <c r="B953" s="177" t="n">
        <v>45874</v>
      </c>
      <c r="C953" s="177" t="n">
        <v>1404</v>
      </c>
      <c r="D953" s="177" t="n">
        <v>5</v>
      </c>
      <c r="E953" s="178" t="inlineStr">
        <is>
          <t>1404/05/14</t>
        </is>
      </c>
      <c r="F953" s="134" t="inlineStr">
        <is>
          <t>1404/05</t>
        </is>
      </c>
      <c r="G953" s="61" t="inlineStr">
        <is>
          <t>مرداد</t>
        </is>
      </c>
      <c r="H953" s="134" t="inlineStr">
        <is>
          <t>تابستان</t>
        </is>
      </c>
      <c r="I953" s="134" t="inlineStr">
        <is>
          <t>سه‌شنبه</t>
        </is>
      </c>
      <c r="J953" s="134" t="inlineStr">
        <is>
          <t>بله</t>
        </is>
      </c>
    </row>
    <row r="954">
      <c r="A954" s="173" t="n">
        <v>45875</v>
      </c>
      <c r="B954" s="174" t="n">
        <v>45875</v>
      </c>
      <c r="C954" s="174" t="n">
        <v>1404</v>
      </c>
      <c r="D954" s="174" t="n">
        <v>5</v>
      </c>
      <c r="E954" s="175" t="inlineStr">
        <is>
          <t>1404/05/15</t>
        </is>
      </c>
      <c r="F954" s="128" t="inlineStr">
        <is>
          <t>1404/05</t>
        </is>
      </c>
      <c r="G954" s="58" t="inlineStr">
        <is>
          <t>مرداد</t>
        </is>
      </c>
      <c r="H954" s="128" t="inlineStr">
        <is>
          <t>تابستان</t>
        </is>
      </c>
      <c r="I954" s="128" t="inlineStr">
        <is>
          <t>چهارشنبه</t>
        </is>
      </c>
      <c r="J954" s="128" t="inlineStr">
        <is>
          <t>بله</t>
        </is>
      </c>
    </row>
    <row r="955">
      <c r="A955" s="176" t="n">
        <v>45876</v>
      </c>
      <c r="B955" s="177" t="n">
        <v>45876</v>
      </c>
      <c r="C955" s="177" t="n">
        <v>1404</v>
      </c>
      <c r="D955" s="177" t="n">
        <v>5</v>
      </c>
      <c r="E955" s="178" t="inlineStr">
        <is>
          <t>1404/05/16</t>
        </is>
      </c>
      <c r="F955" s="134" t="inlineStr">
        <is>
          <t>1404/05</t>
        </is>
      </c>
      <c r="G955" s="61" t="inlineStr">
        <is>
          <t>مرداد</t>
        </is>
      </c>
      <c r="H955" s="134" t="inlineStr">
        <is>
          <t>تابستان</t>
        </is>
      </c>
      <c r="I955" s="134" t="inlineStr">
        <is>
          <t>پنجشنبه</t>
        </is>
      </c>
      <c r="J955" s="134" t="inlineStr">
        <is>
          <t>بله</t>
        </is>
      </c>
    </row>
    <row r="956">
      <c r="A956" s="173" t="n">
        <v>45877</v>
      </c>
      <c r="B956" s="174" t="n">
        <v>45877</v>
      </c>
      <c r="C956" s="174" t="n">
        <v>1404</v>
      </c>
      <c r="D956" s="174" t="n">
        <v>5</v>
      </c>
      <c r="E956" s="175" t="inlineStr">
        <is>
          <t>1404/05/17</t>
        </is>
      </c>
      <c r="F956" s="128" t="inlineStr">
        <is>
          <t>1404/05</t>
        </is>
      </c>
      <c r="G956" s="58" t="inlineStr">
        <is>
          <t>مرداد</t>
        </is>
      </c>
      <c r="H956" s="128" t="inlineStr">
        <is>
          <t>تابستان</t>
        </is>
      </c>
      <c r="I956" s="128" t="inlineStr">
        <is>
          <t>جمعه</t>
        </is>
      </c>
      <c r="J956" s="128" t="inlineStr">
        <is>
          <t>بله</t>
        </is>
      </c>
    </row>
    <row r="957">
      <c r="A957" s="176" t="n">
        <v>45878</v>
      </c>
      <c r="B957" s="177" t="n">
        <v>45878</v>
      </c>
      <c r="C957" s="177" t="n">
        <v>1404</v>
      </c>
      <c r="D957" s="177" t="n">
        <v>5</v>
      </c>
      <c r="E957" s="178" t="inlineStr">
        <is>
          <t>1404/05/18</t>
        </is>
      </c>
      <c r="F957" s="134" t="inlineStr">
        <is>
          <t>1404/05</t>
        </is>
      </c>
      <c r="G957" s="61" t="inlineStr">
        <is>
          <t>مرداد</t>
        </is>
      </c>
      <c r="H957" s="134" t="inlineStr">
        <is>
          <t>تابستان</t>
        </is>
      </c>
      <c r="I957" s="134" t="inlineStr">
        <is>
          <t>شنبه</t>
        </is>
      </c>
      <c r="J957" s="134" t="inlineStr">
        <is>
          <t>خیر</t>
        </is>
      </c>
    </row>
    <row r="958">
      <c r="A958" s="173" t="n">
        <v>45879</v>
      </c>
      <c r="B958" s="174" t="n">
        <v>45879</v>
      </c>
      <c r="C958" s="174" t="n">
        <v>1404</v>
      </c>
      <c r="D958" s="174" t="n">
        <v>5</v>
      </c>
      <c r="E958" s="175" t="inlineStr">
        <is>
          <t>1404/05/19</t>
        </is>
      </c>
      <c r="F958" s="128" t="inlineStr">
        <is>
          <t>1404/05</t>
        </is>
      </c>
      <c r="G958" s="58" t="inlineStr">
        <is>
          <t>مرداد</t>
        </is>
      </c>
      <c r="H958" s="128" t="inlineStr">
        <is>
          <t>تابستان</t>
        </is>
      </c>
      <c r="I958" s="128" t="inlineStr">
        <is>
          <t>یکشنبه</t>
        </is>
      </c>
      <c r="J958" s="128" t="inlineStr">
        <is>
          <t>خیر</t>
        </is>
      </c>
    </row>
    <row r="959">
      <c r="A959" s="176" t="n">
        <v>45880</v>
      </c>
      <c r="B959" s="177" t="n">
        <v>45880</v>
      </c>
      <c r="C959" s="177" t="n">
        <v>1404</v>
      </c>
      <c r="D959" s="177" t="n">
        <v>5</v>
      </c>
      <c r="E959" s="178" t="inlineStr">
        <is>
          <t>1404/05/20</t>
        </is>
      </c>
      <c r="F959" s="134" t="inlineStr">
        <is>
          <t>1404/05</t>
        </is>
      </c>
      <c r="G959" s="61" t="inlineStr">
        <is>
          <t>مرداد</t>
        </is>
      </c>
      <c r="H959" s="134" t="inlineStr">
        <is>
          <t>تابستان</t>
        </is>
      </c>
      <c r="I959" s="134" t="inlineStr">
        <is>
          <t>دوشنبه</t>
        </is>
      </c>
      <c r="J959" s="134" t="inlineStr">
        <is>
          <t>بله</t>
        </is>
      </c>
    </row>
    <row r="960">
      <c r="A960" s="173" t="n">
        <v>45881</v>
      </c>
      <c r="B960" s="174" t="n">
        <v>45881</v>
      </c>
      <c r="C960" s="174" t="n">
        <v>1404</v>
      </c>
      <c r="D960" s="174" t="n">
        <v>5</v>
      </c>
      <c r="E960" s="175" t="inlineStr">
        <is>
          <t>1404/05/21</t>
        </is>
      </c>
      <c r="F960" s="128" t="inlineStr">
        <is>
          <t>1404/05</t>
        </is>
      </c>
      <c r="G960" s="58" t="inlineStr">
        <is>
          <t>مرداد</t>
        </is>
      </c>
      <c r="H960" s="128" t="inlineStr">
        <is>
          <t>تابستان</t>
        </is>
      </c>
      <c r="I960" s="128" t="inlineStr">
        <is>
          <t>سه‌شنبه</t>
        </is>
      </c>
      <c r="J960" s="128" t="inlineStr">
        <is>
          <t>بله</t>
        </is>
      </c>
    </row>
    <row r="961">
      <c r="A961" s="176" t="n">
        <v>45882</v>
      </c>
      <c r="B961" s="177" t="n">
        <v>45882</v>
      </c>
      <c r="C961" s="177" t="n">
        <v>1404</v>
      </c>
      <c r="D961" s="177" t="n">
        <v>5</v>
      </c>
      <c r="E961" s="178" t="inlineStr">
        <is>
          <t>1404/05/22</t>
        </is>
      </c>
      <c r="F961" s="134" t="inlineStr">
        <is>
          <t>1404/05</t>
        </is>
      </c>
      <c r="G961" s="61" t="inlineStr">
        <is>
          <t>مرداد</t>
        </is>
      </c>
      <c r="H961" s="134" t="inlineStr">
        <is>
          <t>تابستان</t>
        </is>
      </c>
      <c r="I961" s="134" t="inlineStr">
        <is>
          <t>چهارشنبه</t>
        </is>
      </c>
      <c r="J961" s="134" t="inlineStr">
        <is>
          <t>بله</t>
        </is>
      </c>
    </row>
    <row r="962">
      <c r="A962" s="173" t="n">
        <v>45883</v>
      </c>
      <c r="B962" s="174" t="n">
        <v>45883</v>
      </c>
      <c r="C962" s="174" t="n">
        <v>1404</v>
      </c>
      <c r="D962" s="174" t="n">
        <v>5</v>
      </c>
      <c r="E962" s="175" t="inlineStr">
        <is>
          <t>1404/05/23</t>
        </is>
      </c>
      <c r="F962" s="128" t="inlineStr">
        <is>
          <t>1404/05</t>
        </is>
      </c>
      <c r="G962" s="58" t="inlineStr">
        <is>
          <t>مرداد</t>
        </is>
      </c>
      <c r="H962" s="128" t="inlineStr">
        <is>
          <t>تابستان</t>
        </is>
      </c>
      <c r="I962" s="128" t="inlineStr">
        <is>
          <t>پنجشنبه</t>
        </is>
      </c>
      <c r="J962" s="128" t="inlineStr">
        <is>
          <t>بله</t>
        </is>
      </c>
    </row>
    <row r="963">
      <c r="A963" s="176" t="n">
        <v>45884</v>
      </c>
      <c r="B963" s="177" t="n">
        <v>45884</v>
      </c>
      <c r="C963" s="177" t="n">
        <v>1404</v>
      </c>
      <c r="D963" s="177" t="n">
        <v>5</v>
      </c>
      <c r="E963" s="178" t="inlineStr">
        <is>
          <t>1404/05/24</t>
        </is>
      </c>
      <c r="F963" s="134" t="inlineStr">
        <is>
          <t>1404/05</t>
        </is>
      </c>
      <c r="G963" s="61" t="inlineStr">
        <is>
          <t>مرداد</t>
        </is>
      </c>
      <c r="H963" s="134" t="inlineStr">
        <is>
          <t>تابستان</t>
        </is>
      </c>
      <c r="I963" s="134" t="inlineStr">
        <is>
          <t>جمعه</t>
        </is>
      </c>
      <c r="J963" s="134" t="inlineStr">
        <is>
          <t>بله</t>
        </is>
      </c>
    </row>
    <row r="964">
      <c r="A964" s="173" t="n">
        <v>45885</v>
      </c>
      <c r="B964" s="174" t="n">
        <v>45885</v>
      </c>
      <c r="C964" s="174" t="n">
        <v>1404</v>
      </c>
      <c r="D964" s="174" t="n">
        <v>5</v>
      </c>
      <c r="E964" s="175" t="inlineStr">
        <is>
          <t>1404/05/25</t>
        </is>
      </c>
      <c r="F964" s="128" t="inlineStr">
        <is>
          <t>1404/05</t>
        </is>
      </c>
      <c r="G964" s="58" t="inlineStr">
        <is>
          <t>مرداد</t>
        </is>
      </c>
      <c r="H964" s="128" t="inlineStr">
        <is>
          <t>تابستان</t>
        </is>
      </c>
      <c r="I964" s="128" t="inlineStr">
        <is>
          <t>شنبه</t>
        </is>
      </c>
      <c r="J964" s="128" t="inlineStr">
        <is>
          <t>خیر</t>
        </is>
      </c>
    </row>
    <row r="965">
      <c r="A965" s="176" t="n">
        <v>45886</v>
      </c>
      <c r="B965" s="177" t="n">
        <v>45886</v>
      </c>
      <c r="C965" s="177" t="n">
        <v>1404</v>
      </c>
      <c r="D965" s="177" t="n">
        <v>5</v>
      </c>
      <c r="E965" s="178" t="inlineStr">
        <is>
          <t>1404/05/26</t>
        </is>
      </c>
      <c r="F965" s="134" t="inlineStr">
        <is>
          <t>1404/05</t>
        </is>
      </c>
      <c r="G965" s="61" t="inlineStr">
        <is>
          <t>مرداد</t>
        </is>
      </c>
      <c r="H965" s="134" t="inlineStr">
        <is>
          <t>تابستان</t>
        </is>
      </c>
      <c r="I965" s="134" t="inlineStr">
        <is>
          <t>یکشنبه</t>
        </is>
      </c>
      <c r="J965" s="134" t="inlineStr">
        <is>
          <t>خیر</t>
        </is>
      </c>
    </row>
    <row r="966">
      <c r="A966" s="173" t="n">
        <v>45887</v>
      </c>
      <c r="B966" s="174" t="n">
        <v>45887</v>
      </c>
      <c r="C966" s="174" t="n">
        <v>1404</v>
      </c>
      <c r="D966" s="174" t="n">
        <v>5</v>
      </c>
      <c r="E966" s="175" t="inlineStr">
        <is>
          <t>1404/05/27</t>
        </is>
      </c>
      <c r="F966" s="128" t="inlineStr">
        <is>
          <t>1404/05</t>
        </is>
      </c>
      <c r="G966" s="58" t="inlineStr">
        <is>
          <t>مرداد</t>
        </is>
      </c>
      <c r="H966" s="128" t="inlineStr">
        <is>
          <t>تابستان</t>
        </is>
      </c>
      <c r="I966" s="128" t="inlineStr">
        <is>
          <t>دوشنبه</t>
        </is>
      </c>
      <c r="J966" s="128" t="inlineStr">
        <is>
          <t>بله</t>
        </is>
      </c>
    </row>
    <row r="967">
      <c r="A967" s="176" t="n">
        <v>45888</v>
      </c>
      <c r="B967" s="177" t="n">
        <v>45888</v>
      </c>
      <c r="C967" s="177" t="n">
        <v>1404</v>
      </c>
      <c r="D967" s="177" t="n">
        <v>5</v>
      </c>
      <c r="E967" s="178" t="inlineStr">
        <is>
          <t>1404/05/28</t>
        </is>
      </c>
      <c r="F967" s="134" t="inlineStr">
        <is>
          <t>1404/05</t>
        </is>
      </c>
      <c r="G967" s="61" t="inlineStr">
        <is>
          <t>مرداد</t>
        </is>
      </c>
      <c r="H967" s="134" t="inlineStr">
        <is>
          <t>تابستان</t>
        </is>
      </c>
      <c r="I967" s="134" t="inlineStr">
        <is>
          <t>سه‌شنبه</t>
        </is>
      </c>
      <c r="J967" s="134" t="inlineStr">
        <is>
          <t>بله</t>
        </is>
      </c>
    </row>
    <row r="968">
      <c r="A968" s="173" t="n">
        <v>45889</v>
      </c>
      <c r="B968" s="174" t="n">
        <v>45889</v>
      </c>
      <c r="C968" s="174" t="n">
        <v>1404</v>
      </c>
      <c r="D968" s="174" t="n">
        <v>5</v>
      </c>
      <c r="E968" s="175" t="inlineStr">
        <is>
          <t>1404/05/29</t>
        </is>
      </c>
      <c r="F968" s="128" t="inlineStr">
        <is>
          <t>1404/05</t>
        </is>
      </c>
      <c r="G968" s="58" t="inlineStr">
        <is>
          <t>مرداد</t>
        </is>
      </c>
      <c r="H968" s="128" t="inlineStr">
        <is>
          <t>تابستان</t>
        </is>
      </c>
      <c r="I968" s="128" t="inlineStr">
        <is>
          <t>چهارشنبه</t>
        </is>
      </c>
      <c r="J968" s="128" t="inlineStr">
        <is>
          <t>بله</t>
        </is>
      </c>
    </row>
    <row r="969">
      <c r="A969" s="176" t="n">
        <v>45890</v>
      </c>
      <c r="B969" s="177" t="n">
        <v>45890</v>
      </c>
      <c r="C969" s="177" t="n">
        <v>1404</v>
      </c>
      <c r="D969" s="177" t="n">
        <v>5</v>
      </c>
      <c r="E969" s="178" t="inlineStr">
        <is>
          <t>1404/05/30</t>
        </is>
      </c>
      <c r="F969" s="134" t="inlineStr">
        <is>
          <t>1404/05</t>
        </is>
      </c>
      <c r="G969" s="61" t="inlineStr">
        <is>
          <t>مرداد</t>
        </is>
      </c>
      <c r="H969" s="134" t="inlineStr">
        <is>
          <t>تابستان</t>
        </is>
      </c>
      <c r="I969" s="134" t="inlineStr">
        <is>
          <t>پنجشنبه</t>
        </is>
      </c>
      <c r="J969" s="134" t="inlineStr">
        <is>
          <t>بله</t>
        </is>
      </c>
    </row>
    <row r="970">
      <c r="A970" s="173" t="n">
        <v>45891</v>
      </c>
      <c r="B970" s="174" t="n">
        <v>45891</v>
      </c>
      <c r="C970" s="174" t="n">
        <v>1404</v>
      </c>
      <c r="D970" s="174" t="n">
        <v>5</v>
      </c>
      <c r="E970" s="175" t="inlineStr">
        <is>
          <t>1404/05/31</t>
        </is>
      </c>
      <c r="F970" s="128" t="inlineStr">
        <is>
          <t>1404/05</t>
        </is>
      </c>
      <c r="G970" s="58" t="inlineStr">
        <is>
          <t>مرداد</t>
        </is>
      </c>
      <c r="H970" s="128" t="inlineStr">
        <is>
          <t>تابستان</t>
        </is>
      </c>
      <c r="I970" s="128" t="inlineStr">
        <is>
          <t>جمعه</t>
        </is>
      </c>
      <c r="J970" s="128" t="inlineStr">
        <is>
          <t>بله</t>
        </is>
      </c>
    </row>
    <row r="971">
      <c r="A971" s="176" t="n">
        <v>45892</v>
      </c>
      <c r="B971" s="177" t="n">
        <v>45892</v>
      </c>
      <c r="C971" s="177" t="n">
        <v>1404</v>
      </c>
      <c r="D971" s="177" t="n">
        <v>6</v>
      </c>
      <c r="E971" s="178" t="inlineStr">
        <is>
          <t>1404/06/01</t>
        </is>
      </c>
      <c r="F971" s="134" t="inlineStr">
        <is>
          <t>1404/06</t>
        </is>
      </c>
      <c r="G971" s="61" t="inlineStr">
        <is>
          <t>شهریور</t>
        </is>
      </c>
      <c r="H971" s="134" t="inlineStr">
        <is>
          <t>تابستان</t>
        </is>
      </c>
      <c r="I971" s="134" t="inlineStr">
        <is>
          <t>شنبه</t>
        </is>
      </c>
      <c r="J971" s="134" t="inlineStr">
        <is>
          <t>خیر</t>
        </is>
      </c>
    </row>
    <row r="972">
      <c r="A972" s="173" t="n">
        <v>45893</v>
      </c>
      <c r="B972" s="174" t="n">
        <v>45893</v>
      </c>
      <c r="C972" s="174" t="n">
        <v>1404</v>
      </c>
      <c r="D972" s="174" t="n">
        <v>6</v>
      </c>
      <c r="E972" s="175" t="inlineStr">
        <is>
          <t>1404/06/02</t>
        </is>
      </c>
      <c r="F972" s="128" t="inlineStr">
        <is>
          <t>1404/06</t>
        </is>
      </c>
      <c r="G972" s="58" t="inlineStr">
        <is>
          <t>شهریور</t>
        </is>
      </c>
      <c r="H972" s="128" t="inlineStr">
        <is>
          <t>تابستان</t>
        </is>
      </c>
      <c r="I972" s="128" t="inlineStr">
        <is>
          <t>یکشنبه</t>
        </is>
      </c>
      <c r="J972" s="128" t="inlineStr">
        <is>
          <t>خیر</t>
        </is>
      </c>
    </row>
    <row r="973">
      <c r="A973" s="176" t="n">
        <v>45894</v>
      </c>
      <c r="B973" s="177" t="n">
        <v>45894</v>
      </c>
      <c r="C973" s="177" t="n">
        <v>1404</v>
      </c>
      <c r="D973" s="177" t="n">
        <v>6</v>
      </c>
      <c r="E973" s="178" t="inlineStr">
        <is>
          <t>1404/06/03</t>
        </is>
      </c>
      <c r="F973" s="134" t="inlineStr">
        <is>
          <t>1404/06</t>
        </is>
      </c>
      <c r="G973" s="61" t="inlineStr">
        <is>
          <t>شهریور</t>
        </is>
      </c>
      <c r="H973" s="134" t="inlineStr">
        <is>
          <t>تابستان</t>
        </is>
      </c>
      <c r="I973" s="134" t="inlineStr">
        <is>
          <t>دوشنبه</t>
        </is>
      </c>
      <c r="J973" s="134" t="inlineStr">
        <is>
          <t>بله</t>
        </is>
      </c>
    </row>
    <row r="974">
      <c r="A974" s="173" t="n">
        <v>45895</v>
      </c>
      <c r="B974" s="174" t="n">
        <v>45895</v>
      </c>
      <c r="C974" s="174" t="n">
        <v>1404</v>
      </c>
      <c r="D974" s="174" t="n">
        <v>6</v>
      </c>
      <c r="E974" s="175" t="inlineStr">
        <is>
          <t>1404/06/04</t>
        </is>
      </c>
      <c r="F974" s="128" t="inlineStr">
        <is>
          <t>1404/06</t>
        </is>
      </c>
      <c r="G974" s="58" t="inlineStr">
        <is>
          <t>شهریور</t>
        </is>
      </c>
      <c r="H974" s="128" t="inlineStr">
        <is>
          <t>تابستان</t>
        </is>
      </c>
      <c r="I974" s="128" t="inlineStr">
        <is>
          <t>سه‌شنبه</t>
        </is>
      </c>
      <c r="J974" s="128" t="inlineStr">
        <is>
          <t>بله</t>
        </is>
      </c>
    </row>
    <row r="975">
      <c r="A975" s="176" t="n">
        <v>45896</v>
      </c>
      <c r="B975" s="177" t="n">
        <v>45896</v>
      </c>
      <c r="C975" s="177" t="n">
        <v>1404</v>
      </c>
      <c r="D975" s="177" t="n">
        <v>6</v>
      </c>
      <c r="E975" s="178" t="inlineStr">
        <is>
          <t>1404/06/05</t>
        </is>
      </c>
      <c r="F975" s="134" t="inlineStr">
        <is>
          <t>1404/06</t>
        </is>
      </c>
      <c r="G975" s="61" t="inlineStr">
        <is>
          <t>شهریور</t>
        </is>
      </c>
      <c r="H975" s="134" t="inlineStr">
        <is>
          <t>تابستان</t>
        </is>
      </c>
      <c r="I975" s="134" t="inlineStr">
        <is>
          <t>چهارشنبه</t>
        </is>
      </c>
      <c r="J975" s="134" t="inlineStr">
        <is>
          <t>بله</t>
        </is>
      </c>
    </row>
    <row r="976">
      <c r="A976" s="173" t="n">
        <v>45897</v>
      </c>
      <c r="B976" s="174" t="n">
        <v>45897</v>
      </c>
      <c r="C976" s="174" t="n">
        <v>1404</v>
      </c>
      <c r="D976" s="174" t="n">
        <v>6</v>
      </c>
      <c r="E976" s="175" t="inlineStr">
        <is>
          <t>1404/06/06</t>
        </is>
      </c>
      <c r="F976" s="128" t="inlineStr">
        <is>
          <t>1404/06</t>
        </is>
      </c>
      <c r="G976" s="58" t="inlineStr">
        <is>
          <t>شهریور</t>
        </is>
      </c>
      <c r="H976" s="128" t="inlineStr">
        <is>
          <t>تابستان</t>
        </is>
      </c>
      <c r="I976" s="128" t="inlineStr">
        <is>
          <t>پنجشنبه</t>
        </is>
      </c>
      <c r="J976" s="128" t="inlineStr">
        <is>
          <t>بله</t>
        </is>
      </c>
    </row>
    <row r="977">
      <c r="A977" s="176" t="n">
        <v>45898</v>
      </c>
      <c r="B977" s="177" t="n">
        <v>45898</v>
      </c>
      <c r="C977" s="177" t="n">
        <v>1404</v>
      </c>
      <c r="D977" s="177" t="n">
        <v>6</v>
      </c>
      <c r="E977" s="178" t="inlineStr">
        <is>
          <t>1404/06/07</t>
        </is>
      </c>
      <c r="F977" s="134" t="inlineStr">
        <is>
          <t>1404/06</t>
        </is>
      </c>
      <c r="G977" s="61" t="inlineStr">
        <is>
          <t>شهریور</t>
        </is>
      </c>
      <c r="H977" s="134" t="inlineStr">
        <is>
          <t>تابستان</t>
        </is>
      </c>
      <c r="I977" s="134" t="inlineStr">
        <is>
          <t>جمعه</t>
        </is>
      </c>
      <c r="J977" s="134" t="inlineStr">
        <is>
          <t>بله</t>
        </is>
      </c>
    </row>
    <row r="978">
      <c r="A978" s="173" t="n">
        <v>45899</v>
      </c>
      <c r="B978" s="174" t="n">
        <v>45899</v>
      </c>
      <c r="C978" s="174" t="n">
        <v>1404</v>
      </c>
      <c r="D978" s="174" t="n">
        <v>6</v>
      </c>
      <c r="E978" s="175" t="inlineStr">
        <is>
          <t>1404/06/08</t>
        </is>
      </c>
      <c r="F978" s="128" t="inlineStr">
        <is>
          <t>1404/06</t>
        </is>
      </c>
      <c r="G978" s="58" t="inlineStr">
        <is>
          <t>شهریور</t>
        </is>
      </c>
      <c r="H978" s="128" t="inlineStr">
        <is>
          <t>تابستان</t>
        </is>
      </c>
      <c r="I978" s="128" t="inlineStr">
        <is>
          <t>شنبه</t>
        </is>
      </c>
      <c r="J978" s="128" t="inlineStr">
        <is>
          <t>خیر</t>
        </is>
      </c>
    </row>
    <row r="979">
      <c r="A979" s="176" t="n">
        <v>45900</v>
      </c>
      <c r="B979" s="177" t="n">
        <v>45900</v>
      </c>
      <c r="C979" s="177" t="n">
        <v>1404</v>
      </c>
      <c r="D979" s="177" t="n">
        <v>6</v>
      </c>
      <c r="E979" s="178" t="inlineStr">
        <is>
          <t>1404/06/09</t>
        </is>
      </c>
      <c r="F979" s="134" t="inlineStr">
        <is>
          <t>1404/06</t>
        </is>
      </c>
      <c r="G979" s="61" t="inlineStr">
        <is>
          <t>شهریور</t>
        </is>
      </c>
      <c r="H979" s="134" t="inlineStr">
        <is>
          <t>تابستان</t>
        </is>
      </c>
      <c r="I979" s="134" t="inlineStr">
        <is>
          <t>یکشنبه</t>
        </is>
      </c>
      <c r="J979" s="134" t="inlineStr">
        <is>
          <t>خیر</t>
        </is>
      </c>
    </row>
    <row r="980">
      <c r="A980" s="173" t="n">
        <v>45901</v>
      </c>
      <c r="B980" s="174" t="n">
        <v>45901</v>
      </c>
      <c r="C980" s="174" t="n">
        <v>1404</v>
      </c>
      <c r="D980" s="174" t="n">
        <v>6</v>
      </c>
      <c r="E980" s="175" t="inlineStr">
        <is>
          <t>1404/06/10</t>
        </is>
      </c>
      <c r="F980" s="128" t="inlineStr">
        <is>
          <t>1404/06</t>
        </is>
      </c>
      <c r="G980" s="58" t="inlineStr">
        <is>
          <t>شهریور</t>
        </is>
      </c>
      <c r="H980" s="128" t="inlineStr">
        <is>
          <t>تابستان</t>
        </is>
      </c>
      <c r="I980" s="128" t="inlineStr">
        <is>
          <t>دوشنبه</t>
        </is>
      </c>
      <c r="J980" s="128" t="inlineStr">
        <is>
          <t>بله</t>
        </is>
      </c>
    </row>
    <row r="981">
      <c r="A981" s="176" t="n">
        <v>45902</v>
      </c>
      <c r="B981" s="177" t="n">
        <v>45902</v>
      </c>
      <c r="C981" s="177" t="n">
        <v>1404</v>
      </c>
      <c r="D981" s="177" t="n">
        <v>6</v>
      </c>
      <c r="E981" s="178" t="inlineStr">
        <is>
          <t>1404/06/11</t>
        </is>
      </c>
      <c r="F981" s="134" t="inlineStr">
        <is>
          <t>1404/06</t>
        </is>
      </c>
      <c r="G981" s="61" t="inlineStr">
        <is>
          <t>شهریور</t>
        </is>
      </c>
      <c r="H981" s="134" t="inlineStr">
        <is>
          <t>تابستان</t>
        </is>
      </c>
      <c r="I981" s="134" t="inlineStr">
        <is>
          <t>سه‌شنبه</t>
        </is>
      </c>
      <c r="J981" s="134" t="inlineStr">
        <is>
          <t>بله</t>
        </is>
      </c>
    </row>
    <row r="982">
      <c r="A982" s="173" t="n">
        <v>45903</v>
      </c>
      <c r="B982" s="174" t="n">
        <v>45903</v>
      </c>
      <c r="C982" s="174" t="n">
        <v>1404</v>
      </c>
      <c r="D982" s="174" t="n">
        <v>6</v>
      </c>
      <c r="E982" s="175" t="inlineStr">
        <is>
          <t>1404/06/12</t>
        </is>
      </c>
      <c r="F982" s="128" t="inlineStr">
        <is>
          <t>1404/06</t>
        </is>
      </c>
      <c r="G982" s="58" t="inlineStr">
        <is>
          <t>شهریور</t>
        </is>
      </c>
      <c r="H982" s="128" t="inlineStr">
        <is>
          <t>تابستان</t>
        </is>
      </c>
      <c r="I982" s="128" t="inlineStr">
        <is>
          <t>چهارشنبه</t>
        </is>
      </c>
      <c r="J982" s="128" t="inlineStr">
        <is>
          <t>بله</t>
        </is>
      </c>
    </row>
    <row r="983">
      <c r="A983" s="176" t="n">
        <v>45904</v>
      </c>
      <c r="B983" s="177" t="n">
        <v>45904</v>
      </c>
      <c r="C983" s="177" t="n">
        <v>1404</v>
      </c>
      <c r="D983" s="177" t="n">
        <v>6</v>
      </c>
      <c r="E983" s="178" t="inlineStr">
        <is>
          <t>1404/06/13</t>
        </is>
      </c>
      <c r="F983" s="134" t="inlineStr">
        <is>
          <t>1404/06</t>
        </is>
      </c>
      <c r="G983" s="61" t="inlineStr">
        <is>
          <t>شهریور</t>
        </is>
      </c>
      <c r="H983" s="134" t="inlineStr">
        <is>
          <t>تابستان</t>
        </is>
      </c>
      <c r="I983" s="134" t="inlineStr">
        <is>
          <t>پنجشنبه</t>
        </is>
      </c>
      <c r="J983" s="134" t="inlineStr">
        <is>
          <t>بله</t>
        </is>
      </c>
    </row>
    <row r="984">
      <c r="A984" s="173" t="n">
        <v>45905</v>
      </c>
      <c r="B984" s="174" t="n">
        <v>45905</v>
      </c>
      <c r="C984" s="174" t="n">
        <v>1404</v>
      </c>
      <c r="D984" s="174" t="n">
        <v>6</v>
      </c>
      <c r="E984" s="175" t="inlineStr">
        <is>
          <t>1404/06/14</t>
        </is>
      </c>
      <c r="F984" s="128" t="inlineStr">
        <is>
          <t>1404/06</t>
        </is>
      </c>
      <c r="G984" s="58" t="inlineStr">
        <is>
          <t>شهریور</t>
        </is>
      </c>
      <c r="H984" s="128" t="inlineStr">
        <is>
          <t>تابستان</t>
        </is>
      </c>
      <c r="I984" s="128" t="inlineStr">
        <is>
          <t>جمعه</t>
        </is>
      </c>
      <c r="J984" s="128" t="inlineStr">
        <is>
          <t>بله</t>
        </is>
      </c>
    </row>
    <row r="985">
      <c r="A985" s="176" t="n">
        <v>45906</v>
      </c>
      <c r="B985" s="177" t="n">
        <v>45906</v>
      </c>
      <c r="C985" s="177" t="n">
        <v>1404</v>
      </c>
      <c r="D985" s="177" t="n">
        <v>6</v>
      </c>
      <c r="E985" s="178" t="inlineStr">
        <is>
          <t>1404/06/15</t>
        </is>
      </c>
      <c r="F985" s="134" t="inlineStr">
        <is>
          <t>1404/06</t>
        </is>
      </c>
      <c r="G985" s="61" t="inlineStr">
        <is>
          <t>شهریور</t>
        </is>
      </c>
      <c r="H985" s="134" t="inlineStr">
        <is>
          <t>تابستان</t>
        </is>
      </c>
      <c r="I985" s="134" t="inlineStr">
        <is>
          <t>شنبه</t>
        </is>
      </c>
      <c r="J985" s="134" t="inlineStr">
        <is>
          <t>خیر</t>
        </is>
      </c>
    </row>
    <row r="986">
      <c r="A986" s="173" t="n">
        <v>45907</v>
      </c>
      <c r="B986" s="174" t="n">
        <v>45907</v>
      </c>
      <c r="C986" s="174" t="n">
        <v>1404</v>
      </c>
      <c r="D986" s="174" t="n">
        <v>6</v>
      </c>
      <c r="E986" s="175" t="inlineStr">
        <is>
          <t>1404/06/16</t>
        </is>
      </c>
      <c r="F986" s="128" t="inlineStr">
        <is>
          <t>1404/06</t>
        </is>
      </c>
      <c r="G986" s="58" t="inlineStr">
        <is>
          <t>شهریور</t>
        </is>
      </c>
      <c r="H986" s="128" t="inlineStr">
        <is>
          <t>تابستان</t>
        </is>
      </c>
      <c r="I986" s="128" t="inlineStr">
        <is>
          <t>یکشنبه</t>
        </is>
      </c>
      <c r="J986" s="128" t="inlineStr">
        <is>
          <t>خیر</t>
        </is>
      </c>
    </row>
    <row r="987">
      <c r="A987" s="176" t="n">
        <v>45908</v>
      </c>
      <c r="B987" s="177" t="n">
        <v>45908</v>
      </c>
      <c r="C987" s="177" t="n">
        <v>1404</v>
      </c>
      <c r="D987" s="177" t="n">
        <v>6</v>
      </c>
      <c r="E987" s="178" t="inlineStr">
        <is>
          <t>1404/06/17</t>
        </is>
      </c>
      <c r="F987" s="134" t="inlineStr">
        <is>
          <t>1404/06</t>
        </is>
      </c>
      <c r="G987" s="61" t="inlineStr">
        <is>
          <t>شهریور</t>
        </is>
      </c>
      <c r="H987" s="134" t="inlineStr">
        <is>
          <t>تابستان</t>
        </is>
      </c>
      <c r="I987" s="134" t="inlineStr">
        <is>
          <t>دوشنبه</t>
        </is>
      </c>
      <c r="J987" s="134" t="inlineStr">
        <is>
          <t>بله</t>
        </is>
      </c>
    </row>
    <row r="988">
      <c r="A988" s="173" t="n">
        <v>45909</v>
      </c>
      <c r="B988" s="174" t="n">
        <v>45909</v>
      </c>
      <c r="C988" s="174" t="n">
        <v>1404</v>
      </c>
      <c r="D988" s="174" t="n">
        <v>6</v>
      </c>
      <c r="E988" s="175" t="inlineStr">
        <is>
          <t>1404/06/18</t>
        </is>
      </c>
      <c r="F988" s="128" t="inlineStr">
        <is>
          <t>1404/06</t>
        </is>
      </c>
      <c r="G988" s="58" t="inlineStr">
        <is>
          <t>شهریور</t>
        </is>
      </c>
      <c r="H988" s="128" t="inlineStr">
        <is>
          <t>تابستان</t>
        </is>
      </c>
      <c r="I988" s="128" t="inlineStr">
        <is>
          <t>سه‌شنبه</t>
        </is>
      </c>
      <c r="J988" s="128" t="inlineStr">
        <is>
          <t>بله</t>
        </is>
      </c>
    </row>
    <row r="989">
      <c r="A989" s="176" t="n">
        <v>45910</v>
      </c>
      <c r="B989" s="177" t="n">
        <v>45910</v>
      </c>
      <c r="C989" s="177" t="n">
        <v>1404</v>
      </c>
      <c r="D989" s="177" t="n">
        <v>6</v>
      </c>
      <c r="E989" s="178" t="inlineStr">
        <is>
          <t>1404/06/19</t>
        </is>
      </c>
      <c r="F989" s="134" t="inlineStr">
        <is>
          <t>1404/06</t>
        </is>
      </c>
      <c r="G989" s="61" t="inlineStr">
        <is>
          <t>شهریور</t>
        </is>
      </c>
      <c r="H989" s="134" t="inlineStr">
        <is>
          <t>تابستان</t>
        </is>
      </c>
      <c r="I989" s="134" t="inlineStr">
        <is>
          <t>چهارشنبه</t>
        </is>
      </c>
      <c r="J989" s="134" t="inlineStr">
        <is>
          <t>بله</t>
        </is>
      </c>
    </row>
    <row r="990">
      <c r="A990" s="173" t="n">
        <v>45911</v>
      </c>
      <c r="B990" s="174" t="n">
        <v>45911</v>
      </c>
      <c r="C990" s="174" t="n">
        <v>1404</v>
      </c>
      <c r="D990" s="174" t="n">
        <v>6</v>
      </c>
      <c r="E990" s="175" t="inlineStr">
        <is>
          <t>1404/06/20</t>
        </is>
      </c>
      <c r="F990" s="128" t="inlineStr">
        <is>
          <t>1404/06</t>
        </is>
      </c>
      <c r="G990" s="58" t="inlineStr">
        <is>
          <t>شهریور</t>
        </is>
      </c>
      <c r="H990" s="128" t="inlineStr">
        <is>
          <t>تابستان</t>
        </is>
      </c>
      <c r="I990" s="128" t="inlineStr">
        <is>
          <t>پنجشنبه</t>
        </is>
      </c>
      <c r="J990" s="128" t="inlineStr">
        <is>
          <t>بله</t>
        </is>
      </c>
    </row>
    <row r="991">
      <c r="A991" s="176" t="n">
        <v>45912</v>
      </c>
      <c r="B991" s="177" t="n">
        <v>45912</v>
      </c>
      <c r="C991" s="177" t="n">
        <v>1404</v>
      </c>
      <c r="D991" s="177" t="n">
        <v>6</v>
      </c>
      <c r="E991" s="178" t="inlineStr">
        <is>
          <t>1404/06/21</t>
        </is>
      </c>
      <c r="F991" s="134" t="inlineStr">
        <is>
          <t>1404/06</t>
        </is>
      </c>
      <c r="G991" s="61" t="inlineStr">
        <is>
          <t>شهریور</t>
        </is>
      </c>
      <c r="H991" s="134" t="inlineStr">
        <is>
          <t>تابستان</t>
        </is>
      </c>
      <c r="I991" s="134" t="inlineStr">
        <is>
          <t>جمعه</t>
        </is>
      </c>
      <c r="J991" s="134" t="inlineStr">
        <is>
          <t>بله</t>
        </is>
      </c>
    </row>
    <row r="992">
      <c r="A992" s="173" t="n">
        <v>45913</v>
      </c>
      <c r="B992" s="174" t="n">
        <v>45913</v>
      </c>
      <c r="C992" s="174" t="n">
        <v>1404</v>
      </c>
      <c r="D992" s="174" t="n">
        <v>6</v>
      </c>
      <c r="E992" s="175" t="inlineStr">
        <is>
          <t>1404/06/22</t>
        </is>
      </c>
      <c r="F992" s="128" t="inlineStr">
        <is>
          <t>1404/06</t>
        </is>
      </c>
      <c r="G992" s="58" t="inlineStr">
        <is>
          <t>شهریور</t>
        </is>
      </c>
      <c r="H992" s="128" t="inlineStr">
        <is>
          <t>تابستان</t>
        </is>
      </c>
      <c r="I992" s="128" t="inlineStr">
        <is>
          <t>شنبه</t>
        </is>
      </c>
      <c r="J992" s="128" t="inlineStr">
        <is>
          <t>خیر</t>
        </is>
      </c>
    </row>
    <row r="993">
      <c r="A993" s="176" t="n">
        <v>45914</v>
      </c>
      <c r="B993" s="177" t="n">
        <v>45914</v>
      </c>
      <c r="C993" s="177" t="n">
        <v>1404</v>
      </c>
      <c r="D993" s="177" t="n">
        <v>6</v>
      </c>
      <c r="E993" s="178" t="inlineStr">
        <is>
          <t>1404/06/23</t>
        </is>
      </c>
      <c r="F993" s="134" t="inlineStr">
        <is>
          <t>1404/06</t>
        </is>
      </c>
      <c r="G993" s="61" t="inlineStr">
        <is>
          <t>شهریور</t>
        </is>
      </c>
      <c r="H993" s="134" t="inlineStr">
        <is>
          <t>تابستان</t>
        </is>
      </c>
      <c r="I993" s="134" t="inlineStr">
        <is>
          <t>یکشنبه</t>
        </is>
      </c>
      <c r="J993" s="134" t="inlineStr">
        <is>
          <t>خیر</t>
        </is>
      </c>
    </row>
    <row r="994">
      <c r="A994" s="173" t="n">
        <v>45915</v>
      </c>
      <c r="B994" s="174" t="n">
        <v>45915</v>
      </c>
      <c r="C994" s="174" t="n">
        <v>1404</v>
      </c>
      <c r="D994" s="174" t="n">
        <v>6</v>
      </c>
      <c r="E994" s="175" t="inlineStr">
        <is>
          <t>1404/06/24</t>
        </is>
      </c>
      <c r="F994" s="128" t="inlineStr">
        <is>
          <t>1404/06</t>
        </is>
      </c>
      <c r="G994" s="58" t="inlineStr">
        <is>
          <t>شهریور</t>
        </is>
      </c>
      <c r="H994" s="128" t="inlineStr">
        <is>
          <t>تابستان</t>
        </is>
      </c>
      <c r="I994" s="128" t="inlineStr">
        <is>
          <t>دوشنبه</t>
        </is>
      </c>
      <c r="J994" s="128" t="inlineStr">
        <is>
          <t>بله</t>
        </is>
      </c>
    </row>
    <row r="995">
      <c r="A995" s="176" t="n">
        <v>45916</v>
      </c>
      <c r="B995" s="177" t="n">
        <v>45916</v>
      </c>
      <c r="C995" s="177" t="n">
        <v>1404</v>
      </c>
      <c r="D995" s="177" t="n">
        <v>6</v>
      </c>
      <c r="E995" s="178" t="inlineStr">
        <is>
          <t>1404/06/25</t>
        </is>
      </c>
      <c r="F995" s="134" t="inlineStr">
        <is>
          <t>1404/06</t>
        </is>
      </c>
      <c r="G995" s="61" t="inlineStr">
        <is>
          <t>شهریور</t>
        </is>
      </c>
      <c r="H995" s="134" t="inlineStr">
        <is>
          <t>تابستان</t>
        </is>
      </c>
      <c r="I995" s="134" t="inlineStr">
        <is>
          <t>سه‌شنبه</t>
        </is>
      </c>
      <c r="J995" s="134" t="inlineStr">
        <is>
          <t>بله</t>
        </is>
      </c>
    </row>
    <row r="996">
      <c r="A996" s="173" t="n">
        <v>45917</v>
      </c>
      <c r="B996" s="174" t="n">
        <v>45917</v>
      </c>
      <c r="C996" s="174" t="n">
        <v>1404</v>
      </c>
      <c r="D996" s="174" t="n">
        <v>6</v>
      </c>
      <c r="E996" s="175" t="inlineStr">
        <is>
          <t>1404/06/26</t>
        </is>
      </c>
      <c r="F996" s="128" t="inlineStr">
        <is>
          <t>1404/06</t>
        </is>
      </c>
      <c r="G996" s="58" t="inlineStr">
        <is>
          <t>شهریور</t>
        </is>
      </c>
      <c r="H996" s="128" t="inlineStr">
        <is>
          <t>تابستان</t>
        </is>
      </c>
      <c r="I996" s="128" t="inlineStr">
        <is>
          <t>چهارشنبه</t>
        </is>
      </c>
      <c r="J996" s="128" t="inlineStr">
        <is>
          <t>بله</t>
        </is>
      </c>
    </row>
    <row r="997">
      <c r="A997" s="176" t="n">
        <v>45918</v>
      </c>
      <c r="B997" s="177" t="n">
        <v>45918</v>
      </c>
      <c r="C997" s="177" t="n">
        <v>1404</v>
      </c>
      <c r="D997" s="177" t="n">
        <v>6</v>
      </c>
      <c r="E997" s="178" t="inlineStr">
        <is>
          <t>1404/06/27</t>
        </is>
      </c>
      <c r="F997" s="134" t="inlineStr">
        <is>
          <t>1404/06</t>
        </is>
      </c>
      <c r="G997" s="61" t="inlineStr">
        <is>
          <t>شهریور</t>
        </is>
      </c>
      <c r="H997" s="134" t="inlineStr">
        <is>
          <t>تابستان</t>
        </is>
      </c>
      <c r="I997" s="134" t="inlineStr">
        <is>
          <t>پنجشنبه</t>
        </is>
      </c>
      <c r="J997" s="134" t="inlineStr">
        <is>
          <t>بله</t>
        </is>
      </c>
    </row>
    <row r="998">
      <c r="A998" s="173" t="n">
        <v>45919</v>
      </c>
      <c r="B998" s="174" t="n">
        <v>45919</v>
      </c>
      <c r="C998" s="174" t="n">
        <v>1404</v>
      </c>
      <c r="D998" s="174" t="n">
        <v>6</v>
      </c>
      <c r="E998" s="175" t="inlineStr">
        <is>
          <t>1404/06/28</t>
        </is>
      </c>
      <c r="F998" s="128" t="inlineStr">
        <is>
          <t>1404/06</t>
        </is>
      </c>
      <c r="G998" s="58" t="inlineStr">
        <is>
          <t>شهریور</t>
        </is>
      </c>
      <c r="H998" s="128" t="inlineStr">
        <is>
          <t>تابستان</t>
        </is>
      </c>
      <c r="I998" s="128" t="inlineStr">
        <is>
          <t>جمعه</t>
        </is>
      </c>
      <c r="J998" s="128" t="inlineStr">
        <is>
          <t>بله</t>
        </is>
      </c>
    </row>
    <row r="999">
      <c r="A999" s="176" t="n">
        <v>45920</v>
      </c>
      <c r="B999" s="177" t="n">
        <v>45920</v>
      </c>
      <c r="C999" s="177" t="n">
        <v>1404</v>
      </c>
      <c r="D999" s="177" t="n">
        <v>6</v>
      </c>
      <c r="E999" s="178" t="inlineStr">
        <is>
          <t>1404/06/29</t>
        </is>
      </c>
      <c r="F999" s="134" t="inlineStr">
        <is>
          <t>1404/06</t>
        </is>
      </c>
      <c r="G999" s="61" t="inlineStr">
        <is>
          <t>شهریور</t>
        </is>
      </c>
      <c r="H999" s="134" t="inlineStr">
        <is>
          <t>تابستان</t>
        </is>
      </c>
      <c r="I999" s="134" t="inlineStr">
        <is>
          <t>شنبه</t>
        </is>
      </c>
      <c r="J999" s="134" t="inlineStr">
        <is>
          <t>خیر</t>
        </is>
      </c>
    </row>
    <row r="1000">
      <c r="A1000" s="173" t="n">
        <v>45921</v>
      </c>
      <c r="B1000" s="174" t="n">
        <v>45921</v>
      </c>
      <c r="C1000" s="174" t="n">
        <v>1404</v>
      </c>
      <c r="D1000" s="174" t="n">
        <v>6</v>
      </c>
      <c r="E1000" s="175" t="inlineStr">
        <is>
          <t>1404/06/30</t>
        </is>
      </c>
      <c r="F1000" s="128" t="inlineStr">
        <is>
          <t>1404/06</t>
        </is>
      </c>
      <c r="G1000" s="58" t="inlineStr">
        <is>
          <t>شهریور</t>
        </is>
      </c>
      <c r="H1000" s="128" t="inlineStr">
        <is>
          <t>تابستان</t>
        </is>
      </c>
      <c r="I1000" s="128" t="inlineStr">
        <is>
          <t>یکشنبه</t>
        </is>
      </c>
      <c r="J1000" s="128" t="inlineStr">
        <is>
          <t>خیر</t>
        </is>
      </c>
    </row>
    <row r="1001">
      <c r="A1001" s="176" t="n">
        <v>45922</v>
      </c>
      <c r="B1001" s="177" t="n">
        <v>45922</v>
      </c>
      <c r="C1001" s="177" t="n">
        <v>1404</v>
      </c>
      <c r="D1001" s="177" t="n">
        <v>6</v>
      </c>
      <c r="E1001" s="178" t="inlineStr">
        <is>
          <t>1404/06/31</t>
        </is>
      </c>
      <c r="F1001" s="134" t="inlineStr">
        <is>
          <t>1404/06</t>
        </is>
      </c>
      <c r="G1001" s="61" t="inlineStr">
        <is>
          <t>شهریور</t>
        </is>
      </c>
      <c r="H1001" s="134" t="inlineStr">
        <is>
          <t>تابستان</t>
        </is>
      </c>
      <c r="I1001" s="134" t="inlineStr">
        <is>
          <t>دوشنبه</t>
        </is>
      </c>
      <c r="J1001" s="134" t="inlineStr">
        <is>
          <t>بله</t>
        </is>
      </c>
    </row>
    <row r="1002">
      <c r="A1002" s="173" t="n">
        <v>45923</v>
      </c>
      <c r="B1002" s="174" t="n">
        <v>45923</v>
      </c>
      <c r="C1002" s="174" t="n">
        <v>1404</v>
      </c>
      <c r="D1002" s="174" t="n">
        <v>7</v>
      </c>
      <c r="E1002" s="175" t="inlineStr">
        <is>
          <t>1404/07/01</t>
        </is>
      </c>
      <c r="F1002" s="128" t="inlineStr">
        <is>
          <t>1404/07</t>
        </is>
      </c>
      <c r="G1002" s="58" t="inlineStr">
        <is>
          <t>مهر</t>
        </is>
      </c>
      <c r="H1002" s="128" t="inlineStr">
        <is>
          <t>پاییز</t>
        </is>
      </c>
      <c r="I1002" s="128" t="inlineStr">
        <is>
          <t>سه‌شنبه</t>
        </is>
      </c>
      <c r="J1002" s="128" t="inlineStr">
        <is>
          <t>بله</t>
        </is>
      </c>
    </row>
    <row r="1003">
      <c r="A1003" s="176" t="n">
        <v>45924</v>
      </c>
      <c r="B1003" s="177" t="n">
        <v>45924</v>
      </c>
      <c r="C1003" s="177" t="n">
        <v>1404</v>
      </c>
      <c r="D1003" s="177" t="n">
        <v>7</v>
      </c>
      <c r="E1003" s="178" t="inlineStr">
        <is>
          <t>1404/07/02</t>
        </is>
      </c>
      <c r="F1003" s="134" t="inlineStr">
        <is>
          <t>1404/07</t>
        </is>
      </c>
      <c r="G1003" s="61" t="inlineStr">
        <is>
          <t>مهر</t>
        </is>
      </c>
      <c r="H1003" s="134" t="inlineStr">
        <is>
          <t>پاییز</t>
        </is>
      </c>
      <c r="I1003" s="134" t="inlineStr">
        <is>
          <t>چهارشنبه</t>
        </is>
      </c>
      <c r="J1003" s="134" t="inlineStr">
        <is>
          <t>بله</t>
        </is>
      </c>
    </row>
    <row r="1004">
      <c r="A1004" s="173" t="n">
        <v>45925</v>
      </c>
      <c r="B1004" s="174" t="n">
        <v>45925</v>
      </c>
      <c r="C1004" s="174" t="n">
        <v>1404</v>
      </c>
      <c r="D1004" s="174" t="n">
        <v>7</v>
      </c>
      <c r="E1004" s="175" t="inlineStr">
        <is>
          <t>1404/07/03</t>
        </is>
      </c>
      <c r="F1004" s="128" t="inlineStr">
        <is>
          <t>1404/07</t>
        </is>
      </c>
      <c r="G1004" s="58" t="inlineStr">
        <is>
          <t>مهر</t>
        </is>
      </c>
      <c r="H1004" s="128" t="inlineStr">
        <is>
          <t>پاییز</t>
        </is>
      </c>
      <c r="I1004" s="128" t="inlineStr">
        <is>
          <t>پنجشنبه</t>
        </is>
      </c>
      <c r="J1004" s="128" t="inlineStr">
        <is>
          <t>بله</t>
        </is>
      </c>
    </row>
    <row r="1005">
      <c r="A1005" s="176" t="n">
        <v>45926</v>
      </c>
      <c r="B1005" s="177" t="n">
        <v>45926</v>
      </c>
      <c r="C1005" s="177" t="n">
        <v>1404</v>
      </c>
      <c r="D1005" s="177" t="n">
        <v>7</v>
      </c>
      <c r="E1005" s="178" t="inlineStr">
        <is>
          <t>1404/07/04</t>
        </is>
      </c>
      <c r="F1005" s="134" t="inlineStr">
        <is>
          <t>1404/07</t>
        </is>
      </c>
      <c r="G1005" s="61" t="inlineStr">
        <is>
          <t>مهر</t>
        </is>
      </c>
      <c r="H1005" s="134" t="inlineStr">
        <is>
          <t>پاییز</t>
        </is>
      </c>
      <c r="I1005" s="134" t="inlineStr">
        <is>
          <t>جمعه</t>
        </is>
      </c>
      <c r="J1005" s="134" t="inlineStr">
        <is>
          <t>بله</t>
        </is>
      </c>
    </row>
    <row r="1006">
      <c r="A1006" s="173" t="n">
        <v>45927</v>
      </c>
      <c r="B1006" s="174" t="n">
        <v>45927</v>
      </c>
      <c r="C1006" s="174" t="n">
        <v>1404</v>
      </c>
      <c r="D1006" s="174" t="n">
        <v>7</v>
      </c>
      <c r="E1006" s="175" t="inlineStr">
        <is>
          <t>1404/07/05</t>
        </is>
      </c>
      <c r="F1006" s="128" t="inlineStr">
        <is>
          <t>1404/07</t>
        </is>
      </c>
      <c r="G1006" s="58" t="inlineStr">
        <is>
          <t>مهر</t>
        </is>
      </c>
      <c r="H1006" s="128" t="inlineStr">
        <is>
          <t>پاییز</t>
        </is>
      </c>
      <c r="I1006" s="128" t="inlineStr">
        <is>
          <t>شنبه</t>
        </is>
      </c>
      <c r="J1006" s="128" t="inlineStr">
        <is>
          <t>خیر</t>
        </is>
      </c>
    </row>
    <row r="1007">
      <c r="A1007" s="176" t="n">
        <v>45928</v>
      </c>
      <c r="B1007" s="177" t="n">
        <v>45928</v>
      </c>
      <c r="C1007" s="177" t="n">
        <v>1404</v>
      </c>
      <c r="D1007" s="177" t="n">
        <v>7</v>
      </c>
      <c r="E1007" s="178" t="inlineStr">
        <is>
          <t>1404/07/06</t>
        </is>
      </c>
      <c r="F1007" s="134" t="inlineStr">
        <is>
          <t>1404/07</t>
        </is>
      </c>
      <c r="G1007" s="61" t="inlineStr">
        <is>
          <t>مهر</t>
        </is>
      </c>
      <c r="H1007" s="134" t="inlineStr">
        <is>
          <t>پاییز</t>
        </is>
      </c>
      <c r="I1007" s="134" t="inlineStr">
        <is>
          <t>یکشنبه</t>
        </is>
      </c>
      <c r="J1007" s="134" t="inlineStr">
        <is>
          <t>خیر</t>
        </is>
      </c>
    </row>
    <row r="1008">
      <c r="A1008" s="173" t="n">
        <v>45929</v>
      </c>
      <c r="B1008" s="174" t="n">
        <v>45929</v>
      </c>
      <c r="C1008" s="174" t="n">
        <v>1404</v>
      </c>
      <c r="D1008" s="174" t="n">
        <v>7</v>
      </c>
      <c r="E1008" s="175" t="inlineStr">
        <is>
          <t>1404/07/07</t>
        </is>
      </c>
      <c r="F1008" s="128" t="inlineStr">
        <is>
          <t>1404/07</t>
        </is>
      </c>
      <c r="G1008" s="58" t="inlineStr">
        <is>
          <t>مهر</t>
        </is>
      </c>
      <c r="H1008" s="128" t="inlineStr">
        <is>
          <t>پاییز</t>
        </is>
      </c>
      <c r="I1008" s="128" t="inlineStr">
        <is>
          <t>دوشنبه</t>
        </is>
      </c>
      <c r="J1008" s="128" t="inlineStr">
        <is>
          <t>بله</t>
        </is>
      </c>
    </row>
    <row r="1009">
      <c r="A1009" s="176" t="n">
        <v>45930</v>
      </c>
      <c r="B1009" s="177" t="n">
        <v>45930</v>
      </c>
      <c r="C1009" s="177" t="n">
        <v>1404</v>
      </c>
      <c r="D1009" s="177" t="n">
        <v>7</v>
      </c>
      <c r="E1009" s="178" t="inlineStr">
        <is>
          <t>1404/07/08</t>
        </is>
      </c>
      <c r="F1009" s="134" t="inlineStr">
        <is>
          <t>1404/07</t>
        </is>
      </c>
      <c r="G1009" s="61" t="inlineStr">
        <is>
          <t>مهر</t>
        </is>
      </c>
      <c r="H1009" s="134" t="inlineStr">
        <is>
          <t>پاییز</t>
        </is>
      </c>
      <c r="I1009" s="134" t="inlineStr">
        <is>
          <t>سه‌شنبه</t>
        </is>
      </c>
      <c r="J1009" s="134" t="inlineStr">
        <is>
          <t>بله</t>
        </is>
      </c>
    </row>
    <row r="1010">
      <c r="A1010" s="173" t="n">
        <v>45931</v>
      </c>
      <c r="B1010" s="174" t="n">
        <v>45931</v>
      </c>
      <c r="C1010" s="174" t="n">
        <v>1404</v>
      </c>
      <c r="D1010" s="174" t="n">
        <v>7</v>
      </c>
      <c r="E1010" s="175" t="inlineStr">
        <is>
          <t>1404/07/09</t>
        </is>
      </c>
      <c r="F1010" s="128" t="inlineStr">
        <is>
          <t>1404/07</t>
        </is>
      </c>
      <c r="G1010" s="58" t="inlineStr">
        <is>
          <t>مهر</t>
        </is>
      </c>
      <c r="H1010" s="128" t="inlineStr">
        <is>
          <t>پاییز</t>
        </is>
      </c>
      <c r="I1010" s="128" t="inlineStr">
        <is>
          <t>چهارشنبه</t>
        </is>
      </c>
      <c r="J1010" s="128" t="inlineStr">
        <is>
          <t>بله</t>
        </is>
      </c>
    </row>
    <row r="1011">
      <c r="A1011" s="176" t="n">
        <v>45932</v>
      </c>
      <c r="B1011" s="177" t="n">
        <v>45932</v>
      </c>
      <c r="C1011" s="177" t="n">
        <v>1404</v>
      </c>
      <c r="D1011" s="177" t="n">
        <v>7</v>
      </c>
      <c r="E1011" s="178" t="inlineStr">
        <is>
          <t>1404/07/10</t>
        </is>
      </c>
      <c r="F1011" s="134" t="inlineStr">
        <is>
          <t>1404/07</t>
        </is>
      </c>
      <c r="G1011" s="61" t="inlineStr">
        <is>
          <t>مهر</t>
        </is>
      </c>
      <c r="H1011" s="134" t="inlineStr">
        <is>
          <t>پاییز</t>
        </is>
      </c>
      <c r="I1011" s="134" t="inlineStr">
        <is>
          <t>پنجشنبه</t>
        </is>
      </c>
      <c r="J1011" s="134" t="inlineStr">
        <is>
          <t>بله</t>
        </is>
      </c>
    </row>
    <row r="1012">
      <c r="A1012" s="173" t="n">
        <v>45933</v>
      </c>
      <c r="B1012" s="174" t="n">
        <v>45933</v>
      </c>
      <c r="C1012" s="174" t="n">
        <v>1404</v>
      </c>
      <c r="D1012" s="174" t="n">
        <v>7</v>
      </c>
      <c r="E1012" s="175" t="inlineStr">
        <is>
          <t>1404/07/11</t>
        </is>
      </c>
      <c r="F1012" s="128" t="inlineStr">
        <is>
          <t>1404/07</t>
        </is>
      </c>
      <c r="G1012" s="58" t="inlineStr">
        <is>
          <t>مهر</t>
        </is>
      </c>
      <c r="H1012" s="128" t="inlineStr">
        <is>
          <t>پاییز</t>
        </is>
      </c>
      <c r="I1012" s="128" t="inlineStr">
        <is>
          <t>جمعه</t>
        </is>
      </c>
      <c r="J1012" s="128" t="inlineStr">
        <is>
          <t>بله</t>
        </is>
      </c>
    </row>
    <row r="1013">
      <c r="A1013" s="176" t="n">
        <v>45934</v>
      </c>
      <c r="B1013" s="177" t="n">
        <v>45934</v>
      </c>
      <c r="C1013" s="177" t="n">
        <v>1404</v>
      </c>
      <c r="D1013" s="177" t="n">
        <v>7</v>
      </c>
      <c r="E1013" s="178" t="inlineStr">
        <is>
          <t>1404/07/12</t>
        </is>
      </c>
      <c r="F1013" s="134" t="inlineStr">
        <is>
          <t>1404/07</t>
        </is>
      </c>
      <c r="G1013" s="61" t="inlineStr">
        <is>
          <t>مهر</t>
        </is>
      </c>
      <c r="H1013" s="134" t="inlineStr">
        <is>
          <t>پاییز</t>
        </is>
      </c>
      <c r="I1013" s="134" t="inlineStr">
        <is>
          <t>شنبه</t>
        </is>
      </c>
      <c r="J1013" s="134" t="inlineStr">
        <is>
          <t>خیر</t>
        </is>
      </c>
    </row>
    <row r="1014">
      <c r="A1014" s="173" t="n">
        <v>45935</v>
      </c>
      <c r="B1014" s="174" t="n">
        <v>45935</v>
      </c>
      <c r="C1014" s="174" t="n">
        <v>1404</v>
      </c>
      <c r="D1014" s="174" t="n">
        <v>7</v>
      </c>
      <c r="E1014" s="175" t="inlineStr">
        <is>
          <t>1404/07/13</t>
        </is>
      </c>
      <c r="F1014" s="128" t="inlineStr">
        <is>
          <t>1404/07</t>
        </is>
      </c>
      <c r="G1014" s="58" t="inlineStr">
        <is>
          <t>مهر</t>
        </is>
      </c>
      <c r="H1014" s="128" t="inlineStr">
        <is>
          <t>پاییز</t>
        </is>
      </c>
      <c r="I1014" s="128" t="inlineStr">
        <is>
          <t>یکشنبه</t>
        </is>
      </c>
      <c r="J1014" s="128" t="inlineStr">
        <is>
          <t>خیر</t>
        </is>
      </c>
    </row>
    <row r="1015">
      <c r="A1015" s="176" t="n">
        <v>45936</v>
      </c>
      <c r="B1015" s="177" t="n">
        <v>45936</v>
      </c>
      <c r="C1015" s="177" t="n">
        <v>1404</v>
      </c>
      <c r="D1015" s="177" t="n">
        <v>7</v>
      </c>
      <c r="E1015" s="178" t="inlineStr">
        <is>
          <t>1404/07/14</t>
        </is>
      </c>
      <c r="F1015" s="134" t="inlineStr">
        <is>
          <t>1404/07</t>
        </is>
      </c>
      <c r="G1015" s="61" t="inlineStr">
        <is>
          <t>مهر</t>
        </is>
      </c>
      <c r="H1015" s="134" t="inlineStr">
        <is>
          <t>پاییز</t>
        </is>
      </c>
      <c r="I1015" s="134" t="inlineStr">
        <is>
          <t>دوشنبه</t>
        </is>
      </c>
      <c r="J1015" s="134" t="inlineStr">
        <is>
          <t>بله</t>
        </is>
      </c>
    </row>
    <row r="1016">
      <c r="A1016" s="173" t="n">
        <v>45937</v>
      </c>
      <c r="B1016" s="174" t="n">
        <v>45937</v>
      </c>
      <c r="C1016" s="174" t="n">
        <v>1404</v>
      </c>
      <c r="D1016" s="174" t="n">
        <v>7</v>
      </c>
      <c r="E1016" s="175" t="inlineStr">
        <is>
          <t>1404/07/15</t>
        </is>
      </c>
      <c r="F1016" s="128" t="inlineStr">
        <is>
          <t>1404/07</t>
        </is>
      </c>
      <c r="G1016" s="58" t="inlineStr">
        <is>
          <t>مهر</t>
        </is>
      </c>
      <c r="H1016" s="128" t="inlineStr">
        <is>
          <t>پاییز</t>
        </is>
      </c>
      <c r="I1016" s="128" t="inlineStr">
        <is>
          <t>سه‌شنبه</t>
        </is>
      </c>
      <c r="J1016" s="128" t="inlineStr">
        <is>
          <t>بله</t>
        </is>
      </c>
    </row>
    <row r="1017">
      <c r="A1017" s="176" t="n">
        <v>45938</v>
      </c>
      <c r="B1017" s="177" t="n">
        <v>45938</v>
      </c>
      <c r="C1017" s="177" t="n">
        <v>1404</v>
      </c>
      <c r="D1017" s="177" t="n">
        <v>7</v>
      </c>
      <c r="E1017" s="178" t="inlineStr">
        <is>
          <t>1404/07/16</t>
        </is>
      </c>
      <c r="F1017" s="134" t="inlineStr">
        <is>
          <t>1404/07</t>
        </is>
      </c>
      <c r="G1017" s="61" t="inlineStr">
        <is>
          <t>مهر</t>
        </is>
      </c>
      <c r="H1017" s="134" t="inlineStr">
        <is>
          <t>پاییز</t>
        </is>
      </c>
      <c r="I1017" s="134" t="inlineStr">
        <is>
          <t>چهارشنبه</t>
        </is>
      </c>
      <c r="J1017" s="134" t="inlineStr">
        <is>
          <t>بله</t>
        </is>
      </c>
    </row>
    <row r="1018">
      <c r="A1018" s="173" t="n">
        <v>45939</v>
      </c>
      <c r="B1018" s="174" t="n">
        <v>45939</v>
      </c>
      <c r="C1018" s="174" t="n">
        <v>1404</v>
      </c>
      <c r="D1018" s="174" t="n">
        <v>7</v>
      </c>
      <c r="E1018" s="175" t="inlineStr">
        <is>
          <t>1404/07/17</t>
        </is>
      </c>
      <c r="F1018" s="128" t="inlineStr">
        <is>
          <t>1404/07</t>
        </is>
      </c>
      <c r="G1018" s="58" t="inlineStr">
        <is>
          <t>مهر</t>
        </is>
      </c>
      <c r="H1018" s="128" t="inlineStr">
        <is>
          <t>پاییز</t>
        </is>
      </c>
      <c r="I1018" s="128" t="inlineStr">
        <is>
          <t>پنجشنبه</t>
        </is>
      </c>
      <c r="J1018" s="128" t="inlineStr">
        <is>
          <t>بله</t>
        </is>
      </c>
    </row>
    <row r="1019">
      <c r="A1019" s="176" t="n">
        <v>45940</v>
      </c>
      <c r="B1019" s="177" t="n">
        <v>45940</v>
      </c>
      <c r="C1019" s="177" t="n">
        <v>1404</v>
      </c>
      <c r="D1019" s="177" t="n">
        <v>7</v>
      </c>
      <c r="E1019" s="178" t="inlineStr">
        <is>
          <t>1404/07/18</t>
        </is>
      </c>
      <c r="F1019" s="134" t="inlineStr">
        <is>
          <t>1404/07</t>
        </is>
      </c>
      <c r="G1019" s="61" t="inlineStr">
        <is>
          <t>مهر</t>
        </is>
      </c>
      <c r="H1019" s="134" t="inlineStr">
        <is>
          <t>پاییز</t>
        </is>
      </c>
      <c r="I1019" s="134" t="inlineStr">
        <is>
          <t>جمعه</t>
        </is>
      </c>
      <c r="J1019" s="134" t="inlineStr">
        <is>
          <t>بله</t>
        </is>
      </c>
    </row>
    <row r="1020">
      <c r="A1020" s="173" t="n">
        <v>45941</v>
      </c>
      <c r="B1020" s="174" t="n">
        <v>45941</v>
      </c>
      <c r="C1020" s="174" t="n">
        <v>1404</v>
      </c>
      <c r="D1020" s="174" t="n">
        <v>7</v>
      </c>
      <c r="E1020" s="175" t="inlineStr">
        <is>
          <t>1404/07/19</t>
        </is>
      </c>
      <c r="F1020" s="128" t="inlineStr">
        <is>
          <t>1404/07</t>
        </is>
      </c>
      <c r="G1020" s="58" t="inlineStr">
        <is>
          <t>مهر</t>
        </is>
      </c>
      <c r="H1020" s="128" t="inlineStr">
        <is>
          <t>پاییز</t>
        </is>
      </c>
      <c r="I1020" s="128" t="inlineStr">
        <is>
          <t>شنبه</t>
        </is>
      </c>
      <c r="J1020" s="128" t="inlineStr">
        <is>
          <t>خیر</t>
        </is>
      </c>
    </row>
    <row r="1021">
      <c r="A1021" s="176" t="n">
        <v>45942</v>
      </c>
      <c r="B1021" s="177" t="n">
        <v>45942</v>
      </c>
      <c r="C1021" s="177" t="n">
        <v>1404</v>
      </c>
      <c r="D1021" s="177" t="n">
        <v>7</v>
      </c>
      <c r="E1021" s="178" t="inlineStr">
        <is>
          <t>1404/07/20</t>
        </is>
      </c>
      <c r="F1021" s="134" t="inlineStr">
        <is>
          <t>1404/07</t>
        </is>
      </c>
      <c r="G1021" s="61" t="inlineStr">
        <is>
          <t>مهر</t>
        </is>
      </c>
      <c r="H1021" s="134" t="inlineStr">
        <is>
          <t>پاییز</t>
        </is>
      </c>
      <c r="I1021" s="134" t="inlineStr">
        <is>
          <t>یکشنبه</t>
        </is>
      </c>
      <c r="J1021" s="134" t="inlineStr">
        <is>
          <t>خیر</t>
        </is>
      </c>
    </row>
    <row r="1022">
      <c r="A1022" s="173" t="n">
        <v>45943</v>
      </c>
      <c r="B1022" s="174" t="n">
        <v>45943</v>
      </c>
      <c r="C1022" s="174" t="n">
        <v>1404</v>
      </c>
      <c r="D1022" s="174" t="n">
        <v>7</v>
      </c>
      <c r="E1022" s="175" t="inlineStr">
        <is>
          <t>1404/07/21</t>
        </is>
      </c>
      <c r="F1022" s="128" t="inlineStr">
        <is>
          <t>1404/07</t>
        </is>
      </c>
      <c r="G1022" s="58" t="inlineStr">
        <is>
          <t>مهر</t>
        </is>
      </c>
      <c r="H1022" s="128" t="inlineStr">
        <is>
          <t>پاییز</t>
        </is>
      </c>
      <c r="I1022" s="128" t="inlineStr">
        <is>
          <t>دوشنبه</t>
        </is>
      </c>
      <c r="J1022" s="128" t="inlineStr">
        <is>
          <t>بله</t>
        </is>
      </c>
    </row>
    <row r="1023">
      <c r="A1023" s="176" t="n">
        <v>45944</v>
      </c>
      <c r="B1023" s="177" t="n">
        <v>45944</v>
      </c>
      <c r="C1023" s="177" t="n">
        <v>1404</v>
      </c>
      <c r="D1023" s="177" t="n">
        <v>7</v>
      </c>
      <c r="E1023" s="178" t="inlineStr">
        <is>
          <t>1404/07/22</t>
        </is>
      </c>
      <c r="F1023" s="134" t="inlineStr">
        <is>
          <t>1404/07</t>
        </is>
      </c>
      <c r="G1023" s="61" t="inlineStr">
        <is>
          <t>مهر</t>
        </is>
      </c>
      <c r="H1023" s="134" t="inlineStr">
        <is>
          <t>پاییز</t>
        </is>
      </c>
      <c r="I1023" s="134" t="inlineStr">
        <is>
          <t>سه‌شنبه</t>
        </is>
      </c>
      <c r="J1023" s="134" t="inlineStr">
        <is>
          <t>بله</t>
        </is>
      </c>
    </row>
    <row r="1024">
      <c r="A1024" s="173" t="n">
        <v>45945</v>
      </c>
      <c r="B1024" s="174" t="n">
        <v>45945</v>
      </c>
      <c r="C1024" s="174" t="n">
        <v>1404</v>
      </c>
      <c r="D1024" s="174" t="n">
        <v>7</v>
      </c>
      <c r="E1024" s="175" t="inlineStr">
        <is>
          <t>1404/07/23</t>
        </is>
      </c>
      <c r="F1024" s="128" t="inlineStr">
        <is>
          <t>1404/07</t>
        </is>
      </c>
      <c r="G1024" s="58" t="inlineStr">
        <is>
          <t>مهر</t>
        </is>
      </c>
      <c r="H1024" s="128" t="inlineStr">
        <is>
          <t>پاییز</t>
        </is>
      </c>
      <c r="I1024" s="128" t="inlineStr">
        <is>
          <t>چهارشنبه</t>
        </is>
      </c>
      <c r="J1024" s="128" t="inlineStr">
        <is>
          <t>بله</t>
        </is>
      </c>
    </row>
    <row r="1025">
      <c r="A1025" s="176" t="n">
        <v>45946</v>
      </c>
      <c r="B1025" s="177" t="n">
        <v>45946</v>
      </c>
      <c r="C1025" s="177" t="n">
        <v>1404</v>
      </c>
      <c r="D1025" s="177" t="n">
        <v>7</v>
      </c>
      <c r="E1025" s="178" t="inlineStr">
        <is>
          <t>1404/07/24</t>
        </is>
      </c>
      <c r="F1025" s="134" t="inlineStr">
        <is>
          <t>1404/07</t>
        </is>
      </c>
      <c r="G1025" s="61" t="inlineStr">
        <is>
          <t>مهر</t>
        </is>
      </c>
      <c r="H1025" s="134" t="inlineStr">
        <is>
          <t>پاییز</t>
        </is>
      </c>
      <c r="I1025" s="134" t="inlineStr">
        <is>
          <t>پنجشنبه</t>
        </is>
      </c>
      <c r="J1025" s="134" t="inlineStr">
        <is>
          <t>بله</t>
        </is>
      </c>
    </row>
    <row r="1026">
      <c r="A1026" s="173" t="n">
        <v>45947</v>
      </c>
      <c r="B1026" s="174" t="n">
        <v>45947</v>
      </c>
      <c r="C1026" s="174" t="n">
        <v>1404</v>
      </c>
      <c r="D1026" s="174" t="n">
        <v>7</v>
      </c>
      <c r="E1026" s="175" t="inlineStr">
        <is>
          <t>1404/07/25</t>
        </is>
      </c>
      <c r="F1026" s="128" t="inlineStr">
        <is>
          <t>1404/07</t>
        </is>
      </c>
      <c r="G1026" s="58" t="inlineStr">
        <is>
          <t>مهر</t>
        </is>
      </c>
      <c r="H1026" s="128" t="inlineStr">
        <is>
          <t>پاییز</t>
        </is>
      </c>
      <c r="I1026" s="128" t="inlineStr">
        <is>
          <t>جمعه</t>
        </is>
      </c>
      <c r="J1026" s="128" t="inlineStr">
        <is>
          <t>بله</t>
        </is>
      </c>
    </row>
    <row r="1027">
      <c r="A1027" s="176" t="n">
        <v>45948</v>
      </c>
      <c r="B1027" s="177" t="n">
        <v>45948</v>
      </c>
      <c r="C1027" s="177" t="n">
        <v>1404</v>
      </c>
      <c r="D1027" s="177" t="n">
        <v>7</v>
      </c>
      <c r="E1027" s="178" t="inlineStr">
        <is>
          <t>1404/07/26</t>
        </is>
      </c>
      <c r="F1027" s="134" t="inlineStr">
        <is>
          <t>1404/07</t>
        </is>
      </c>
      <c r="G1027" s="61" t="inlineStr">
        <is>
          <t>مهر</t>
        </is>
      </c>
      <c r="H1027" s="134" t="inlineStr">
        <is>
          <t>پاییز</t>
        </is>
      </c>
      <c r="I1027" s="134" t="inlineStr">
        <is>
          <t>شنبه</t>
        </is>
      </c>
      <c r="J1027" s="134" t="inlineStr">
        <is>
          <t>خیر</t>
        </is>
      </c>
    </row>
    <row r="1028">
      <c r="A1028" s="173" t="n">
        <v>45949</v>
      </c>
      <c r="B1028" s="174" t="n">
        <v>45949</v>
      </c>
      <c r="C1028" s="174" t="n">
        <v>1404</v>
      </c>
      <c r="D1028" s="174" t="n">
        <v>7</v>
      </c>
      <c r="E1028" s="175" t="inlineStr">
        <is>
          <t>1404/07/27</t>
        </is>
      </c>
      <c r="F1028" s="128" t="inlineStr">
        <is>
          <t>1404/07</t>
        </is>
      </c>
      <c r="G1028" s="58" t="inlineStr">
        <is>
          <t>مهر</t>
        </is>
      </c>
      <c r="H1028" s="128" t="inlineStr">
        <is>
          <t>پاییز</t>
        </is>
      </c>
      <c r="I1028" s="128" t="inlineStr">
        <is>
          <t>یکشنبه</t>
        </is>
      </c>
      <c r="J1028" s="128" t="inlineStr">
        <is>
          <t>خیر</t>
        </is>
      </c>
    </row>
    <row r="1029">
      <c r="A1029" s="176" t="n">
        <v>45950</v>
      </c>
      <c r="B1029" s="177" t="n">
        <v>45950</v>
      </c>
      <c r="C1029" s="177" t="n">
        <v>1404</v>
      </c>
      <c r="D1029" s="177" t="n">
        <v>7</v>
      </c>
      <c r="E1029" s="178" t="inlineStr">
        <is>
          <t>1404/07/28</t>
        </is>
      </c>
      <c r="F1029" s="134" t="inlineStr">
        <is>
          <t>1404/07</t>
        </is>
      </c>
      <c r="G1029" s="61" t="inlineStr">
        <is>
          <t>مهر</t>
        </is>
      </c>
      <c r="H1029" s="134" t="inlineStr">
        <is>
          <t>پاییز</t>
        </is>
      </c>
      <c r="I1029" s="134" t="inlineStr">
        <is>
          <t>دوشنبه</t>
        </is>
      </c>
      <c r="J1029" s="134" t="inlineStr">
        <is>
          <t>بله</t>
        </is>
      </c>
    </row>
    <row r="1030">
      <c r="A1030" s="173" t="n">
        <v>45951</v>
      </c>
      <c r="B1030" s="174" t="n">
        <v>45951</v>
      </c>
      <c r="C1030" s="174" t="n">
        <v>1404</v>
      </c>
      <c r="D1030" s="174" t="n">
        <v>7</v>
      </c>
      <c r="E1030" s="175" t="inlineStr">
        <is>
          <t>1404/07/29</t>
        </is>
      </c>
      <c r="F1030" s="128" t="inlineStr">
        <is>
          <t>1404/07</t>
        </is>
      </c>
      <c r="G1030" s="58" t="inlineStr">
        <is>
          <t>مهر</t>
        </is>
      </c>
      <c r="H1030" s="128" t="inlineStr">
        <is>
          <t>پاییز</t>
        </is>
      </c>
      <c r="I1030" s="128" t="inlineStr">
        <is>
          <t>سه‌شنبه</t>
        </is>
      </c>
      <c r="J1030" s="128" t="inlineStr">
        <is>
          <t>بله</t>
        </is>
      </c>
    </row>
    <row r="1031">
      <c r="A1031" s="176" t="n">
        <v>45952</v>
      </c>
      <c r="B1031" s="177" t="n">
        <v>45952</v>
      </c>
      <c r="C1031" s="177" t="n">
        <v>1404</v>
      </c>
      <c r="D1031" s="177" t="n">
        <v>7</v>
      </c>
      <c r="E1031" s="178" t="inlineStr">
        <is>
          <t>1404/07/30</t>
        </is>
      </c>
      <c r="F1031" s="134" t="inlineStr">
        <is>
          <t>1404/07</t>
        </is>
      </c>
      <c r="G1031" s="61" t="inlineStr">
        <is>
          <t>مهر</t>
        </is>
      </c>
      <c r="H1031" s="134" t="inlineStr">
        <is>
          <t>پاییز</t>
        </is>
      </c>
      <c r="I1031" s="134" t="inlineStr">
        <is>
          <t>چهارشنبه</t>
        </is>
      </c>
      <c r="J1031" s="134" t="inlineStr">
        <is>
          <t>بله</t>
        </is>
      </c>
    </row>
    <row r="1032">
      <c r="A1032" s="173" t="n">
        <v>45953</v>
      </c>
      <c r="B1032" s="174" t="n">
        <v>45953</v>
      </c>
      <c r="C1032" s="174" t="n">
        <v>1404</v>
      </c>
      <c r="D1032" s="174" t="n">
        <v>8</v>
      </c>
      <c r="E1032" s="175" t="inlineStr">
        <is>
          <t>1404/08/01</t>
        </is>
      </c>
      <c r="F1032" s="128" t="inlineStr">
        <is>
          <t>1404/08</t>
        </is>
      </c>
      <c r="G1032" s="58" t="inlineStr">
        <is>
          <t>آبان</t>
        </is>
      </c>
      <c r="H1032" s="128" t="inlineStr">
        <is>
          <t>پاییز</t>
        </is>
      </c>
      <c r="I1032" s="128" t="inlineStr">
        <is>
          <t>پنجشنبه</t>
        </is>
      </c>
      <c r="J1032" s="128" t="inlineStr">
        <is>
          <t>بله</t>
        </is>
      </c>
    </row>
    <row r="1033">
      <c r="A1033" s="176" t="n">
        <v>45954</v>
      </c>
      <c r="B1033" s="177" t="n">
        <v>45954</v>
      </c>
      <c r="C1033" s="177" t="n">
        <v>1404</v>
      </c>
      <c r="D1033" s="177" t="n">
        <v>8</v>
      </c>
      <c r="E1033" s="178" t="inlineStr">
        <is>
          <t>1404/08/02</t>
        </is>
      </c>
      <c r="F1033" s="134" t="inlineStr">
        <is>
          <t>1404/08</t>
        </is>
      </c>
      <c r="G1033" s="61" t="inlineStr">
        <is>
          <t>آبان</t>
        </is>
      </c>
      <c r="H1033" s="134" t="inlineStr">
        <is>
          <t>پاییز</t>
        </is>
      </c>
      <c r="I1033" s="134" t="inlineStr">
        <is>
          <t>جمعه</t>
        </is>
      </c>
      <c r="J1033" s="134" t="inlineStr">
        <is>
          <t>بله</t>
        </is>
      </c>
    </row>
    <row r="1034">
      <c r="A1034" s="173" t="n">
        <v>45955</v>
      </c>
      <c r="B1034" s="174" t="n">
        <v>45955</v>
      </c>
      <c r="C1034" s="174" t="n">
        <v>1404</v>
      </c>
      <c r="D1034" s="174" t="n">
        <v>8</v>
      </c>
      <c r="E1034" s="175" t="inlineStr">
        <is>
          <t>1404/08/03</t>
        </is>
      </c>
      <c r="F1034" s="128" t="inlineStr">
        <is>
          <t>1404/08</t>
        </is>
      </c>
      <c r="G1034" s="58" t="inlineStr">
        <is>
          <t>آبان</t>
        </is>
      </c>
      <c r="H1034" s="128" t="inlineStr">
        <is>
          <t>پاییز</t>
        </is>
      </c>
      <c r="I1034" s="128" t="inlineStr">
        <is>
          <t>شنبه</t>
        </is>
      </c>
      <c r="J1034" s="128" t="inlineStr">
        <is>
          <t>خیر</t>
        </is>
      </c>
    </row>
    <row r="1035">
      <c r="A1035" s="176" t="n">
        <v>45956</v>
      </c>
      <c r="B1035" s="177" t="n">
        <v>45956</v>
      </c>
      <c r="C1035" s="177" t="n">
        <v>1404</v>
      </c>
      <c r="D1035" s="177" t="n">
        <v>8</v>
      </c>
      <c r="E1035" s="178" t="inlineStr">
        <is>
          <t>1404/08/04</t>
        </is>
      </c>
      <c r="F1035" s="134" t="inlineStr">
        <is>
          <t>1404/08</t>
        </is>
      </c>
      <c r="G1035" s="61" t="inlineStr">
        <is>
          <t>آبان</t>
        </is>
      </c>
      <c r="H1035" s="134" t="inlineStr">
        <is>
          <t>پاییز</t>
        </is>
      </c>
      <c r="I1035" s="134" t="inlineStr">
        <is>
          <t>یکشنبه</t>
        </is>
      </c>
      <c r="J1035" s="134" t="inlineStr">
        <is>
          <t>خیر</t>
        </is>
      </c>
    </row>
    <row r="1036">
      <c r="A1036" s="173" t="n">
        <v>45957</v>
      </c>
      <c r="B1036" s="174" t="n">
        <v>45957</v>
      </c>
      <c r="C1036" s="174" t="n">
        <v>1404</v>
      </c>
      <c r="D1036" s="174" t="n">
        <v>8</v>
      </c>
      <c r="E1036" s="175" t="inlineStr">
        <is>
          <t>1404/08/05</t>
        </is>
      </c>
      <c r="F1036" s="128" t="inlineStr">
        <is>
          <t>1404/08</t>
        </is>
      </c>
      <c r="G1036" s="58" t="inlineStr">
        <is>
          <t>آبان</t>
        </is>
      </c>
      <c r="H1036" s="128" t="inlineStr">
        <is>
          <t>پاییز</t>
        </is>
      </c>
      <c r="I1036" s="128" t="inlineStr">
        <is>
          <t>دوشنبه</t>
        </is>
      </c>
      <c r="J1036" s="128" t="inlineStr">
        <is>
          <t>بله</t>
        </is>
      </c>
    </row>
    <row r="1037">
      <c r="A1037" s="176" t="n">
        <v>45958</v>
      </c>
      <c r="B1037" s="177" t="n">
        <v>45958</v>
      </c>
      <c r="C1037" s="177" t="n">
        <v>1404</v>
      </c>
      <c r="D1037" s="177" t="n">
        <v>8</v>
      </c>
      <c r="E1037" s="178" t="inlineStr">
        <is>
          <t>1404/08/06</t>
        </is>
      </c>
      <c r="F1037" s="134" t="inlineStr">
        <is>
          <t>1404/08</t>
        </is>
      </c>
      <c r="G1037" s="61" t="inlineStr">
        <is>
          <t>آبان</t>
        </is>
      </c>
      <c r="H1037" s="134" t="inlineStr">
        <is>
          <t>پاییز</t>
        </is>
      </c>
      <c r="I1037" s="134" t="inlineStr">
        <is>
          <t>سه‌شنبه</t>
        </is>
      </c>
      <c r="J1037" s="134" t="inlineStr">
        <is>
          <t>بله</t>
        </is>
      </c>
    </row>
    <row r="1038">
      <c r="A1038" s="173" t="n">
        <v>45959</v>
      </c>
      <c r="B1038" s="174" t="n">
        <v>45959</v>
      </c>
      <c r="C1038" s="174" t="n">
        <v>1404</v>
      </c>
      <c r="D1038" s="174" t="n">
        <v>8</v>
      </c>
      <c r="E1038" s="175" t="inlineStr">
        <is>
          <t>1404/08/07</t>
        </is>
      </c>
      <c r="F1038" s="128" t="inlineStr">
        <is>
          <t>1404/08</t>
        </is>
      </c>
      <c r="G1038" s="58" t="inlineStr">
        <is>
          <t>آبان</t>
        </is>
      </c>
      <c r="H1038" s="128" t="inlineStr">
        <is>
          <t>پاییز</t>
        </is>
      </c>
      <c r="I1038" s="128" t="inlineStr">
        <is>
          <t>چهارشنبه</t>
        </is>
      </c>
      <c r="J1038" s="128" t="inlineStr">
        <is>
          <t>بله</t>
        </is>
      </c>
    </row>
    <row r="1039">
      <c r="A1039" s="176" t="n">
        <v>45960</v>
      </c>
      <c r="B1039" s="177" t="n">
        <v>45960</v>
      </c>
      <c r="C1039" s="177" t="n">
        <v>1404</v>
      </c>
      <c r="D1039" s="177" t="n">
        <v>8</v>
      </c>
      <c r="E1039" s="178" t="inlineStr">
        <is>
          <t>1404/08/08</t>
        </is>
      </c>
      <c r="F1039" s="134" t="inlineStr">
        <is>
          <t>1404/08</t>
        </is>
      </c>
      <c r="G1039" s="61" t="inlineStr">
        <is>
          <t>آبان</t>
        </is>
      </c>
      <c r="H1039" s="134" t="inlineStr">
        <is>
          <t>پاییز</t>
        </is>
      </c>
      <c r="I1039" s="134" t="inlineStr">
        <is>
          <t>پنجشنبه</t>
        </is>
      </c>
      <c r="J1039" s="134" t="inlineStr">
        <is>
          <t>بله</t>
        </is>
      </c>
    </row>
    <row r="1040">
      <c r="A1040" s="173" t="n">
        <v>45961</v>
      </c>
      <c r="B1040" s="174" t="n">
        <v>45961</v>
      </c>
      <c r="C1040" s="174" t="n">
        <v>1404</v>
      </c>
      <c r="D1040" s="174" t="n">
        <v>8</v>
      </c>
      <c r="E1040" s="175" t="inlineStr">
        <is>
          <t>1404/08/09</t>
        </is>
      </c>
      <c r="F1040" s="128" t="inlineStr">
        <is>
          <t>1404/08</t>
        </is>
      </c>
      <c r="G1040" s="58" t="inlineStr">
        <is>
          <t>آبان</t>
        </is>
      </c>
      <c r="H1040" s="128" t="inlineStr">
        <is>
          <t>پاییز</t>
        </is>
      </c>
      <c r="I1040" s="128" t="inlineStr">
        <is>
          <t>جمعه</t>
        </is>
      </c>
      <c r="J1040" s="128" t="inlineStr">
        <is>
          <t>بله</t>
        </is>
      </c>
    </row>
    <row r="1041">
      <c r="A1041" s="176" t="n">
        <v>45962</v>
      </c>
      <c r="B1041" s="177" t="n">
        <v>45962</v>
      </c>
      <c r="C1041" s="177" t="n">
        <v>1404</v>
      </c>
      <c r="D1041" s="177" t="n">
        <v>8</v>
      </c>
      <c r="E1041" s="178" t="inlineStr">
        <is>
          <t>1404/08/10</t>
        </is>
      </c>
      <c r="F1041" s="134" t="inlineStr">
        <is>
          <t>1404/08</t>
        </is>
      </c>
      <c r="G1041" s="61" t="inlineStr">
        <is>
          <t>آبان</t>
        </is>
      </c>
      <c r="H1041" s="134" t="inlineStr">
        <is>
          <t>پاییز</t>
        </is>
      </c>
      <c r="I1041" s="134" t="inlineStr">
        <is>
          <t>شنبه</t>
        </is>
      </c>
      <c r="J1041" s="134" t="inlineStr">
        <is>
          <t>خیر</t>
        </is>
      </c>
    </row>
    <row r="1042">
      <c r="A1042" s="173" t="n">
        <v>45963</v>
      </c>
      <c r="B1042" s="174" t="n">
        <v>45963</v>
      </c>
      <c r="C1042" s="174" t="n">
        <v>1404</v>
      </c>
      <c r="D1042" s="174" t="n">
        <v>8</v>
      </c>
      <c r="E1042" s="175" t="inlineStr">
        <is>
          <t>1404/08/11</t>
        </is>
      </c>
      <c r="F1042" s="128" t="inlineStr">
        <is>
          <t>1404/08</t>
        </is>
      </c>
      <c r="G1042" s="58" t="inlineStr">
        <is>
          <t>آبان</t>
        </is>
      </c>
      <c r="H1042" s="128" t="inlineStr">
        <is>
          <t>پاییز</t>
        </is>
      </c>
      <c r="I1042" s="128" t="inlineStr">
        <is>
          <t>یکشنبه</t>
        </is>
      </c>
      <c r="J1042" s="128" t="inlineStr">
        <is>
          <t>خیر</t>
        </is>
      </c>
    </row>
    <row r="1043">
      <c r="A1043" s="176" t="n">
        <v>45964</v>
      </c>
      <c r="B1043" s="177" t="n">
        <v>45964</v>
      </c>
      <c r="C1043" s="177" t="n">
        <v>1404</v>
      </c>
      <c r="D1043" s="177" t="n">
        <v>8</v>
      </c>
      <c r="E1043" s="178" t="inlineStr">
        <is>
          <t>1404/08/12</t>
        </is>
      </c>
      <c r="F1043" s="134" t="inlineStr">
        <is>
          <t>1404/08</t>
        </is>
      </c>
      <c r="G1043" s="61" t="inlineStr">
        <is>
          <t>آبان</t>
        </is>
      </c>
      <c r="H1043" s="134" t="inlineStr">
        <is>
          <t>پاییز</t>
        </is>
      </c>
      <c r="I1043" s="134" t="inlineStr">
        <is>
          <t>دوشنبه</t>
        </is>
      </c>
      <c r="J1043" s="134" t="inlineStr">
        <is>
          <t>بله</t>
        </is>
      </c>
    </row>
    <row r="1044">
      <c r="A1044" s="173" t="n">
        <v>45965</v>
      </c>
      <c r="B1044" s="174" t="n">
        <v>45965</v>
      </c>
      <c r="C1044" s="174" t="n">
        <v>1404</v>
      </c>
      <c r="D1044" s="174" t="n">
        <v>8</v>
      </c>
      <c r="E1044" s="175" t="inlineStr">
        <is>
          <t>1404/08/13</t>
        </is>
      </c>
      <c r="F1044" s="128" t="inlineStr">
        <is>
          <t>1404/08</t>
        </is>
      </c>
      <c r="G1044" s="58" t="inlineStr">
        <is>
          <t>آبان</t>
        </is>
      </c>
      <c r="H1044" s="128" t="inlineStr">
        <is>
          <t>پاییز</t>
        </is>
      </c>
      <c r="I1044" s="128" t="inlineStr">
        <is>
          <t>سه‌شنبه</t>
        </is>
      </c>
      <c r="J1044" s="128" t="inlineStr">
        <is>
          <t>بله</t>
        </is>
      </c>
    </row>
    <row r="1045">
      <c r="A1045" s="176" t="n">
        <v>45966</v>
      </c>
      <c r="B1045" s="177" t="n">
        <v>45966</v>
      </c>
      <c r="C1045" s="177" t="n">
        <v>1404</v>
      </c>
      <c r="D1045" s="177" t="n">
        <v>8</v>
      </c>
      <c r="E1045" s="178" t="inlineStr">
        <is>
          <t>1404/08/14</t>
        </is>
      </c>
      <c r="F1045" s="134" t="inlineStr">
        <is>
          <t>1404/08</t>
        </is>
      </c>
      <c r="G1045" s="61" t="inlineStr">
        <is>
          <t>آبان</t>
        </is>
      </c>
      <c r="H1045" s="134" t="inlineStr">
        <is>
          <t>پاییز</t>
        </is>
      </c>
      <c r="I1045" s="134" t="inlineStr">
        <is>
          <t>چهارشنبه</t>
        </is>
      </c>
      <c r="J1045" s="134" t="inlineStr">
        <is>
          <t>بله</t>
        </is>
      </c>
    </row>
    <row r="1046">
      <c r="A1046" s="173" t="n">
        <v>45967</v>
      </c>
      <c r="B1046" s="174" t="n">
        <v>45967</v>
      </c>
      <c r="C1046" s="174" t="n">
        <v>1404</v>
      </c>
      <c r="D1046" s="174" t="n">
        <v>8</v>
      </c>
      <c r="E1046" s="175" t="inlineStr">
        <is>
          <t>1404/08/15</t>
        </is>
      </c>
      <c r="F1046" s="128" t="inlineStr">
        <is>
          <t>1404/08</t>
        </is>
      </c>
      <c r="G1046" s="58" t="inlineStr">
        <is>
          <t>آبان</t>
        </is>
      </c>
      <c r="H1046" s="128" t="inlineStr">
        <is>
          <t>پاییز</t>
        </is>
      </c>
      <c r="I1046" s="128" t="inlineStr">
        <is>
          <t>پنجشنبه</t>
        </is>
      </c>
      <c r="J1046" s="128" t="inlineStr">
        <is>
          <t>بله</t>
        </is>
      </c>
    </row>
    <row r="1047">
      <c r="A1047" s="176" t="n">
        <v>45968</v>
      </c>
      <c r="B1047" s="177" t="n">
        <v>45968</v>
      </c>
      <c r="C1047" s="177" t="n">
        <v>1404</v>
      </c>
      <c r="D1047" s="177" t="n">
        <v>8</v>
      </c>
      <c r="E1047" s="178" t="inlineStr">
        <is>
          <t>1404/08/16</t>
        </is>
      </c>
      <c r="F1047" s="134" t="inlineStr">
        <is>
          <t>1404/08</t>
        </is>
      </c>
      <c r="G1047" s="61" t="inlineStr">
        <is>
          <t>آبان</t>
        </is>
      </c>
      <c r="H1047" s="134" t="inlineStr">
        <is>
          <t>پاییز</t>
        </is>
      </c>
      <c r="I1047" s="134" t="inlineStr">
        <is>
          <t>جمعه</t>
        </is>
      </c>
      <c r="J1047" s="134" t="inlineStr">
        <is>
          <t>بله</t>
        </is>
      </c>
    </row>
    <row r="1048">
      <c r="A1048" s="173" t="n">
        <v>45969</v>
      </c>
      <c r="B1048" s="174" t="n">
        <v>45969</v>
      </c>
      <c r="C1048" s="174" t="n">
        <v>1404</v>
      </c>
      <c r="D1048" s="174" t="n">
        <v>8</v>
      </c>
      <c r="E1048" s="175" t="inlineStr">
        <is>
          <t>1404/08/17</t>
        </is>
      </c>
      <c r="F1048" s="128" t="inlineStr">
        <is>
          <t>1404/08</t>
        </is>
      </c>
      <c r="G1048" s="58" t="inlineStr">
        <is>
          <t>آبان</t>
        </is>
      </c>
      <c r="H1048" s="128" t="inlineStr">
        <is>
          <t>پاییز</t>
        </is>
      </c>
      <c r="I1048" s="128" t="inlineStr">
        <is>
          <t>شنبه</t>
        </is>
      </c>
      <c r="J1048" s="128" t="inlineStr">
        <is>
          <t>خیر</t>
        </is>
      </c>
    </row>
    <row r="1049">
      <c r="A1049" s="176" t="n">
        <v>45970</v>
      </c>
      <c r="B1049" s="177" t="n">
        <v>45970</v>
      </c>
      <c r="C1049" s="177" t="n">
        <v>1404</v>
      </c>
      <c r="D1049" s="177" t="n">
        <v>8</v>
      </c>
      <c r="E1049" s="178" t="inlineStr">
        <is>
          <t>1404/08/18</t>
        </is>
      </c>
      <c r="F1049" s="134" t="inlineStr">
        <is>
          <t>1404/08</t>
        </is>
      </c>
      <c r="G1049" s="61" t="inlineStr">
        <is>
          <t>آبان</t>
        </is>
      </c>
      <c r="H1049" s="134" t="inlineStr">
        <is>
          <t>پاییز</t>
        </is>
      </c>
      <c r="I1049" s="134" t="inlineStr">
        <is>
          <t>یکشنبه</t>
        </is>
      </c>
      <c r="J1049" s="134" t="inlineStr">
        <is>
          <t>خیر</t>
        </is>
      </c>
    </row>
    <row r="1050">
      <c r="A1050" s="173" t="n">
        <v>45971</v>
      </c>
      <c r="B1050" s="174" t="n">
        <v>45971</v>
      </c>
      <c r="C1050" s="174" t="n">
        <v>1404</v>
      </c>
      <c r="D1050" s="174" t="n">
        <v>8</v>
      </c>
      <c r="E1050" s="175" t="inlineStr">
        <is>
          <t>1404/08/19</t>
        </is>
      </c>
      <c r="F1050" s="128" t="inlineStr">
        <is>
          <t>1404/08</t>
        </is>
      </c>
      <c r="G1050" s="58" t="inlineStr">
        <is>
          <t>آبان</t>
        </is>
      </c>
      <c r="H1050" s="128" t="inlineStr">
        <is>
          <t>پاییز</t>
        </is>
      </c>
      <c r="I1050" s="128" t="inlineStr">
        <is>
          <t>دوشنبه</t>
        </is>
      </c>
      <c r="J1050" s="128" t="inlineStr">
        <is>
          <t>بله</t>
        </is>
      </c>
    </row>
    <row r="1051">
      <c r="A1051" s="176" t="n">
        <v>45972</v>
      </c>
      <c r="B1051" s="177" t="n">
        <v>45972</v>
      </c>
      <c r="C1051" s="177" t="n">
        <v>1404</v>
      </c>
      <c r="D1051" s="177" t="n">
        <v>8</v>
      </c>
      <c r="E1051" s="178" t="inlineStr">
        <is>
          <t>1404/08/20</t>
        </is>
      </c>
      <c r="F1051" s="134" t="inlineStr">
        <is>
          <t>1404/08</t>
        </is>
      </c>
      <c r="G1051" s="61" t="inlineStr">
        <is>
          <t>آبان</t>
        </is>
      </c>
      <c r="H1051" s="134" t="inlineStr">
        <is>
          <t>پاییز</t>
        </is>
      </c>
      <c r="I1051" s="134" t="inlineStr">
        <is>
          <t>سه‌شنبه</t>
        </is>
      </c>
      <c r="J1051" s="134" t="inlineStr">
        <is>
          <t>بله</t>
        </is>
      </c>
    </row>
    <row r="1052">
      <c r="A1052" s="173" t="n">
        <v>45973</v>
      </c>
      <c r="B1052" s="174" t="n">
        <v>45973</v>
      </c>
      <c r="C1052" s="174" t="n">
        <v>1404</v>
      </c>
      <c r="D1052" s="174" t="n">
        <v>8</v>
      </c>
      <c r="E1052" s="175" t="inlineStr">
        <is>
          <t>1404/08/21</t>
        </is>
      </c>
      <c r="F1052" s="128" t="inlineStr">
        <is>
          <t>1404/08</t>
        </is>
      </c>
      <c r="G1052" s="58" t="inlineStr">
        <is>
          <t>آبان</t>
        </is>
      </c>
      <c r="H1052" s="128" t="inlineStr">
        <is>
          <t>پاییز</t>
        </is>
      </c>
      <c r="I1052" s="128" t="inlineStr">
        <is>
          <t>چهارشنبه</t>
        </is>
      </c>
      <c r="J1052" s="128" t="inlineStr">
        <is>
          <t>بله</t>
        </is>
      </c>
    </row>
    <row r="1053">
      <c r="A1053" s="176" t="n">
        <v>45974</v>
      </c>
      <c r="B1053" s="177" t="n">
        <v>45974</v>
      </c>
      <c r="C1053" s="177" t="n">
        <v>1404</v>
      </c>
      <c r="D1053" s="177" t="n">
        <v>8</v>
      </c>
      <c r="E1053" s="178" t="inlineStr">
        <is>
          <t>1404/08/22</t>
        </is>
      </c>
      <c r="F1053" s="134" t="inlineStr">
        <is>
          <t>1404/08</t>
        </is>
      </c>
      <c r="G1053" s="61" t="inlineStr">
        <is>
          <t>آبان</t>
        </is>
      </c>
      <c r="H1053" s="134" t="inlineStr">
        <is>
          <t>پاییز</t>
        </is>
      </c>
      <c r="I1053" s="134" t="inlineStr">
        <is>
          <t>پنجشنبه</t>
        </is>
      </c>
      <c r="J1053" s="134" t="inlineStr">
        <is>
          <t>بله</t>
        </is>
      </c>
    </row>
    <row r="1054">
      <c r="A1054" s="173" t="n">
        <v>45975</v>
      </c>
      <c r="B1054" s="174" t="n">
        <v>45975</v>
      </c>
      <c r="C1054" s="174" t="n">
        <v>1404</v>
      </c>
      <c r="D1054" s="174" t="n">
        <v>8</v>
      </c>
      <c r="E1054" s="175" t="inlineStr">
        <is>
          <t>1404/08/23</t>
        </is>
      </c>
      <c r="F1054" s="128" t="inlineStr">
        <is>
          <t>1404/08</t>
        </is>
      </c>
      <c r="G1054" s="58" t="inlineStr">
        <is>
          <t>آبان</t>
        </is>
      </c>
      <c r="H1054" s="128" t="inlineStr">
        <is>
          <t>پاییز</t>
        </is>
      </c>
      <c r="I1054" s="128" t="inlineStr">
        <is>
          <t>جمعه</t>
        </is>
      </c>
      <c r="J1054" s="128" t="inlineStr">
        <is>
          <t>بله</t>
        </is>
      </c>
    </row>
    <row r="1055">
      <c r="A1055" s="176" t="n">
        <v>45976</v>
      </c>
      <c r="B1055" s="177" t="n">
        <v>45976</v>
      </c>
      <c r="C1055" s="177" t="n">
        <v>1404</v>
      </c>
      <c r="D1055" s="177" t="n">
        <v>8</v>
      </c>
      <c r="E1055" s="178" t="inlineStr">
        <is>
          <t>1404/08/24</t>
        </is>
      </c>
      <c r="F1055" s="134" t="inlineStr">
        <is>
          <t>1404/08</t>
        </is>
      </c>
      <c r="G1055" s="61" t="inlineStr">
        <is>
          <t>آبان</t>
        </is>
      </c>
      <c r="H1055" s="134" t="inlineStr">
        <is>
          <t>پاییز</t>
        </is>
      </c>
      <c r="I1055" s="134" t="inlineStr">
        <is>
          <t>شنبه</t>
        </is>
      </c>
      <c r="J1055" s="134" t="inlineStr">
        <is>
          <t>خیر</t>
        </is>
      </c>
    </row>
    <row r="1056">
      <c r="A1056" s="173" t="n">
        <v>45977</v>
      </c>
      <c r="B1056" s="174" t="n">
        <v>45977</v>
      </c>
      <c r="C1056" s="174" t="n">
        <v>1404</v>
      </c>
      <c r="D1056" s="174" t="n">
        <v>8</v>
      </c>
      <c r="E1056" s="175" t="inlineStr">
        <is>
          <t>1404/08/25</t>
        </is>
      </c>
      <c r="F1056" s="128" t="inlineStr">
        <is>
          <t>1404/08</t>
        </is>
      </c>
      <c r="G1056" s="58" t="inlineStr">
        <is>
          <t>آبان</t>
        </is>
      </c>
      <c r="H1056" s="128" t="inlineStr">
        <is>
          <t>پاییز</t>
        </is>
      </c>
      <c r="I1056" s="128" t="inlineStr">
        <is>
          <t>یکشنبه</t>
        </is>
      </c>
      <c r="J1056" s="128" t="inlineStr">
        <is>
          <t>خیر</t>
        </is>
      </c>
    </row>
    <row r="1057">
      <c r="A1057" s="176" t="n">
        <v>45978</v>
      </c>
      <c r="B1057" s="177" t="n">
        <v>45978</v>
      </c>
      <c r="C1057" s="177" t="n">
        <v>1404</v>
      </c>
      <c r="D1057" s="177" t="n">
        <v>8</v>
      </c>
      <c r="E1057" s="178" t="inlineStr">
        <is>
          <t>1404/08/26</t>
        </is>
      </c>
      <c r="F1057" s="134" t="inlineStr">
        <is>
          <t>1404/08</t>
        </is>
      </c>
      <c r="G1057" s="61" t="inlineStr">
        <is>
          <t>آبان</t>
        </is>
      </c>
      <c r="H1057" s="134" t="inlineStr">
        <is>
          <t>پاییز</t>
        </is>
      </c>
      <c r="I1057" s="134" t="inlineStr">
        <is>
          <t>دوشنبه</t>
        </is>
      </c>
      <c r="J1057" s="134" t="inlineStr">
        <is>
          <t>بله</t>
        </is>
      </c>
    </row>
    <row r="1058">
      <c r="A1058" s="173" t="n">
        <v>45979</v>
      </c>
      <c r="B1058" s="174" t="n">
        <v>45979</v>
      </c>
      <c r="C1058" s="174" t="n">
        <v>1404</v>
      </c>
      <c r="D1058" s="174" t="n">
        <v>8</v>
      </c>
      <c r="E1058" s="175" t="inlineStr">
        <is>
          <t>1404/08/27</t>
        </is>
      </c>
      <c r="F1058" s="128" t="inlineStr">
        <is>
          <t>1404/08</t>
        </is>
      </c>
      <c r="G1058" s="58" t="inlineStr">
        <is>
          <t>آبان</t>
        </is>
      </c>
      <c r="H1058" s="128" t="inlineStr">
        <is>
          <t>پاییز</t>
        </is>
      </c>
      <c r="I1058" s="128" t="inlineStr">
        <is>
          <t>سه‌شنبه</t>
        </is>
      </c>
      <c r="J1058" s="128" t="inlineStr">
        <is>
          <t>بله</t>
        </is>
      </c>
    </row>
    <row r="1059">
      <c r="A1059" s="176" t="n">
        <v>45980</v>
      </c>
      <c r="B1059" s="177" t="n">
        <v>45980</v>
      </c>
      <c r="C1059" s="177" t="n">
        <v>1404</v>
      </c>
      <c r="D1059" s="177" t="n">
        <v>8</v>
      </c>
      <c r="E1059" s="178" t="inlineStr">
        <is>
          <t>1404/08/28</t>
        </is>
      </c>
      <c r="F1059" s="134" t="inlineStr">
        <is>
          <t>1404/08</t>
        </is>
      </c>
      <c r="G1059" s="61" t="inlineStr">
        <is>
          <t>آبان</t>
        </is>
      </c>
      <c r="H1059" s="134" t="inlineStr">
        <is>
          <t>پاییز</t>
        </is>
      </c>
      <c r="I1059" s="134" t="inlineStr">
        <is>
          <t>چهارشنبه</t>
        </is>
      </c>
      <c r="J1059" s="134" t="inlineStr">
        <is>
          <t>بله</t>
        </is>
      </c>
    </row>
    <row r="1060">
      <c r="A1060" s="173" t="n">
        <v>45981</v>
      </c>
      <c r="B1060" s="174" t="n">
        <v>45981</v>
      </c>
      <c r="C1060" s="174" t="n">
        <v>1404</v>
      </c>
      <c r="D1060" s="174" t="n">
        <v>8</v>
      </c>
      <c r="E1060" s="175" t="inlineStr">
        <is>
          <t>1404/08/29</t>
        </is>
      </c>
      <c r="F1060" s="128" t="inlineStr">
        <is>
          <t>1404/08</t>
        </is>
      </c>
      <c r="G1060" s="58" t="inlineStr">
        <is>
          <t>آبان</t>
        </is>
      </c>
      <c r="H1060" s="128" t="inlineStr">
        <is>
          <t>پاییز</t>
        </is>
      </c>
      <c r="I1060" s="128" t="inlineStr">
        <is>
          <t>پنجشنبه</t>
        </is>
      </c>
      <c r="J1060" s="128" t="inlineStr">
        <is>
          <t>بله</t>
        </is>
      </c>
    </row>
    <row r="1061">
      <c r="A1061" s="176" t="n">
        <v>45982</v>
      </c>
      <c r="B1061" s="177" t="n">
        <v>45982</v>
      </c>
      <c r="C1061" s="177" t="n">
        <v>1404</v>
      </c>
      <c r="D1061" s="177" t="n">
        <v>8</v>
      </c>
      <c r="E1061" s="178" t="inlineStr">
        <is>
          <t>1404/08/30</t>
        </is>
      </c>
      <c r="F1061" s="134" t="inlineStr">
        <is>
          <t>1404/08</t>
        </is>
      </c>
      <c r="G1061" s="61" t="inlineStr">
        <is>
          <t>آبان</t>
        </is>
      </c>
      <c r="H1061" s="134" t="inlineStr">
        <is>
          <t>پاییز</t>
        </is>
      </c>
      <c r="I1061" s="134" t="inlineStr">
        <is>
          <t>جمعه</t>
        </is>
      </c>
      <c r="J1061" s="134" t="inlineStr">
        <is>
          <t>بله</t>
        </is>
      </c>
    </row>
    <row r="1062">
      <c r="A1062" s="173" t="n">
        <v>45983</v>
      </c>
      <c r="B1062" s="174" t="n">
        <v>45983</v>
      </c>
      <c r="C1062" s="174" t="n">
        <v>1404</v>
      </c>
      <c r="D1062" s="174" t="n">
        <v>9</v>
      </c>
      <c r="E1062" s="175" t="inlineStr">
        <is>
          <t>1404/09/01</t>
        </is>
      </c>
      <c r="F1062" s="128" t="inlineStr">
        <is>
          <t>1404/09</t>
        </is>
      </c>
      <c r="G1062" s="58" t="inlineStr">
        <is>
          <t>آذر</t>
        </is>
      </c>
      <c r="H1062" s="128" t="inlineStr">
        <is>
          <t>پاییز</t>
        </is>
      </c>
      <c r="I1062" s="128" t="inlineStr">
        <is>
          <t>شنبه</t>
        </is>
      </c>
      <c r="J1062" s="128" t="inlineStr">
        <is>
          <t>خیر</t>
        </is>
      </c>
    </row>
    <row r="1063">
      <c r="A1063" s="176" t="n">
        <v>45984</v>
      </c>
      <c r="B1063" s="177" t="n">
        <v>45984</v>
      </c>
      <c r="C1063" s="177" t="n">
        <v>1404</v>
      </c>
      <c r="D1063" s="177" t="n">
        <v>9</v>
      </c>
      <c r="E1063" s="178" t="inlineStr">
        <is>
          <t>1404/09/02</t>
        </is>
      </c>
      <c r="F1063" s="134" t="inlineStr">
        <is>
          <t>1404/09</t>
        </is>
      </c>
      <c r="G1063" s="61" t="inlineStr">
        <is>
          <t>آذر</t>
        </is>
      </c>
      <c r="H1063" s="134" t="inlineStr">
        <is>
          <t>پاییز</t>
        </is>
      </c>
      <c r="I1063" s="134" t="inlineStr">
        <is>
          <t>یکشنبه</t>
        </is>
      </c>
      <c r="J1063" s="134" t="inlineStr">
        <is>
          <t>خیر</t>
        </is>
      </c>
    </row>
    <row r="1064">
      <c r="A1064" s="173" t="n">
        <v>45985</v>
      </c>
      <c r="B1064" s="174" t="n">
        <v>45985</v>
      </c>
      <c r="C1064" s="174" t="n">
        <v>1404</v>
      </c>
      <c r="D1064" s="174" t="n">
        <v>9</v>
      </c>
      <c r="E1064" s="175" t="inlineStr">
        <is>
          <t>1404/09/03</t>
        </is>
      </c>
      <c r="F1064" s="128" t="inlineStr">
        <is>
          <t>1404/09</t>
        </is>
      </c>
      <c r="G1064" s="58" t="inlineStr">
        <is>
          <t>آذر</t>
        </is>
      </c>
      <c r="H1064" s="128" t="inlineStr">
        <is>
          <t>پاییز</t>
        </is>
      </c>
      <c r="I1064" s="128" t="inlineStr">
        <is>
          <t>دوشنبه</t>
        </is>
      </c>
      <c r="J1064" s="128" t="inlineStr">
        <is>
          <t>بله</t>
        </is>
      </c>
    </row>
    <row r="1065">
      <c r="A1065" s="176" t="n">
        <v>45986</v>
      </c>
      <c r="B1065" s="177" t="n">
        <v>45986</v>
      </c>
      <c r="C1065" s="177" t="n">
        <v>1404</v>
      </c>
      <c r="D1065" s="177" t="n">
        <v>9</v>
      </c>
      <c r="E1065" s="178" t="inlineStr">
        <is>
          <t>1404/09/04</t>
        </is>
      </c>
      <c r="F1065" s="134" t="inlineStr">
        <is>
          <t>1404/09</t>
        </is>
      </c>
      <c r="G1065" s="61" t="inlineStr">
        <is>
          <t>آذر</t>
        </is>
      </c>
      <c r="H1065" s="134" t="inlineStr">
        <is>
          <t>پاییز</t>
        </is>
      </c>
      <c r="I1065" s="134" t="inlineStr">
        <is>
          <t>سه‌شنبه</t>
        </is>
      </c>
      <c r="J1065" s="134" t="inlineStr">
        <is>
          <t>بله</t>
        </is>
      </c>
    </row>
    <row r="1066">
      <c r="A1066" s="173" t="n">
        <v>45987</v>
      </c>
      <c r="B1066" s="174" t="n">
        <v>45987</v>
      </c>
      <c r="C1066" s="174" t="n">
        <v>1404</v>
      </c>
      <c r="D1066" s="174" t="n">
        <v>9</v>
      </c>
      <c r="E1066" s="175" t="inlineStr">
        <is>
          <t>1404/09/05</t>
        </is>
      </c>
      <c r="F1066" s="128" t="inlineStr">
        <is>
          <t>1404/09</t>
        </is>
      </c>
      <c r="G1066" s="58" t="inlineStr">
        <is>
          <t>آذر</t>
        </is>
      </c>
      <c r="H1066" s="128" t="inlineStr">
        <is>
          <t>پاییز</t>
        </is>
      </c>
      <c r="I1066" s="128" t="inlineStr">
        <is>
          <t>چهارشنبه</t>
        </is>
      </c>
      <c r="J1066" s="128" t="inlineStr">
        <is>
          <t>بله</t>
        </is>
      </c>
    </row>
    <row r="1067">
      <c r="A1067" s="176" t="n">
        <v>45988</v>
      </c>
      <c r="B1067" s="177" t="n">
        <v>45988</v>
      </c>
      <c r="C1067" s="177" t="n">
        <v>1404</v>
      </c>
      <c r="D1067" s="177" t="n">
        <v>9</v>
      </c>
      <c r="E1067" s="178" t="inlineStr">
        <is>
          <t>1404/09/06</t>
        </is>
      </c>
      <c r="F1067" s="134" t="inlineStr">
        <is>
          <t>1404/09</t>
        </is>
      </c>
      <c r="G1067" s="61" t="inlineStr">
        <is>
          <t>آذر</t>
        </is>
      </c>
      <c r="H1067" s="134" t="inlineStr">
        <is>
          <t>پاییز</t>
        </is>
      </c>
      <c r="I1067" s="134" t="inlineStr">
        <is>
          <t>پنجشنبه</t>
        </is>
      </c>
      <c r="J1067" s="134" t="inlineStr">
        <is>
          <t>بله</t>
        </is>
      </c>
    </row>
    <row r="1068">
      <c r="A1068" s="173" t="n">
        <v>45989</v>
      </c>
      <c r="B1068" s="174" t="n">
        <v>45989</v>
      </c>
      <c r="C1068" s="174" t="n">
        <v>1404</v>
      </c>
      <c r="D1068" s="174" t="n">
        <v>9</v>
      </c>
      <c r="E1068" s="175" t="inlineStr">
        <is>
          <t>1404/09/07</t>
        </is>
      </c>
      <c r="F1068" s="128" t="inlineStr">
        <is>
          <t>1404/09</t>
        </is>
      </c>
      <c r="G1068" s="58" t="inlineStr">
        <is>
          <t>آذر</t>
        </is>
      </c>
      <c r="H1068" s="128" t="inlineStr">
        <is>
          <t>پاییز</t>
        </is>
      </c>
      <c r="I1068" s="128" t="inlineStr">
        <is>
          <t>جمعه</t>
        </is>
      </c>
      <c r="J1068" s="128" t="inlineStr">
        <is>
          <t>بله</t>
        </is>
      </c>
    </row>
    <row r="1069">
      <c r="A1069" s="176" t="n">
        <v>45990</v>
      </c>
      <c r="B1069" s="177" t="n">
        <v>45990</v>
      </c>
      <c r="C1069" s="177" t="n">
        <v>1404</v>
      </c>
      <c r="D1069" s="177" t="n">
        <v>9</v>
      </c>
      <c r="E1069" s="178" t="inlineStr">
        <is>
          <t>1404/09/08</t>
        </is>
      </c>
      <c r="F1069" s="134" t="inlineStr">
        <is>
          <t>1404/09</t>
        </is>
      </c>
      <c r="G1069" s="61" t="inlineStr">
        <is>
          <t>آذر</t>
        </is>
      </c>
      <c r="H1069" s="134" t="inlineStr">
        <is>
          <t>پاییز</t>
        </is>
      </c>
      <c r="I1069" s="134" t="inlineStr">
        <is>
          <t>شنبه</t>
        </is>
      </c>
      <c r="J1069" s="134" t="inlineStr">
        <is>
          <t>خیر</t>
        </is>
      </c>
    </row>
    <row r="1070">
      <c r="A1070" s="173" t="n">
        <v>45991</v>
      </c>
      <c r="B1070" s="174" t="n">
        <v>45991</v>
      </c>
      <c r="C1070" s="174" t="n">
        <v>1404</v>
      </c>
      <c r="D1070" s="174" t="n">
        <v>9</v>
      </c>
      <c r="E1070" s="175" t="inlineStr">
        <is>
          <t>1404/09/09</t>
        </is>
      </c>
      <c r="F1070" s="128" t="inlineStr">
        <is>
          <t>1404/09</t>
        </is>
      </c>
      <c r="G1070" s="58" t="inlineStr">
        <is>
          <t>آذر</t>
        </is>
      </c>
      <c r="H1070" s="128" t="inlineStr">
        <is>
          <t>پاییز</t>
        </is>
      </c>
      <c r="I1070" s="128" t="inlineStr">
        <is>
          <t>یکشنبه</t>
        </is>
      </c>
      <c r="J1070" s="128" t="inlineStr">
        <is>
          <t>خیر</t>
        </is>
      </c>
    </row>
    <row r="1071">
      <c r="A1071" s="176" t="n">
        <v>45992</v>
      </c>
      <c r="B1071" s="177" t="n">
        <v>45992</v>
      </c>
      <c r="C1071" s="177" t="n">
        <v>1404</v>
      </c>
      <c r="D1071" s="177" t="n">
        <v>9</v>
      </c>
      <c r="E1071" s="178" t="inlineStr">
        <is>
          <t>1404/09/10</t>
        </is>
      </c>
      <c r="F1071" s="134" t="inlineStr">
        <is>
          <t>1404/09</t>
        </is>
      </c>
      <c r="G1071" s="61" t="inlineStr">
        <is>
          <t>آذر</t>
        </is>
      </c>
      <c r="H1071" s="134" t="inlineStr">
        <is>
          <t>پاییز</t>
        </is>
      </c>
      <c r="I1071" s="134" t="inlineStr">
        <is>
          <t>دوشنبه</t>
        </is>
      </c>
      <c r="J1071" s="134" t="inlineStr">
        <is>
          <t>بله</t>
        </is>
      </c>
    </row>
    <row r="1072">
      <c r="A1072" s="173" t="n">
        <v>45993</v>
      </c>
      <c r="B1072" s="174" t="n">
        <v>45993</v>
      </c>
      <c r="C1072" s="174" t="n">
        <v>1404</v>
      </c>
      <c r="D1072" s="174" t="n">
        <v>9</v>
      </c>
      <c r="E1072" s="175" t="inlineStr">
        <is>
          <t>1404/09/11</t>
        </is>
      </c>
      <c r="F1072" s="128" t="inlineStr">
        <is>
          <t>1404/09</t>
        </is>
      </c>
      <c r="G1072" s="58" t="inlineStr">
        <is>
          <t>آذر</t>
        </is>
      </c>
      <c r="H1072" s="128" t="inlineStr">
        <is>
          <t>پاییز</t>
        </is>
      </c>
      <c r="I1072" s="128" t="inlineStr">
        <is>
          <t>سه‌شنبه</t>
        </is>
      </c>
      <c r="J1072" s="128" t="inlineStr">
        <is>
          <t>بله</t>
        </is>
      </c>
    </row>
    <row r="1073">
      <c r="A1073" s="176" t="n">
        <v>45994</v>
      </c>
      <c r="B1073" s="177" t="n">
        <v>45994</v>
      </c>
      <c r="C1073" s="177" t="n">
        <v>1404</v>
      </c>
      <c r="D1073" s="177" t="n">
        <v>9</v>
      </c>
      <c r="E1073" s="178" t="inlineStr">
        <is>
          <t>1404/09/12</t>
        </is>
      </c>
      <c r="F1073" s="134" t="inlineStr">
        <is>
          <t>1404/09</t>
        </is>
      </c>
      <c r="G1073" s="61" t="inlineStr">
        <is>
          <t>آذر</t>
        </is>
      </c>
      <c r="H1073" s="134" t="inlineStr">
        <is>
          <t>پاییز</t>
        </is>
      </c>
      <c r="I1073" s="134" t="inlineStr">
        <is>
          <t>چهارشنبه</t>
        </is>
      </c>
      <c r="J1073" s="134" t="inlineStr">
        <is>
          <t>بله</t>
        </is>
      </c>
    </row>
    <row r="1074">
      <c r="A1074" s="173" t="n">
        <v>45995</v>
      </c>
      <c r="B1074" s="174" t="n">
        <v>45995</v>
      </c>
      <c r="C1074" s="174" t="n">
        <v>1404</v>
      </c>
      <c r="D1074" s="174" t="n">
        <v>9</v>
      </c>
      <c r="E1074" s="175" t="inlineStr">
        <is>
          <t>1404/09/13</t>
        </is>
      </c>
      <c r="F1074" s="128" t="inlineStr">
        <is>
          <t>1404/09</t>
        </is>
      </c>
      <c r="G1074" s="58" t="inlineStr">
        <is>
          <t>آذر</t>
        </is>
      </c>
      <c r="H1074" s="128" t="inlineStr">
        <is>
          <t>پاییز</t>
        </is>
      </c>
      <c r="I1074" s="128" t="inlineStr">
        <is>
          <t>پنجشنبه</t>
        </is>
      </c>
      <c r="J1074" s="128" t="inlineStr">
        <is>
          <t>بله</t>
        </is>
      </c>
    </row>
    <row r="1075">
      <c r="A1075" s="176" t="n">
        <v>45996</v>
      </c>
      <c r="B1075" s="177" t="n">
        <v>45996</v>
      </c>
      <c r="C1075" s="177" t="n">
        <v>1404</v>
      </c>
      <c r="D1075" s="177" t="n">
        <v>9</v>
      </c>
      <c r="E1075" s="178" t="inlineStr">
        <is>
          <t>1404/09/14</t>
        </is>
      </c>
      <c r="F1075" s="134" t="inlineStr">
        <is>
          <t>1404/09</t>
        </is>
      </c>
      <c r="G1075" s="61" t="inlineStr">
        <is>
          <t>آذر</t>
        </is>
      </c>
      <c r="H1075" s="134" t="inlineStr">
        <is>
          <t>پاییز</t>
        </is>
      </c>
      <c r="I1075" s="134" t="inlineStr">
        <is>
          <t>جمعه</t>
        </is>
      </c>
      <c r="J1075" s="134" t="inlineStr">
        <is>
          <t>بله</t>
        </is>
      </c>
    </row>
    <row r="1076">
      <c r="A1076" s="173" t="n">
        <v>45997</v>
      </c>
      <c r="B1076" s="174" t="n">
        <v>45997</v>
      </c>
      <c r="C1076" s="174" t="n">
        <v>1404</v>
      </c>
      <c r="D1076" s="174" t="n">
        <v>9</v>
      </c>
      <c r="E1076" s="175" t="inlineStr">
        <is>
          <t>1404/09/15</t>
        </is>
      </c>
      <c r="F1076" s="128" t="inlineStr">
        <is>
          <t>1404/09</t>
        </is>
      </c>
      <c r="G1076" s="58" t="inlineStr">
        <is>
          <t>آذر</t>
        </is>
      </c>
      <c r="H1076" s="128" t="inlineStr">
        <is>
          <t>پاییز</t>
        </is>
      </c>
      <c r="I1076" s="128" t="inlineStr">
        <is>
          <t>شنبه</t>
        </is>
      </c>
      <c r="J1076" s="128" t="inlineStr">
        <is>
          <t>خیر</t>
        </is>
      </c>
    </row>
    <row r="1077">
      <c r="A1077" s="176" t="n">
        <v>45998</v>
      </c>
      <c r="B1077" s="177" t="n">
        <v>45998</v>
      </c>
      <c r="C1077" s="177" t="n">
        <v>1404</v>
      </c>
      <c r="D1077" s="177" t="n">
        <v>9</v>
      </c>
      <c r="E1077" s="178" t="inlineStr">
        <is>
          <t>1404/09/16</t>
        </is>
      </c>
      <c r="F1077" s="134" t="inlineStr">
        <is>
          <t>1404/09</t>
        </is>
      </c>
      <c r="G1077" s="61" t="inlineStr">
        <is>
          <t>آذر</t>
        </is>
      </c>
      <c r="H1077" s="134" t="inlineStr">
        <is>
          <t>پاییز</t>
        </is>
      </c>
      <c r="I1077" s="134" t="inlineStr">
        <is>
          <t>یکشنبه</t>
        </is>
      </c>
      <c r="J1077" s="134" t="inlineStr">
        <is>
          <t>خیر</t>
        </is>
      </c>
    </row>
    <row r="1078">
      <c r="A1078" s="173" t="n">
        <v>45999</v>
      </c>
      <c r="B1078" s="174" t="n">
        <v>45999</v>
      </c>
      <c r="C1078" s="174" t="n">
        <v>1404</v>
      </c>
      <c r="D1078" s="174" t="n">
        <v>9</v>
      </c>
      <c r="E1078" s="175" t="inlineStr">
        <is>
          <t>1404/09/17</t>
        </is>
      </c>
      <c r="F1078" s="128" t="inlineStr">
        <is>
          <t>1404/09</t>
        </is>
      </c>
      <c r="G1078" s="58" t="inlineStr">
        <is>
          <t>آذر</t>
        </is>
      </c>
      <c r="H1078" s="128" t="inlineStr">
        <is>
          <t>پاییز</t>
        </is>
      </c>
      <c r="I1078" s="128" t="inlineStr">
        <is>
          <t>دوشنبه</t>
        </is>
      </c>
      <c r="J1078" s="128" t="inlineStr">
        <is>
          <t>بله</t>
        </is>
      </c>
    </row>
    <row r="1079">
      <c r="A1079" s="176" t="n">
        <v>46000</v>
      </c>
      <c r="B1079" s="177" t="n">
        <v>46000</v>
      </c>
      <c r="C1079" s="177" t="n">
        <v>1404</v>
      </c>
      <c r="D1079" s="177" t="n">
        <v>9</v>
      </c>
      <c r="E1079" s="178" t="inlineStr">
        <is>
          <t>1404/09/18</t>
        </is>
      </c>
      <c r="F1079" s="134" t="inlineStr">
        <is>
          <t>1404/09</t>
        </is>
      </c>
      <c r="G1079" s="61" t="inlineStr">
        <is>
          <t>آذر</t>
        </is>
      </c>
      <c r="H1079" s="134" t="inlineStr">
        <is>
          <t>پاییز</t>
        </is>
      </c>
      <c r="I1079" s="134" t="inlineStr">
        <is>
          <t>سه‌شنبه</t>
        </is>
      </c>
      <c r="J1079" s="134" t="inlineStr">
        <is>
          <t>بله</t>
        </is>
      </c>
    </row>
    <row r="1080">
      <c r="A1080" s="173" t="n">
        <v>46001</v>
      </c>
      <c r="B1080" s="174" t="n">
        <v>46001</v>
      </c>
      <c r="C1080" s="174" t="n">
        <v>1404</v>
      </c>
      <c r="D1080" s="174" t="n">
        <v>9</v>
      </c>
      <c r="E1080" s="175" t="inlineStr">
        <is>
          <t>1404/09/19</t>
        </is>
      </c>
      <c r="F1080" s="128" t="inlineStr">
        <is>
          <t>1404/09</t>
        </is>
      </c>
      <c r="G1080" s="58" t="inlineStr">
        <is>
          <t>آذر</t>
        </is>
      </c>
      <c r="H1080" s="128" t="inlineStr">
        <is>
          <t>پاییز</t>
        </is>
      </c>
      <c r="I1080" s="128" t="inlineStr">
        <is>
          <t>چهارشنبه</t>
        </is>
      </c>
      <c r="J1080" s="128" t="inlineStr">
        <is>
          <t>بله</t>
        </is>
      </c>
    </row>
    <row r="1081">
      <c r="A1081" s="176" t="n">
        <v>46002</v>
      </c>
      <c r="B1081" s="177" t="n">
        <v>46002</v>
      </c>
      <c r="C1081" s="177" t="n">
        <v>1404</v>
      </c>
      <c r="D1081" s="177" t="n">
        <v>9</v>
      </c>
      <c r="E1081" s="178" t="inlineStr">
        <is>
          <t>1404/09/20</t>
        </is>
      </c>
      <c r="F1081" s="134" t="inlineStr">
        <is>
          <t>1404/09</t>
        </is>
      </c>
      <c r="G1081" s="61" t="inlineStr">
        <is>
          <t>آذر</t>
        </is>
      </c>
      <c r="H1081" s="134" t="inlineStr">
        <is>
          <t>پاییز</t>
        </is>
      </c>
      <c r="I1081" s="134" t="inlineStr">
        <is>
          <t>پنجشنبه</t>
        </is>
      </c>
      <c r="J1081" s="134" t="inlineStr">
        <is>
          <t>بله</t>
        </is>
      </c>
    </row>
    <row r="1082">
      <c r="A1082" s="173" t="n">
        <v>46003</v>
      </c>
      <c r="B1082" s="174" t="n">
        <v>46003</v>
      </c>
      <c r="C1082" s="174" t="n">
        <v>1404</v>
      </c>
      <c r="D1082" s="174" t="n">
        <v>9</v>
      </c>
      <c r="E1082" s="175" t="inlineStr">
        <is>
          <t>1404/09/21</t>
        </is>
      </c>
      <c r="F1082" s="128" t="inlineStr">
        <is>
          <t>1404/09</t>
        </is>
      </c>
      <c r="G1082" s="58" t="inlineStr">
        <is>
          <t>آذر</t>
        </is>
      </c>
      <c r="H1082" s="128" t="inlineStr">
        <is>
          <t>پاییز</t>
        </is>
      </c>
      <c r="I1082" s="128" t="inlineStr">
        <is>
          <t>جمعه</t>
        </is>
      </c>
      <c r="J1082" s="128" t="inlineStr">
        <is>
          <t>بله</t>
        </is>
      </c>
    </row>
    <row r="1083">
      <c r="A1083" s="176" t="n">
        <v>46004</v>
      </c>
      <c r="B1083" s="177" t="n">
        <v>46004</v>
      </c>
      <c r="C1083" s="177" t="n">
        <v>1404</v>
      </c>
      <c r="D1083" s="177" t="n">
        <v>9</v>
      </c>
      <c r="E1083" s="178" t="inlineStr">
        <is>
          <t>1404/09/22</t>
        </is>
      </c>
      <c r="F1083" s="134" t="inlineStr">
        <is>
          <t>1404/09</t>
        </is>
      </c>
      <c r="G1083" s="61" t="inlineStr">
        <is>
          <t>آذر</t>
        </is>
      </c>
      <c r="H1083" s="134" t="inlineStr">
        <is>
          <t>پاییز</t>
        </is>
      </c>
      <c r="I1083" s="134" t="inlineStr">
        <is>
          <t>شنبه</t>
        </is>
      </c>
      <c r="J1083" s="134" t="inlineStr">
        <is>
          <t>خیر</t>
        </is>
      </c>
    </row>
    <row r="1084">
      <c r="A1084" s="173" t="n">
        <v>46005</v>
      </c>
      <c r="B1084" s="174" t="n">
        <v>46005</v>
      </c>
      <c r="C1084" s="174" t="n">
        <v>1404</v>
      </c>
      <c r="D1084" s="174" t="n">
        <v>9</v>
      </c>
      <c r="E1084" s="175" t="inlineStr">
        <is>
          <t>1404/09/23</t>
        </is>
      </c>
      <c r="F1084" s="128" t="inlineStr">
        <is>
          <t>1404/09</t>
        </is>
      </c>
      <c r="G1084" s="58" t="inlineStr">
        <is>
          <t>آذر</t>
        </is>
      </c>
      <c r="H1084" s="128" t="inlineStr">
        <is>
          <t>پاییز</t>
        </is>
      </c>
      <c r="I1084" s="128" t="inlineStr">
        <is>
          <t>یکشنبه</t>
        </is>
      </c>
      <c r="J1084" s="128" t="inlineStr">
        <is>
          <t>خیر</t>
        </is>
      </c>
    </row>
    <row r="1085">
      <c r="A1085" s="176" t="n">
        <v>46006</v>
      </c>
      <c r="B1085" s="177" t="n">
        <v>46006</v>
      </c>
      <c r="C1085" s="177" t="n">
        <v>1404</v>
      </c>
      <c r="D1085" s="177" t="n">
        <v>9</v>
      </c>
      <c r="E1085" s="178" t="inlineStr">
        <is>
          <t>1404/09/24</t>
        </is>
      </c>
      <c r="F1085" s="134" t="inlineStr">
        <is>
          <t>1404/09</t>
        </is>
      </c>
      <c r="G1085" s="61" t="inlineStr">
        <is>
          <t>آذر</t>
        </is>
      </c>
      <c r="H1085" s="134" t="inlineStr">
        <is>
          <t>پاییز</t>
        </is>
      </c>
      <c r="I1085" s="134" t="inlineStr">
        <is>
          <t>دوشنبه</t>
        </is>
      </c>
      <c r="J1085" s="134" t="inlineStr">
        <is>
          <t>بله</t>
        </is>
      </c>
    </row>
    <row r="1086">
      <c r="A1086" s="173" t="n">
        <v>46007</v>
      </c>
      <c r="B1086" s="174" t="n">
        <v>46007</v>
      </c>
      <c r="C1086" s="174" t="n">
        <v>1404</v>
      </c>
      <c r="D1086" s="174" t="n">
        <v>9</v>
      </c>
      <c r="E1086" s="175" t="inlineStr">
        <is>
          <t>1404/09/25</t>
        </is>
      </c>
      <c r="F1086" s="128" t="inlineStr">
        <is>
          <t>1404/09</t>
        </is>
      </c>
      <c r="G1086" s="58" t="inlineStr">
        <is>
          <t>آذر</t>
        </is>
      </c>
      <c r="H1086" s="128" t="inlineStr">
        <is>
          <t>پاییز</t>
        </is>
      </c>
      <c r="I1086" s="128" t="inlineStr">
        <is>
          <t>سه‌شنبه</t>
        </is>
      </c>
      <c r="J1086" s="128" t="inlineStr">
        <is>
          <t>بله</t>
        </is>
      </c>
    </row>
    <row r="1087">
      <c r="A1087" s="176" t="n">
        <v>46008</v>
      </c>
      <c r="B1087" s="177" t="n">
        <v>46008</v>
      </c>
      <c r="C1087" s="177" t="n">
        <v>1404</v>
      </c>
      <c r="D1087" s="177" t="n">
        <v>9</v>
      </c>
      <c r="E1087" s="178" t="inlineStr">
        <is>
          <t>1404/09/26</t>
        </is>
      </c>
      <c r="F1087" s="134" t="inlineStr">
        <is>
          <t>1404/09</t>
        </is>
      </c>
      <c r="G1087" s="61" t="inlineStr">
        <is>
          <t>آذر</t>
        </is>
      </c>
      <c r="H1087" s="134" t="inlineStr">
        <is>
          <t>پاییز</t>
        </is>
      </c>
      <c r="I1087" s="134" t="inlineStr">
        <is>
          <t>چهارشنبه</t>
        </is>
      </c>
      <c r="J1087" s="134" t="inlineStr">
        <is>
          <t>بله</t>
        </is>
      </c>
    </row>
    <row r="1088">
      <c r="A1088" s="173" t="n">
        <v>46009</v>
      </c>
      <c r="B1088" s="174" t="n">
        <v>46009</v>
      </c>
      <c r="C1088" s="174" t="n">
        <v>1404</v>
      </c>
      <c r="D1088" s="174" t="n">
        <v>9</v>
      </c>
      <c r="E1088" s="175" t="inlineStr">
        <is>
          <t>1404/09/27</t>
        </is>
      </c>
      <c r="F1088" s="128" t="inlineStr">
        <is>
          <t>1404/09</t>
        </is>
      </c>
      <c r="G1088" s="58" t="inlineStr">
        <is>
          <t>آذر</t>
        </is>
      </c>
      <c r="H1088" s="128" t="inlineStr">
        <is>
          <t>پاییز</t>
        </is>
      </c>
      <c r="I1088" s="128" t="inlineStr">
        <is>
          <t>پنجشنبه</t>
        </is>
      </c>
      <c r="J1088" s="128" t="inlineStr">
        <is>
          <t>بله</t>
        </is>
      </c>
    </row>
    <row r="1089">
      <c r="A1089" s="176" t="n">
        <v>46010</v>
      </c>
      <c r="B1089" s="177" t="n">
        <v>46010</v>
      </c>
      <c r="C1089" s="177" t="n">
        <v>1404</v>
      </c>
      <c r="D1089" s="177" t="n">
        <v>9</v>
      </c>
      <c r="E1089" s="178" t="inlineStr">
        <is>
          <t>1404/09/28</t>
        </is>
      </c>
      <c r="F1089" s="134" t="inlineStr">
        <is>
          <t>1404/09</t>
        </is>
      </c>
      <c r="G1089" s="61" t="inlineStr">
        <is>
          <t>آذر</t>
        </is>
      </c>
      <c r="H1089" s="134" t="inlineStr">
        <is>
          <t>پاییز</t>
        </is>
      </c>
      <c r="I1089" s="134" t="inlineStr">
        <is>
          <t>جمعه</t>
        </is>
      </c>
      <c r="J1089" s="134" t="inlineStr">
        <is>
          <t>بله</t>
        </is>
      </c>
    </row>
    <row r="1090">
      <c r="A1090" s="173" t="n">
        <v>46011</v>
      </c>
      <c r="B1090" s="174" t="n">
        <v>46011</v>
      </c>
      <c r="C1090" s="174" t="n">
        <v>1404</v>
      </c>
      <c r="D1090" s="174" t="n">
        <v>9</v>
      </c>
      <c r="E1090" s="175" t="inlineStr">
        <is>
          <t>1404/09/29</t>
        </is>
      </c>
      <c r="F1090" s="128" t="inlineStr">
        <is>
          <t>1404/09</t>
        </is>
      </c>
      <c r="G1090" s="58" t="inlineStr">
        <is>
          <t>آذر</t>
        </is>
      </c>
      <c r="H1090" s="128" t="inlineStr">
        <is>
          <t>پاییز</t>
        </is>
      </c>
      <c r="I1090" s="128" t="inlineStr">
        <is>
          <t>شنبه</t>
        </is>
      </c>
      <c r="J1090" s="128" t="inlineStr">
        <is>
          <t>خیر</t>
        </is>
      </c>
    </row>
    <row r="1091">
      <c r="A1091" s="176" t="n">
        <v>46012</v>
      </c>
      <c r="B1091" s="177" t="n">
        <v>46012</v>
      </c>
      <c r="C1091" s="177" t="n">
        <v>1404</v>
      </c>
      <c r="D1091" s="177" t="n">
        <v>9</v>
      </c>
      <c r="E1091" s="178" t="inlineStr">
        <is>
          <t>1404/09/30</t>
        </is>
      </c>
      <c r="F1091" s="134" t="inlineStr">
        <is>
          <t>1404/09</t>
        </is>
      </c>
      <c r="G1091" s="61" t="inlineStr">
        <is>
          <t>آذر</t>
        </is>
      </c>
      <c r="H1091" s="134" t="inlineStr">
        <is>
          <t>پاییز</t>
        </is>
      </c>
      <c r="I1091" s="134" t="inlineStr">
        <is>
          <t>یکشنبه</t>
        </is>
      </c>
      <c r="J1091" s="134" t="inlineStr">
        <is>
          <t>خیر</t>
        </is>
      </c>
    </row>
    <row r="1092">
      <c r="A1092" s="173" t="n">
        <v>46013</v>
      </c>
      <c r="B1092" s="174" t="n">
        <v>46013</v>
      </c>
      <c r="C1092" s="174" t="n">
        <v>1404</v>
      </c>
      <c r="D1092" s="174" t="n">
        <v>10</v>
      </c>
      <c r="E1092" s="175" t="inlineStr">
        <is>
          <t>1404/10/01</t>
        </is>
      </c>
      <c r="F1092" s="128" t="inlineStr">
        <is>
          <t>1404/10</t>
        </is>
      </c>
      <c r="G1092" s="58" t="inlineStr">
        <is>
          <t>دی</t>
        </is>
      </c>
      <c r="H1092" s="128" t="inlineStr">
        <is>
          <t>زمستان</t>
        </is>
      </c>
      <c r="I1092" s="128" t="inlineStr">
        <is>
          <t>دوشنبه</t>
        </is>
      </c>
      <c r="J1092" s="128" t="inlineStr">
        <is>
          <t>بله</t>
        </is>
      </c>
    </row>
    <row r="1093">
      <c r="A1093" s="176" t="n">
        <v>46014</v>
      </c>
      <c r="B1093" s="177" t="n">
        <v>46014</v>
      </c>
      <c r="C1093" s="177" t="n">
        <v>1404</v>
      </c>
      <c r="D1093" s="177" t="n">
        <v>10</v>
      </c>
      <c r="E1093" s="178" t="inlineStr">
        <is>
          <t>1404/10/02</t>
        </is>
      </c>
      <c r="F1093" s="134" t="inlineStr">
        <is>
          <t>1404/10</t>
        </is>
      </c>
      <c r="G1093" s="61" t="inlineStr">
        <is>
          <t>دی</t>
        </is>
      </c>
      <c r="H1093" s="134" t="inlineStr">
        <is>
          <t>زمستان</t>
        </is>
      </c>
      <c r="I1093" s="134" t="inlineStr">
        <is>
          <t>سه‌شنبه</t>
        </is>
      </c>
      <c r="J1093" s="134" t="inlineStr">
        <is>
          <t>بله</t>
        </is>
      </c>
    </row>
    <row r="1094">
      <c r="A1094" s="173" t="n">
        <v>46015</v>
      </c>
      <c r="B1094" s="174" t="n">
        <v>46015</v>
      </c>
      <c r="C1094" s="174" t="n">
        <v>1404</v>
      </c>
      <c r="D1094" s="174" t="n">
        <v>10</v>
      </c>
      <c r="E1094" s="175" t="inlineStr">
        <is>
          <t>1404/10/03</t>
        </is>
      </c>
      <c r="F1094" s="128" t="inlineStr">
        <is>
          <t>1404/10</t>
        </is>
      </c>
      <c r="G1094" s="58" t="inlineStr">
        <is>
          <t>دی</t>
        </is>
      </c>
      <c r="H1094" s="128" t="inlineStr">
        <is>
          <t>زمستان</t>
        </is>
      </c>
      <c r="I1094" s="128" t="inlineStr">
        <is>
          <t>چهارشنبه</t>
        </is>
      </c>
      <c r="J1094" s="128" t="inlineStr">
        <is>
          <t>بله</t>
        </is>
      </c>
    </row>
    <row r="1095">
      <c r="A1095" s="176" t="n">
        <v>46016</v>
      </c>
      <c r="B1095" s="177" t="n">
        <v>46016</v>
      </c>
      <c r="C1095" s="177" t="n">
        <v>1404</v>
      </c>
      <c r="D1095" s="177" t="n">
        <v>10</v>
      </c>
      <c r="E1095" s="178" t="inlineStr">
        <is>
          <t>1404/10/04</t>
        </is>
      </c>
      <c r="F1095" s="134" t="inlineStr">
        <is>
          <t>1404/10</t>
        </is>
      </c>
      <c r="G1095" s="61" t="inlineStr">
        <is>
          <t>دی</t>
        </is>
      </c>
      <c r="H1095" s="134" t="inlineStr">
        <is>
          <t>زمستان</t>
        </is>
      </c>
      <c r="I1095" s="134" t="inlineStr">
        <is>
          <t>پنجشنبه</t>
        </is>
      </c>
      <c r="J1095" s="134" t="inlineStr">
        <is>
          <t>بله</t>
        </is>
      </c>
    </row>
    <row r="1096">
      <c r="A1096" s="173" t="n">
        <v>46017</v>
      </c>
      <c r="B1096" s="174" t="n">
        <v>46017</v>
      </c>
      <c r="C1096" s="174" t="n">
        <v>1404</v>
      </c>
      <c r="D1096" s="174" t="n">
        <v>10</v>
      </c>
      <c r="E1096" s="175" t="inlineStr">
        <is>
          <t>1404/10/05</t>
        </is>
      </c>
      <c r="F1096" s="128" t="inlineStr">
        <is>
          <t>1404/10</t>
        </is>
      </c>
      <c r="G1096" s="58" t="inlineStr">
        <is>
          <t>دی</t>
        </is>
      </c>
      <c r="H1096" s="128" t="inlineStr">
        <is>
          <t>زمستان</t>
        </is>
      </c>
      <c r="I1096" s="128" t="inlineStr">
        <is>
          <t>جمعه</t>
        </is>
      </c>
      <c r="J1096" s="128" t="inlineStr">
        <is>
          <t>بله</t>
        </is>
      </c>
    </row>
    <row r="1097">
      <c r="A1097" s="176" t="n">
        <v>46018</v>
      </c>
      <c r="B1097" s="177" t="n">
        <v>46018</v>
      </c>
      <c r="C1097" s="177" t="n">
        <v>1404</v>
      </c>
      <c r="D1097" s="177" t="n">
        <v>10</v>
      </c>
      <c r="E1097" s="178" t="inlineStr">
        <is>
          <t>1404/10/06</t>
        </is>
      </c>
      <c r="F1097" s="134" t="inlineStr">
        <is>
          <t>1404/10</t>
        </is>
      </c>
      <c r="G1097" s="61" t="inlineStr">
        <is>
          <t>دی</t>
        </is>
      </c>
      <c r="H1097" s="134" t="inlineStr">
        <is>
          <t>زمستان</t>
        </is>
      </c>
      <c r="I1097" s="134" t="inlineStr">
        <is>
          <t>شنبه</t>
        </is>
      </c>
      <c r="J1097" s="134" t="inlineStr">
        <is>
          <t>خیر</t>
        </is>
      </c>
    </row>
    <row r="1098">
      <c r="A1098" s="173" t="n">
        <v>46019</v>
      </c>
      <c r="B1098" s="174" t="n">
        <v>46019</v>
      </c>
      <c r="C1098" s="174" t="n">
        <v>1404</v>
      </c>
      <c r="D1098" s="174" t="n">
        <v>10</v>
      </c>
      <c r="E1098" s="175" t="inlineStr">
        <is>
          <t>1404/10/07</t>
        </is>
      </c>
      <c r="F1098" s="128" t="inlineStr">
        <is>
          <t>1404/10</t>
        </is>
      </c>
      <c r="G1098" s="58" t="inlineStr">
        <is>
          <t>دی</t>
        </is>
      </c>
      <c r="H1098" s="128" t="inlineStr">
        <is>
          <t>زمستان</t>
        </is>
      </c>
      <c r="I1098" s="128" t="inlineStr">
        <is>
          <t>یکشنبه</t>
        </is>
      </c>
      <c r="J1098" s="128" t="inlineStr">
        <is>
          <t>خیر</t>
        </is>
      </c>
    </row>
    <row r="1099">
      <c r="A1099" s="176" t="n">
        <v>46020</v>
      </c>
      <c r="B1099" s="177" t="n">
        <v>46020</v>
      </c>
      <c r="C1099" s="177" t="n">
        <v>1404</v>
      </c>
      <c r="D1099" s="177" t="n">
        <v>10</v>
      </c>
      <c r="E1099" s="178" t="inlineStr">
        <is>
          <t>1404/10/08</t>
        </is>
      </c>
      <c r="F1099" s="134" t="inlineStr">
        <is>
          <t>1404/10</t>
        </is>
      </c>
      <c r="G1099" s="61" t="inlineStr">
        <is>
          <t>دی</t>
        </is>
      </c>
      <c r="H1099" s="134" t="inlineStr">
        <is>
          <t>زمستان</t>
        </is>
      </c>
      <c r="I1099" s="134" t="inlineStr">
        <is>
          <t>دوشنبه</t>
        </is>
      </c>
      <c r="J1099" s="134" t="inlineStr">
        <is>
          <t>بله</t>
        </is>
      </c>
    </row>
    <row r="1100">
      <c r="A1100" s="173" t="n">
        <v>46021</v>
      </c>
      <c r="B1100" s="174" t="n">
        <v>46021</v>
      </c>
      <c r="C1100" s="174" t="n">
        <v>1404</v>
      </c>
      <c r="D1100" s="174" t="n">
        <v>10</v>
      </c>
      <c r="E1100" s="175" t="inlineStr">
        <is>
          <t>1404/10/09</t>
        </is>
      </c>
      <c r="F1100" s="128" t="inlineStr">
        <is>
          <t>1404/10</t>
        </is>
      </c>
      <c r="G1100" s="58" t="inlineStr">
        <is>
          <t>دی</t>
        </is>
      </c>
      <c r="H1100" s="128" t="inlineStr">
        <is>
          <t>زمستان</t>
        </is>
      </c>
      <c r="I1100" s="128" t="inlineStr">
        <is>
          <t>سه‌شنبه</t>
        </is>
      </c>
      <c r="J1100" s="128" t="inlineStr">
        <is>
          <t>بله</t>
        </is>
      </c>
    </row>
    <row r="1101">
      <c r="A1101" s="176" t="n">
        <v>46022</v>
      </c>
      <c r="B1101" s="177" t="n">
        <v>46022</v>
      </c>
      <c r="C1101" s="177" t="n">
        <v>1404</v>
      </c>
      <c r="D1101" s="177" t="n">
        <v>10</v>
      </c>
      <c r="E1101" s="178" t="inlineStr">
        <is>
          <t>1404/10/10</t>
        </is>
      </c>
      <c r="F1101" s="134" t="inlineStr">
        <is>
          <t>1404/10</t>
        </is>
      </c>
      <c r="G1101" s="61" t="inlineStr">
        <is>
          <t>دی</t>
        </is>
      </c>
      <c r="H1101" s="134" t="inlineStr">
        <is>
          <t>زمستان</t>
        </is>
      </c>
      <c r="I1101" s="134" t="inlineStr">
        <is>
          <t>چهارشنبه</t>
        </is>
      </c>
      <c r="J1101" s="134" t="inlineStr">
        <is>
          <t>بله</t>
        </is>
      </c>
    </row>
    <row r="1102">
      <c r="A1102" s="173" t="n">
        <v>46023</v>
      </c>
      <c r="B1102" s="174" t="n">
        <v>46023</v>
      </c>
      <c r="C1102" s="174" t="n">
        <v>1404</v>
      </c>
      <c r="D1102" s="174" t="n">
        <v>10</v>
      </c>
      <c r="E1102" s="175" t="inlineStr">
        <is>
          <t>1404/10/11</t>
        </is>
      </c>
      <c r="F1102" s="128" t="inlineStr">
        <is>
          <t>1404/10</t>
        </is>
      </c>
      <c r="G1102" s="58" t="inlineStr">
        <is>
          <t>دی</t>
        </is>
      </c>
      <c r="H1102" s="128" t="inlineStr">
        <is>
          <t>زمستان</t>
        </is>
      </c>
      <c r="I1102" s="128" t="inlineStr">
        <is>
          <t>پنجشنبه</t>
        </is>
      </c>
      <c r="J1102" s="128" t="inlineStr">
        <is>
          <t>بله</t>
        </is>
      </c>
    </row>
    <row r="1103">
      <c r="A1103" s="176" t="n">
        <v>46024</v>
      </c>
      <c r="B1103" s="177" t="n">
        <v>46024</v>
      </c>
      <c r="C1103" s="177" t="n">
        <v>1404</v>
      </c>
      <c r="D1103" s="177" t="n">
        <v>10</v>
      </c>
      <c r="E1103" s="178" t="inlineStr">
        <is>
          <t>1404/10/12</t>
        </is>
      </c>
      <c r="F1103" s="134" t="inlineStr">
        <is>
          <t>1404/10</t>
        </is>
      </c>
      <c r="G1103" s="61" t="inlineStr">
        <is>
          <t>دی</t>
        </is>
      </c>
      <c r="H1103" s="134" t="inlineStr">
        <is>
          <t>زمستان</t>
        </is>
      </c>
      <c r="I1103" s="134" t="inlineStr">
        <is>
          <t>جمعه</t>
        </is>
      </c>
      <c r="J1103" s="134" t="inlineStr">
        <is>
          <t>بله</t>
        </is>
      </c>
    </row>
    <row r="1104">
      <c r="A1104" s="173" t="n">
        <v>46025</v>
      </c>
      <c r="B1104" s="174" t="n">
        <v>46025</v>
      </c>
      <c r="C1104" s="174" t="n">
        <v>1404</v>
      </c>
      <c r="D1104" s="174" t="n">
        <v>10</v>
      </c>
      <c r="E1104" s="175" t="inlineStr">
        <is>
          <t>1404/10/13</t>
        </is>
      </c>
      <c r="F1104" s="128" t="inlineStr">
        <is>
          <t>1404/10</t>
        </is>
      </c>
      <c r="G1104" s="58" t="inlineStr">
        <is>
          <t>دی</t>
        </is>
      </c>
      <c r="H1104" s="128" t="inlineStr">
        <is>
          <t>زمستان</t>
        </is>
      </c>
      <c r="I1104" s="128" t="inlineStr">
        <is>
          <t>شنبه</t>
        </is>
      </c>
      <c r="J1104" s="128" t="inlineStr">
        <is>
          <t>خیر</t>
        </is>
      </c>
    </row>
    <row r="1105">
      <c r="A1105" s="176" t="n">
        <v>46026</v>
      </c>
      <c r="B1105" s="177" t="n">
        <v>46026</v>
      </c>
      <c r="C1105" s="177" t="n">
        <v>1404</v>
      </c>
      <c r="D1105" s="177" t="n">
        <v>10</v>
      </c>
      <c r="E1105" s="178" t="inlineStr">
        <is>
          <t>1404/10/14</t>
        </is>
      </c>
      <c r="F1105" s="134" t="inlineStr">
        <is>
          <t>1404/10</t>
        </is>
      </c>
      <c r="G1105" s="61" t="inlineStr">
        <is>
          <t>دی</t>
        </is>
      </c>
      <c r="H1105" s="134" t="inlineStr">
        <is>
          <t>زمستان</t>
        </is>
      </c>
      <c r="I1105" s="134" t="inlineStr">
        <is>
          <t>یکشنبه</t>
        </is>
      </c>
      <c r="J1105" s="134" t="inlineStr">
        <is>
          <t>خیر</t>
        </is>
      </c>
    </row>
    <row r="1106">
      <c r="A1106" s="173" t="n">
        <v>46027</v>
      </c>
      <c r="B1106" s="174" t="n">
        <v>46027</v>
      </c>
      <c r="C1106" s="174" t="n">
        <v>1404</v>
      </c>
      <c r="D1106" s="174" t="n">
        <v>10</v>
      </c>
      <c r="E1106" s="175" t="inlineStr">
        <is>
          <t>1404/10/15</t>
        </is>
      </c>
      <c r="F1106" s="128" t="inlineStr">
        <is>
          <t>1404/10</t>
        </is>
      </c>
      <c r="G1106" s="58" t="inlineStr">
        <is>
          <t>دی</t>
        </is>
      </c>
      <c r="H1106" s="128" t="inlineStr">
        <is>
          <t>زمستان</t>
        </is>
      </c>
      <c r="I1106" s="128" t="inlineStr">
        <is>
          <t>دوشنبه</t>
        </is>
      </c>
      <c r="J1106" s="128" t="inlineStr">
        <is>
          <t>بله</t>
        </is>
      </c>
    </row>
    <row r="1107">
      <c r="A1107" s="176" t="n">
        <v>46028</v>
      </c>
      <c r="B1107" s="177" t="n">
        <v>46028</v>
      </c>
      <c r="C1107" s="177" t="n">
        <v>1404</v>
      </c>
      <c r="D1107" s="177" t="n">
        <v>10</v>
      </c>
      <c r="E1107" s="178" t="inlineStr">
        <is>
          <t>1404/10/16</t>
        </is>
      </c>
      <c r="F1107" s="134" t="inlineStr">
        <is>
          <t>1404/10</t>
        </is>
      </c>
      <c r="G1107" s="61" t="inlineStr">
        <is>
          <t>دی</t>
        </is>
      </c>
      <c r="H1107" s="134" t="inlineStr">
        <is>
          <t>زمستان</t>
        </is>
      </c>
      <c r="I1107" s="134" t="inlineStr">
        <is>
          <t>سه‌شنبه</t>
        </is>
      </c>
      <c r="J1107" s="134" t="inlineStr">
        <is>
          <t>بله</t>
        </is>
      </c>
    </row>
    <row r="1108">
      <c r="A1108" s="173" t="n">
        <v>46029</v>
      </c>
      <c r="B1108" s="174" t="n">
        <v>46029</v>
      </c>
      <c r="C1108" s="174" t="n">
        <v>1404</v>
      </c>
      <c r="D1108" s="174" t="n">
        <v>10</v>
      </c>
      <c r="E1108" s="175" t="inlineStr">
        <is>
          <t>1404/10/17</t>
        </is>
      </c>
      <c r="F1108" s="128" t="inlineStr">
        <is>
          <t>1404/10</t>
        </is>
      </c>
      <c r="G1108" s="58" t="inlineStr">
        <is>
          <t>دی</t>
        </is>
      </c>
      <c r="H1108" s="128" t="inlineStr">
        <is>
          <t>زمستان</t>
        </is>
      </c>
      <c r="I1108" s="128" t="inlineStr">
        <is>
          <t>چهارشنبه</t>
        </is>
      </c>
      <c r="J1108" s="128" t="inlineStr">
        <is>
          <t>بله</t>
        </is>
      </c>
    </row>
    <row r="1109">
      <c r="A1109" s="176" t="n">
        <v>46030</v>
      </c>
      <c r="B1109" s="177" t="n">
        <v>46030</v>
      </c>
      <c r="C1109" s="177" t="n">
        <v>1404</v>
      </c>
      <c r="D1109" s="177" t="n">
        <v>10</v>
      </c>
      <c r="E1109" s="178" t="inlineStr">
        <is>
          <t>1404/10/18</t>
        </is>
      </c>
      <c r="F1109" s="134" t="inlineStr">
        <is>
          <t>1404/10</t>
        </is>
      </c>
      <c r="G1109" s="61" t="inlineStr">
        <is>
          <t>دی</t>
        </is>
      </c>
      <c r="H1109" s="134" t="inlineStr">
        <is>
          <t>زمستان</t>
        </is>
      </c>
      <c r="I1109" s="134" t="inlineStr">
        <is>
          <t>پنجشنبه</t>
        </is>
      </c>
      <c r="J1109" s="134" t="inlineStr">
        <is>
          <t>بله</t>
        </is>
      </c>
    </row>
    <row r="1110">
      <c r="A1110" s="173" t="n">
        <v>46031</v>
      </c>
      <c r="B1110" s="174" t="n">
        <v>46031</v>
      </c>
      <c r="C1110" s="174" t="n">
        <v>1404</v>
      </c>
      <c r="D1110" s="174" t="n">
        <v>10</v>
      </c>
      <c r="E1110" s="175" t="inlineStr">
        <is>
          <t>1404/10/19</t>
        </is>
      </c>
      <c r="F1110" s="128" t="inlineStr">
        <is>
          <t>1404/10</t>
        </is>
      </c>
      <c r="G1110" s="58" t="inlineStr">
        <is>
          <t>دی</t>
        </is>
      </c>
      <c r="H1110" s="128" t="inlineStr">
        <is>
          <t>زمستان</t>
        </is>
      </c>
      <c r="I1110" s="128" t="inlineStr">
        <is>
          <t>جمعه</t>
        </is>
      </c>
      <c r="J1110" s="128" t="inlineStr">
        <is>
          <t>بله</t>
        </is>
      </c>
    </row>
    <row r="1111">
      <c r="A1111" s="176" t="n">
        <v>46032</v>
      </c>
      <c r="B1111" s="177" t="n">
        <v>46032</v>
      </c>
      <c r="C1111" s="177" t="n">
        <v>1404</v>
      </c>
      <c r="D1111" s="177" t="n">
        <v>10</v>
      </c>
      <c r="E1111" s="178" t="inlineStr">
        <is>
          <t>1404/10/20</t>
        </is>
      </c>
      <c r="F1111" s="134" t="inlineStr">
        <is>
          <t>1404/10</t>
        </is>
      </c>
      <c r="G1111" s="61" t="inlineStr">
        <is>
          <t>دی</t>
        </is>
      </c>
      <c r="H1111" s="134" t="inlineStr">
        <is>
          <t>زمستان</t>
        </is>
      </c>
      <c r="I1111" s="134" t="inlineStr">
        <is>
          <t>شنبه</t>
        </is>
      </c>
      <c r="J1111" s="134" t="inlineStr">
        <is>
          <t>خیر</t>
        </is>
      </c>
    </row>
    <row r="1112">
      <c r="A1112" s="173" t="n">
        <v>46033</v>
      </c>
      <c r="B1112" s="174" t="n">
        <v>46033</v>
      </c>
      <c r="C1112" s="174" t="n">
        <v>1404</v>
      </c>
      <c r="D1112" s="174" t="n">
        <v>10</v>
      </c>
      <c r="E1112" s="175" t="inlineStr">
        <is>
          <t>1404/10/21</t>
        </is>
      </c>
      <c r="F1112" s="128" t="inlineStr">
        <is>
          <t>1404/10</t>
        </is>
      </c>
      <c r="G1112" s="58" t="inlineStr">
        <is>
          <t>دی</t>
        </is>
      </c>
      <c r="H1112" s="128" t="inlineStr">
        <is>
          <t>زمستان</t>
        </is>
      </c>
      <c r="I1112" s="128" t="inlineStr">
        <is>
          <t>یکشنبه</t>
        </is>
      </c>
      <c r="J1112" s="128" t="inlineStr">
        <is>
          <t>خیر</t>
        </is>
      </c>
    </row>
    <row r="1113">
      <c r="A1113" s="176" t="n">
        <v>46034</v>
      </c>
      <c r="B1113" s="177" t="n">
        <v>46034</v>
      </c>
      <c r="C1113" s="177" t="n">
        <v>1404</v>
      </c>
      <c r="D1113" s="177" t="n">
        <v>10</v>
      </c>
      <c r="E1113" s="178" t="inlineStr">
        <is>
          <t>1404/10/22</t>
        </is>
      </c>
      <c r="F1113" s="134" t="inlineStr">
        <is>
          <t>1404/10</t>
        </is>
      </c>
      <c r="G1113" s="61" t="inlineStr">
        <is>
          <t>دی</t>
        </is>
      </c>
      <c r="H1113" s="134" t="inlineStr">
        <is>
          <t>زمستان</t>
        </is>
      </c>
      <c r="I1113" s="134" t="inlineStr">
        <is>
          <t>دوشنبه</t>
        </is>
      </c>
      <c r="J1113" s="134" t="inlineStr">
        <is>
          <t>بله</t>
        </is>
      </c>
    </row>
    <row r="1114">
      <c r="A1114" s="173" t="n">
        <v>46035</v>
      </c>
      <c r="B1114" s="174" t="n">
        <v>46035</v>
      </c>
      <c r="C1114" s="174" t="n">
        <v>1404</v>
      </c>
      <c r="D1114" s="174" t="n">
        <v>10</v>
      </c>
      <c r="E1114" s="175" t="inlineStr">
        <is>
          <t>1404/10/23</t>
        </is>
      </c>
      <c r="F1114" s="128" t="inlineStr">
        <is>
          <t>1404/10</t>
        </is>
      </c>
      <c r="G1114" s="58" t="inlineStr">
        <is>
          <t>دی</t>
        </is>
      </c>
      <c r="H1114" s="128" t="inlineStr">
        <is>
          <t>زمستان</t>
        </is>
      </c>
      <c r="I1114" s="128" t="inlineStr">
        <is>
          <t>سه‌شنبه</t>
        </is>
      </c>
      <c r="J1114" s="128" t="inlineStr">
        <is>
          <t>بله</t>
        </is>
      </c>
    </row>
    <row r="1115">
      <c r="A1115" s="176" t="n">
        <v>46036</v>
      </c>
      <c r="B1115" s="177" t="n">
        <v>46036</v>
      </c>
      <c r="C1115" s="177" t="n">
        <v>1404</v>
      </c>
      <c r="D1115" s="177" t="n">
        <v>10</v>
      </c>
      <c r="E1115" s="178" t="inlineStr">
        <is>
          <t>1404/10/24</t>
        </is>
      </c>
      <c r="F1115" s="134" t="inlineStr">
        <is>
          <t>1404/10</t>
        </is>
      </c>
      <c r="G1115" s="61" t="inlineStr">
        <is>
          <t>دی</t>
        </is>
      </c>
      <c r="H1115" s="134" t="inlineStr">
        <is>
          <t>زمستان</t>
        </is>
      </c>
      <c r="I1115" s="134" t="inlineStr">
        <is>
          <t>چهارشنبه</t>
        </is>
      </c>
      <c r="J1115" s="134" t="inlineStr">
        <is>
          <t>بله</t>
        </is>
      </c>
    </row>
    <row r="1116">
      <c r="A1116" s="173" t="n">
        <v>46037</v>
      </c>
      <c r="B1116" s="174" t="n">
        <v>46037</v>
      </c>
      <c r="C1116" s="174" t="n">
        <v>1404</v>
      </c>
      <c r="D1116" s="174" t="n">
        <v>10</v>
      </c>
      <c r="E1116" s="175" t="inlineStr">
        <is>
          <t>1404/10/25</t>
        </is>
      </c>
      <c r="F1116" s="128" t="inlineStr">
        <is>
          <t>1404/10</t>
        </is>
      </c>
      <c r="G1116" s="58" t="inlineStr">
        <is>
          <t>دی</t>
        </is>
      </c>
      <c r="H1116" s="128" t="inlineStr">
        <is>
          <t>زمستان</t>
        </is>
      </c>
      <c r="I1116" s="128" t="inlineStr">
        <is>
          <t>پنجشنبه</t>
        </is>
      </c>
      <c r="J1116" s="128" t="inlineStr">
        <is>
          <t>بله</t>
        </is>
      </c>
    </row>
    <row r="1117">
      <c r="A1117" s="176" t="n">
        <v>46038</v>
      </c>
      <c r="B1117" s="177" t="n">
        <v>46038</v>
      </c>
      <c r="C1117" s="177" t="n">
        <v>1404</v>
      </c>
      <c r="D1117" s="177" t="n">
        <v>10</v>
      </c>
      <c r="E1117" s="178" t="inlineStr">
        <is>
          <t>1404/10/26</t>
        </is>
      </c>
      <c r="F1117" s="134" t="inlineStr">
        <is>
          <t>1404/10</t>
        </is>
      </c>
      <c r="G1117" s="61" t="inlineStr">
        <is>
          <t>دی</t>
        </is>
      </c>
      <c r="H1117" s="134" t="inlineStr">
        <is>
          <t>زمستان</t>
        </is>
      </c>
      <c r="I1117" s="134" t="inlineStr">
        <is>
          <t>جمعه</t>
        </is>
      </c>
      <c r="J1117" s="134" t="inlineStr">
        <is>
          <t>بله</t>
        </is>
      </c>
    </row>
    <row r="1118">
      <c r="A1118" s="173" t="n">
        <v>46039</v>
      </c>
      <c r="B1118" s="174" t="n">
        <v>46039</v>
      </c>
      <c r="C1118" s="174" t="n">
        <v>1404</v>
      </c>
      <c r="D1118" s="174" t="n">
        <v>10</v>
      </c>
      <c r="E1118" s="175" t="inlineStr">
        <is>
          <t>1404/10/27</t>
        </is>
      </c>
      <c r="F1118" s="128" t="inlineStr">
        <is>
          <t>1404/10</t>
        </is>
      </c>
      <c r="G1118" s="58" t="inlineStr">
        <is>
          <t>دی</t>
        </is>
      </c>
      <c r="H1118" s="128" t="inlineStr">
        <is>
          <t>زمستان</t>
        </is>
      </c>
      <c r="I1118" s="128" t="inlineStr">
        <is>
          <t>شنبه</t>
        </is>
      </c>
      <c r="J1118" s="128" t="inlineStr">
        <is>
          <t>خیر</t>
        </is>
      </c>
    </row>
    <row r="1119">
      <c r="A1119" s="176" t="n">
        <v>46040</v>
      </c>
      <c r="B1119" s="177" t="n">
        <v>46040</v>
      </c>
      <c r="C1119" s="177" t="n">
        <v>1404</v>
      </c>
      <c r="D1119" s="177" t="n">
        <v>10</v>
      </c>
      <c r="E1119" s="178" t="inlineStr">
        <is>
          <t>1404/10/28</t>
        </is>
      </c>
      <c r="F1119" s="134" t="inlineStr">
        <is>
          <t>1404/10</t>
        </is>
      </c>
      <c r="G1119" s="61" t="inlineStr">
        <is>
          <t>دی</t>
        </is>
      </c>
      <c r="H1119" s="134" t="inlineStr">
        <is>
          <t>زمستان</t>
        </is>
      </c>
      <c r="I1119" s="134" t="inlineStr">
        <is>
          <t>یکشنبه</t>
        </is>
      </c>
      <c r="J1119" s="134" t="inlineStr">
        <is>
          <t>خیر</t>
        </is>
      </c>
    </row>
    <row r="1120">
      <c r="A1120" s="173" t="n">
        <v>46041</v>
      </c>
      <c r="B1120" s="174" t="n">
        <v>46041</v>
      </c>
      <c r="C1120" s="174" t="n">
        <v>1404</v>
      </c>
      <c r="D1120" s="174" t="n">
        <v>10</v>
      </c>
      <c r="E1120" s="175" t="inlineStr">
        <is>
          <t>1404/10/29</t>
        </is>
      </c>
      <c r="F1120" s="128" t="inlineStr">
        <is>
          <t>1404/10</t>
        </is>
      </c>
      <c r="G1120" s="58" t="inlineStr">
        <is>
          <t>دی</t>
        </is>
      </c>
      <c r="H1120" s="128" t="inlineStr">
        <is>
          <t>زمستان</t>
        </is>
      </c>
      <c r="I1120" s="128" t="inlineStr">
        <is>
          <t>دوشنبه</t>
        </is>
      </c>
      <c r="J1120" s="128" t="inlineStr">
        <is>
          <t>بله</t>
        </is>
      </c>
    </row>
    <row r="1121">
      <c r="A1121" s="176" t="n">
        <v>46042</v>
      </c>
      <c r="B1121" s="177" t="n">
        <v>46042</v>
      </c>
      <c r="C1121" s="177" t="n">
        <v>1404</v>
      </c>
      <c r="D1121" s="177" t="n">
        <v>10</v>
      </c>
      <c r="E1121" s="178" t="inlineStr">
        <is>
          <t>1404/10/30</t>
        </is>
      </c>
      <c r="F1121" s="134" t="inlineStr">
        <is>
          <t>1404/10</t>
        </is>
      </c>
      <c r="G1121" s="61" t="inlineStr">
        <is>
          <t>دی</t>
        </is>
      </c>
      <c r="H1121" s="134" t="inlineStr">
        <is>
          <t>زمستان</t>
        </is>
      </c>
      <c r="I1121" s="134" t="inlineStr">
        <is>
          <t>سه‌شنبه</t>
        </is>
      </c>
      <c r="J1121" s="134" t="inlineStr">
        <is>
          <t>بله</t>
        </is>
      </c>
    </row>
    <row r="1122">
      <c r="A1122" s="173" t="n">
        <v>46043</v>
      </c>
      <c r="B1122" s="174" t="n">
        <v>46043</v>
      </c>
      <c r="C1122" s="174" t="n">
        <v>1404</v>
      </c>
      <c r="D1122" s="174" t="n">
        <v>11</v>
      </c>
      <c r="E1122" s="175" t="inlineStr">
        <is>
          <t>1404/11/01</t>
        </is>
      </c>
      <c r="F1122" s="128" t="inlineStr">
        <is>
          <t>1404/11</t>
        </is>
      </c>
      <c r="G1122" s="58" t="inlineStr">
        <is>
          <t>بهمن</t>
        </is>
      </c>
      <c r="H1122" s="128" t="inlineStr">
        <is>
          <t>زمستان</t>
        </is>
      </c>
      <c r="I1122" s="128" t="inlineStr">
        <is>
          <t>چهارشنبه</t>
        </is>
      </c>
      <c r="J1122" s="128" t="inlineStr">
        <is>
          <t>بله</t>
        </is>
      </c>
    </row>
    <row r="1123">
      <c r="A1123" s="176" t="n">
        <v>46044</v>
      </c>
      <c r="B1123" s="177" t="n">
        <v>46044</v>
      </c>
      <c r="C1123" s="177" t="n">
        <v>1404</v>
      </c>
      <c r="D1123" s="177" t="n">
        <v>11</v>
      </c>
      <c r="E1123" s="178" t="inlineStr">
        <is>
          <t>1404/11/02</t>
        </is>
      </c>
      <c r="F1123" s="134" t="inlineStr">
        <is>
          <t>1404/11</t>
        </is>
      </c>
      <c r="G1123" s="61" t="inlineStr">
        <is>
          <t>بهمن</t>
        </is>
      </c>
      <c r="H1123" s="134" t="inlineStr">
        <is>
          <t>زمستان</t>
        </is>
      </c>
      <c r="I1123" s="134" t="inlineStr">
        <is>
          <t>پنجشنبه</t>
        </is>
      </c>
      <c r="J1123" s="134" t="inlineStr">
        <is>
          <t>بله</t>
        </is>
      </c>
    </row>
    <row r="1124">
      <c r="A1124" s="173" t="n">
        <v>46045</v>
      </c>
      <c r="B1124" s="174" t="n">
        <v>46045</v>
      </c>
      <c r="C1124" s="174" t="n">
        <v>1404</v>
      </c>
      <c r="D1124" s="174" t="n">
        <v>11</v>
      </c>
      <c r="E1124" s="175" t="inlineStr">
        <is>
          <t>1404/11/03</t>
        </is>
      </c>
      <c r="F1124" s="128" t="inlineStr">
        <is>
          <t>1404/11</t>
        </is>
      </c>
      <c r="G1124" s="58" t="inlineStr">
        <is>
          <t>بهمن</t>
        </is>
      </c>
      <c r="H1124" s="128" t="inlineStr">
        <is>
          <t>زمستان</t>
        </is>
      </c>
      <c r="I1124" s="128" t="inlineStr">
        <is>
          <t>جمعه</t>
        </is>
      </c>
      <c r="J1124" s="128" t="inlineStr">
        <is>
          <t>بله</t>
        </is>
      </c>
    </row>
    <row r="1125">
      <c r="A1125" s="176" t="n">
        <v>46046</v>
      </c>
      <c r="B1125" s="177" t="n">
        <v>46046</v>
      </c>
      <c r="C1125" s="177" t="n">
        <v>1404</v>
      </c>
      <c r="D1125" s="177" t="n">
        <v>11</v>
      </c>
      <c r="E1125" s="178" t="inlineStr">
        <is>
          <t>1404/11/04</t>
        </is>
      </c>
      <c r="F1125" s="134" t="inlineStr">
        <is>
          <t>1404/11</t>
        </is>
      </c>
      <c r="G1125" s="61" t="inlineStr">
        <is>
          <t>بهمن</t>
        </is>
      </c>
      <c r="H1125" s="134" t="inlineStr">
        <is>
          <t>زمستان</t>
        </is>
      </c>
      <c r="I1125" s="134" t="inlineStr">
        <is>
          <t>شنبه</t>
        </is>
      </c>
      <c r="J1125" s="134" t="inlineStr">
        <is>
          <t>خیر</t>
        </is>
      </c>
    </row>
    <row r="1126">
      <c r="A1126" s="173" t="n">
        <v>46047</v>
      </c>
      <c r="B1126" s="174" t="n">
        <v>46047</v>
      </c>
      <c r="C1126" s="174" t="n">
        <v>1404</v>
      </c>
      <c r="D1126" s="174" t="n">
        <v>11</v>
      </c>
      <c r="E1126" s="175" t="inlineStr">
        <is>
          <t>1404/11/05</t>
        </is>
      </c>
      <c r="F1126" s="128" t="inlineStr">
        <is>
          <t>1404/11</t>
        </is>
      </c>
      <c r="G1126" s="58" t="inlineStr">
        <is>
          <t>بهمن</t>
        </is>
      </c>
      <c r="H1126" s="128" t="inlineStr">
        <is>
          <t>زمستان</t>
        </is>
      </c>
      <c r="I1126" s="128" t="inlineStr">
        <is>
          <t>یکشنبه</t>
        </is>
      </c>
      <c r="J1126" s="128" t="inlineStr">
        <is>
          <t>خیر</t>
        </is>
      </c>
    </row>
    <row r="1127">
      <c r="A1127" s="176" t="n">
        <v>46048</v>
      </c>
      <c r="B1127" s="177" t="n">
        <v>46048</v>
      </c>
      <c r="C1127" s="177" t="n">
        <v>1404</v>
      </c>
      <c r="D1127" s="177" t="n">
        <v>11</v>
      </c>
      <c r="E1127" s="178" t="inlineStr">
        <is>
          <t>1404/11/06</t>
        </is>
      </c>
      <c r="F1127" s="134" t="inlineStr">
        <is>
          <t>1404/11</t>
        </is>
      </c>
      <c r="G1127" s="61" t="inlineStr">
        <is>
          <t>بهمن</t>
        </is>
      </c>
      <c r="H1127" s="134" t="inlineStr">
        <is>
          <t>زمستان</t>
        </is>
      </c>
      <c r="I1127" s="134" t="inlineStr">
        <is>
          <t>دوشنبه</t>
        </is>
      </c>
      <c r="J1127" s="134" t="inlineStr">
        <is>
          <t>بله</t>
        </is>
      </c>
    </row>
    <row r="1128">
      <c r="A1128" s="173" t="n">
        <v>46049</v>
      </c>
      <c r="B1128" s="174" t="n">
        <v>46049</v>
      </c>
      <c r="C1128" s="174" t="n">
        <v>1404</v>
      </c>
      <c r="D1128" s="174" t="n">
        <v>11</v>
      </c>
      <c r="E1128" s="175" t="inlineStr">
        <is>
          <t>1404/11/07</t>
        </is>
      </c>
      <c r="F1128" s="128" t="inlineStr">
        <is>
          <t>1404/11</t>
        </is>
      </c>
      <c r="G1128" s="58" t="inlineStr">
        <is>
          <t>بهمن</t>
        </is>
      </c>
      <c r="H1128" s="128" t="inlineStr">
        <is>
          <t>زمستان</t>
        </is>
      </c>
      <c r="I1128" s="128" t="inlineStr">
        <is>
          <t>سه‌شنبه</t>
        </is>
      </c>
      <c r="J1128" s="128" t="inlineStr">
        <is>
          <t>بله</t>
        </is>
      </c>
    </row>
    <row r="1129">
      <c r="A1129" s="176" t="n">
        <v>46050</v>
      </c>
      <c r="B1129" s="177" t="n">
        <v>46050</v>
      </c>
      <c r="C1129" s="177" t="n">
        <v>1404</v>
      </c>
      <c r="D1129" s="177" t="n">
        <v>11</v>
      </c>
      <c r="E1129" s="178" t="inlineStr">
        <is>
          <t>1404/11/08</t>
        </is>
      </c>
      <c r="F1129" s="134" t="inlineStr">
        <is>
          <t>1404/11</t>
        </is>
      </c>
      <c r="G1129" s="61" t="inlineStr">
        <is>
          <t>بهمن</t>
        </is>
      </c>
      <c r="H1129" s="134" t="inlineStr">
        <is>
          <t>زمستان</t>
        </is>
      </c>
      <c r="I1129" s="134" t="inlineStr">
        <is>
          <t>چهارشنبه</t>
        </is>
      </c>
      <c r="J1129" s="134" t="inlineStr">
        <is>
          <t>بله</t>
        </is>
      </c>
    </row>
    <row r="1130">
      <c r="A1130" s="173" t="n">
        <v>46051</v>
      </c>
      <c r="B1130" s="174" t="n">
        <v>46051</v>
      </c>
      <c r="C1130" s="174" t="n">
        <v>1404</v>
      </c>
      <c r="D1130" s="174" t="n">
        <v>11</v>
      </c>
      <c r="E1130" s="175" t="inlineStr">
        <is>
          <t>1404/11/09</t>
        </is>
      </c>
      <c r="F1130" s="128" t="inlineStr">
        <is>
          <t>1404/11</t>
        </is>
      </c>
      <c r="G1130" s="58" t="inlineStr">
        <is>
          <t>بهمن</t>
        </is>
      </c>
      <c r="H1130" s="128" t="inlineStr">
        <is>
          <t>زمستان</t>
        </is>
      </c>
      <c r="I1130" s="128" t="inlineStr">
        <is>
          <t>پنجشنبه</t>
        </is>
      </c>
      <c r="J1130" s="128" t="inlineStr">
        <is>
          <t>بله</t>
        </is>
      </c>
    </row>
    <row r="1131">
      <c r="A1131" s="176" t="n">
        <v>46052</v>
      </c>
      <c r="B1131" s="177" t="n">
        <v>46052</v>
      </c>
      <c r="C1131" s="177" t="n">
        <v>1404</v>
      </c>
      <c r="D1131" s="177" t="n">
        <v>11</v>
      </c>
      <c r="E1131" s="178" t="inlineStr">
        <is>
          <t>1404/11/10</t>
        </is>
      </c>
      <c r="F1131" s="134" t="inlineStr">
        <is>
          <t>1404/11</t>
        </is>
      </c>
      <c r="G1131" s="61" t="inlineStr">
        <is>
          <t>بهمن</t>
        </is>
      </c>
      <c r="H1131" s="134" t="inlineStr">
        <is>
          <t>زمستان</t>
        </is>
      </c>
      <c r="I1131" s="134" t="inlineStr">
        <is>
          <t>جمعه</t>
        </is>
      </c>
      <c r="J1131" s="134" t="inlineStr">
        <is>
          <t>بله</t>
        </is>
      </c>
    </row>
    <row r="1132">
      <c r="A1132" s="173" t="n">
        <v>46053</v>
      </c>
      <c r="B1132" s="174" t="n">
        <v>46053</v>
      </c>
      <c r="C1132" s="174" t="n">
        <v>1404</v>
      </c>
      <c r="D1132" s="174" t="n">
        <v>11</v>
      </c>
      <c r="E1132" s="175" t="inlineStr">
        <is>
          <t>1404/11/11</t>
        </is>
      </c>
      <c r="F1132" s="128" t="inlineStr">
        <is>
          <t>1404/11</t>
        </is>
      </c>
      <c r="G1132" s="58" t="inlineStr">
        <is>
          <t>بهمن</t>
        </is>
      </c>
      <c r="H1132" s="128" t="inlineStr">
        <is>
          <t>زمستان</t>
        </is>
      </c>
      <c r="I1132" s="128" t="inlineStr">
        <is>
          <t>شنبه</t>
        </is>
      </c>
      <c r="J1132" s="128" t="inlineStr">
        <is>
          <t>خیر</t>
        </is>
      </c>
    </row>
    <row r="1133">
      <c r="A1133" s="176" t="n">
        <v>46054</v>
      </c>
      <c r="B1133" s="177" t="n">
        <v>46054</v>
      </c>
      <c r="C1133" s="177" t="n">
        <v>1404</v>
      </c>
      <c r="D1133" s="177" t="n">
        <v>11</v>
      </c>
      <c r="E1133" s="178" t="inlineStr">
        <is>
          <t>1404/11/12</t>
        </is>
      </c>
      <c r="F1133" s="134" t="inlineStr">
        <is>
          <t>1404/11</t>
        </is>
      </c>
      <c r="G1133" s="61" t="inlineStr">
        <is>
          <t>بهمن</t>
        </is>
      </c>
      <c r="H1133" s="134" t="inlineStr">
        <is>
          <t>زمستان</t>
        </is>
      </c>
      <c r="I1133" s="134" t="inlineStr">
        <is>
          <t>یکشنبه</t>
        </is>
      </c>
      <c r="J1133" s="134" t="inlineStr">
        <is>
          <t>خیر</t>
        </is>
      </c>
    </row>
    <row r="1134">
      <c r="A1134" s="173" t="n">
        <v>46055</v>
      </c>
      <c r="B1134" s="174" t="n">
        <v>46055</v>
      </c>
      <c r="C1134" s="174" t="n">
        <v>1404</v>
      </c>
      <c r="D1134" s="174" t="n">
        <v>11</v>
      </c>
      <c r="E1134" s="175" t="inlineStr">
        <is>
          <t>1404/11/13</t>
        </is>
      </c>
      <c r="F1134" s="128" t="inlineStr">
        <is>
          <t>1404/11</t>
        </is>
      </c>
      <c r="G1134" s="58" t="inlineStr">
        <is>
          <t>بهمن</t>
        </is>
      </c>
      <c r="H1134" s="128" t="inlineStr">
        <is>
          <t>زمستان</t>
        </is>
      </c>
      <c r="I1134" s="128" t="inlineStr">
        <is>
          <t>دوشنبه</t>
        </is>
      </c>
      <c r="J1134" s="128" t="inlineStr">
        <is>
          <t>بله</t>
        </is>
      </c>
    </row>
    <row r="1135">
      <c r="A1135" s="176" t="n">
        <v>46056</v>
      </c>
      <c r="B1135" s="177" t="n">
        <v>46056</v>
      </c>
      <c r="C1135" s="177" t="n">
        <v>1404</v>
      </c>
      <c r="D1135" s="177" t="n">
        <v>11</v>
      </c>
      <c r="E1135" s="178" t="inlineStr">
        <is>
          <t>1404/11/14</t>
        </is>
      </c>
      <c r="F1135" s="134" t="inlineStr">
        <is>
          <t>1404/11</t>
        </is>
      </c>
      <c r="G1135" s="61" t="inlineStr">
        <is>
          <t>بهمن</t>
        </is>
      </c>
      <c r="H1135" s="134" t="inlineStr">
        <is>
          <t>زمستان</t>
        </is>
      </c>
      <c r="I1135" s="134" t="inlineStr">
        <is>
          <t>سه‌شنبه</t>
        </is>
      </c>
      <c r="J1135" s="134" t="inlineStr">
        <is>
          <t>بله</t>
        </is>
      </c>
    </row>
    <row r="1136">
      <c r="A1136" s="173" t="n">
        <v>46057</v>
      </c>
      <c r="B1136" s="174" t="n">
        <v>46057</v>
      </c>
      <c r="C1136" s="174" t="n">
        <v>1404</v>
      </c>
      <c r="D1136" s="174" t="n">
        <v>11</v>
      </c>
      <c r="E1136" s="175" t="inlineStr">
        <is>
          <t>1404/11/15</t>
        </is>
      </c>
      <c r="F1136" s="128" t="inlineStr">
        <is>
          <t>1404/11</t>
        </is>
      </c>
      <c r="G1136" s="58" t="inlineStr">
        <is>
          <t>بهمن</t>
        </is>
      </c>
      <c r="H1136" s="128" t="inlineStr">
        <is>
          <t>زمستان</t>
        </is>
      </c>
      <c r="I1136" s="128" t="inlineStr">
        <is>
          <t>چهارشنبه</t>
        </is>
      </c>
      <c r="J1136" s="128" t="inlineStr">
        <is>
          <t>بله</t>
        </is>
      </c>
    </row>
    <row r="1137">
      <c r="A1137" s="176" t="n">
        <v>46058</v>
      </c>
      <c r="B1137" s="177" t="n">
        <v>46058</v>
      </c>
      <c r="C1137" s="177" t="n">
        <v>1404</v>
      </c>
      <c r="D1137" s="177" t="n">
        <v>11</v>
      </c>
      <c r="E1137" s="178" t="inlineStr">
        <is>
          <t>1404/11/16</t>
        </is>
      </c>
      <c r="F1137" s="134" t="inlineStr">
        <is>
          <t>1404/11</t>
        </is>
      </c>
      <c r="G1137" s="61" t="inlineStr">
        <is>
          <t>بهمن</t>
        </is>
      </c>
      <c r="H1137" s="134" t="inlineStr">
        <is>
          <t>زمستان</t>
        </is>
      </c>
      <c r="I1137" s="134" t="inlineStr">
        <is>
          <t>پنجشنبه</t>
        </is>
      </c>
      <c r="J1137" s="134" t="inlineStr">
        <is>
          <t>بله</t>
        </is>
      </c>
    </row>
    <row r="1138">
      <c r="A1138" s="173" t="n">
        <v>46059</v>
      </c>
      <c r="B1138" s="174" t="n">
        <v>46059</v>
      </c>
      <c r="C1138" s="174" t="n">
        <v>1404</v>
      </c>
      <c r="D1138" s="174" t="n">
        <v>11</v>
      </c>
      <c r="E1138" s="175" t="inlineStr">
        <is>
          <t>1404/11/17</t>
        </is>
      </c>
      <c r="F1138" s="128" t="inlineStr">
        <is>
          <t>1404/11</t>
        </is>
      </c>
      <c r="G1138" s="58" t="inlineStr">
        <is>
          <t>بهمن</t>
        </is>
      </c>
      <c r="H1138" s="128" t="inlineStr">
        <is>
          <t>زمستان</t>
        </is>
      </c>
      <c r="I1138" s="128" t="inlineStr">
        <is>
          <t>جمعه</t>
        </is>
      </c>
      <c r="J1138" s="128" t="inlineStr">
        <is>
          <t>بله</t>
        </is>
      </c>
    </row>
    <row r="1139">
      <c r="A1139" s="176" t="n">
        <v>46060</v>
      </c>
      <c r="B1139" s="177" t="n">
        <v>46060</v>
      </c>
      <c r="C1139" s="177" t="n">
        <v>1404</v>
      </c>
      <c r="D1139" s="177" t="n">
        <v>11</v>
      </c>
      <c r="E1139" s="178" t="inlineStr">
        <is>
          <t>1404/11/18</t>
        </is>
      </c>
      <c r="F1139" s="134" t="inlineStr">
        <is>
          <t>1404/11</t>
        </is>
      </c>
      <c r="G1139" s="61" t="inlineStr">
        <is>
          <t>بهمن</t>
        </is>
      </c>
      <c r="H1139" s="134" t="inlineStr">
        <is>
          <t>زمستان</t>
        </is>
      </c>
      <c r="I1139" s="134" t="inlineStr">
        <is>
          <t>شنبه</t>
        </is>
      </c>
      <c r="J1139" s="134" t="inlineStr">
        <is>
          <t>خیر</t>
        </is>
      </c>
    </row>
    <row r="1140">
      <c r="A1140" s="173" t="n">
        <v>46061</v>
      </c>
      <c r="B1140" s="174" t="n">
        <v>46061</v>
      </c>
      <c r="C1140" s="174" t="n">
        <v>1404</v>
      </c>
      <c r="D1140" s="174" t="n">
        <v>11</v>
      </c>
      <c r="E1140" s="175" t="inlineStr">
        <is>
          <t>1404/11/19</t>
        </is>
      </c>
      <c r="F1140" s="128" t="inlineStr">
        <is>
          <t>1404/11</t>
        </is>
      </c>
      <c r="G1140" s="58" t="inlineStr">
        <is>
          <t>بهمن</t>
        </is>
      </c>
      <c r="H1140" s="128" t="inlineStr">
        <is>
          <t>زمستان</t>
        </is>
      </c>
      <c r="I1140" s="128" t="inlineStr">
        <is>
          <t>یکشنبه</t>
        </is>
      </c>
      <c r="J1140" s="128" t="inlineStr">
        <is>
          <t>خیر</t>
        </is>
      </c>
    </row>
    <row r="1141">
      <c r="A1141" s="176" t="n">
        <v>46062</v>
      </c>
      <c r="B1141" s="177" t="n">
        <v>46062</v>
      </c>
      <c r="C1141" s="177" t="n">
        <v>1404</v>
      </c>
      <c r="D1141" s="177" t="n">
        <v>11</v>
      </c>
      <c r="E1141" s="178" t="inlineStr">
        <is>
          <t>1404/11/20</t>
        </is>
      </c>
      <c r="F1141" s="134" t="inlineStr">
        <is>
          <t>1404/11</t>
        </is>
      </c>
      <c r="G1141" s="61" t="inlineStr">
        <is>
          <t>بهمن</t>
        </is>
      </c>
      <c r="H1141" s="134" t="inlineStr">
        <is>
          <t>زمستان</t>
        </is>
      </c>
      <c r="I1141" s="134" t="inlineStr">
        <is>
          <t>دوشنبه</t>
        </is>
      </c>
      <c r="J1141" s="134" t="inlineStr">
        <is>
          <t>بله</t>
        </is>
      </c>
    </row>
    <row r="1142">
      <c r="A1142" s="173" t="n">
        <v>46063</v>
      </c>
      <c r="B1142" s="174" t="n">
        <v>46063</v>
      </c>
      <c r="C1142" s="174" t="n">
        <v>1404</v>
      </c>
      <c r="D1142" s="174" t="n">
        <v>11</v>
      </c>
      <c r="E1142" s="175" t="inlineStr">
        <is>
          <t>1404/11/21</t>
        </is>
      </c>
      <c r="F1142" s="128" t="inlineStr">
        <is>
          <t>1404/11</t>
        </is>
      </c>
      <c r="G1142" s="58" t="inlineStr">
        <is>
          <t>بهمن</t>
        </is>
      </c>
      <c r="H1142" s="128" t="inlineStr">
        <is>
          <t>زمستان</t>
        </is>
      </c>
      <c r="I1142" s="128" t="inlineStr">
        <is>
          <t>سه‌شنبه</t>
        </is>
      </c>
      <c r="J1142" s="128" t="inlineStr">
        <is>
          <t>بله</t>
        </is>
      </c>
    </row>
    <row r="1143">
      <c r="A1143" s="176" t="n">
        <v>46064</v>
      </c>
      <c r="B1143" s="177" t="n">
        <v>46064</v>
      </c>
      <c r="C1143" s="177" t="n">
        <v>1404</v>
      </c>
      <c r="D1143" s="177" t="n">
        <v>11</v>
      </c>
      <c r="E1143" s="178" t="inlineStr">
        <is>
          <t>1404/11/22</t>
        </is>
      </c>
      <c r="F1143" s="134" t="inlineStr">
        <is>
          <t>1404/11</t>
        </is>
      </c>
      <c r="G1143" s="61" t="inlineStr">
        <is>
          <t>بهمن</t>
        </is>
      </c>
      <c r="H1143" s="134" t="inlineStr">
        <is>
          <t>زمستان</t>
        </is>
      </c>
      <c r="I1143" s="134" t="inlineStr">
        <is>
          <t>چهارشنبه</t>
        </is>
      </c>
      <c r="J1143" s="134" t="inlineStr">
        <is>
          <t>بله</t>
        </is>
      </c>
    </row>
    <row r="1144">
      <c r="A1144" s="173" t="n">
        <v>46065</v>
      </c>
      <c r="B1144" s="174" t="n">
        <v>46065</v>
      </c>
      <c r="C1144" s="174" t="n">
        <v>1404</v>
      </c>
      <c r="D1144" s="174" t="n">
        <v>11</v>
      </c>
      <c r="E1144" s="175" t="inlineStr">
        <is>
          <t>1404/11/23</t>
        </is>
      </c>
      <c r="F1144" s="128" t="inlineStr">
        <is>
          <t>1404/11</t>
        </is>
      </c>
      <c r="G1144" s="58" t="inlineStr">
        <is>
          <t>بهمن</t>
        </is>
      </c>
      <c r="H1144" s="128" t="inlineStr">
        <is>
          <t>زمستان</t>
        </is>
      </c>
      <c r="I1144" s="128" t="inlineStr">
        <is>
          <t>پنجشنبه</t>
        </is>
      </c>
      <c r="J1144" s="128" t="inlineStr">
        <is>
          <t>بله</t>
        </is>
      </c>
    </row>
    <row r="1145">
      <c r="A1145" s="176" t="n">
        <v>46066</v>
      </c>
      <c r="B1145" s="177" t="n">
        <v>46066</v>
      </c>
      <c r="C1145" s="177" t="n">
        <v>1404</v>
      </c>
      <c r="D1145" s="177" t="n">
        <v>11</v>
      </c>
      <c r="E1145" s="178" t="inlineStr">
        <is>
          <t>1404/11/24</t>
        </is>
      </c>
      <c r="F1145" s="134" t="inlineStr">
        <is>
          <t>1404/11</t>
        </is>
      </c>
      <c r="G1145" s="61" t="inlineStr">
        <is>
          <t>بهمن</t>
        </is>
      </c>
      <c r="H1145" s="134" t="inlineStr">
        <is>
          <t>زمستان</t>
        </is>
      </c>
      <c r="I1145" s="134" t="inlineStr">
        <is>
          <t>جمعه</t>
        </is>
      </c>
      <c r="J1145" s="134" t="inlineStr">
        <is>
          <t>بله</t>
        </is>
      </c>
    </row>
    <row r="1146">
      <c r="A1146" s="173" t="n">
        <v>46067</v>
      </c>
      <c r="B1146" s="174" t="n">
        <v>46067</v>
      </c>
      <c r="C1146" s="174" t="n">
        <v>1404</v>
      </c>
      <c r="D1146" s="174" t="n">
        <v>11</v>
      </c>
      <c r="E1146" s="175" t="inlineStr">
        <is>
          <t>1404/11/25</t>
        </is>
      </c>
      <c r="F1146" s="128" t="inlineStr">
        <is>
          <t>1404/11</t>
        </is>
      </c>
      <c r="G1146" s="58" t="inlineStr">
        <is>
          <t>بهمن</t>
        </is>
      </c>
      <c r="H1146" s="128" t="inlineStr">
        <is>
          <t>زمستان</t>
        </is>
      </c>
      <c r="I1146" s="128" t="inlineStr">
        <is>
          <t>شنبه</t>
        </is>
      </c>
      <c r="J1146" s="128" t="inlineStr">
        <is>
          <t>خیر</t>
        </is>
      </c>
    </row>
    <row r="1147">
      <c r="A1147" s="176" t="n">
        <v>46068</v>
      </c>
      <c r="B1147" s="177" t="n">
        <v>46068</v>
      </c>
      <c r="C1147" s="177" t="n">
        <v>1404</v>
      </c>
      <c r="D1147" s="177" t="n">
        <v>11</v>
      </c>
      <c r="E1147" s="178" t="inlineStr">
        <is>
          <t>1404/11/26</t>
        </is>
      </c>
      <c r="F1147" s="134" t="inlineStr">
        <is>
          <t>1404/11</t>
        </is>
      </c>
      <c r="G1147" s="61" t="inlineStr">
        <is>
          <t>بهمن</t>
        </is>
      </c>
      <c r="H1147" s="134" t="inlineStr">
        <is>
          <t>زمستان</t>
        </is>
      </c>
      <c r="I1147" s="134" t="inlineStr">
        <is>
          <t>یکشنبه</t>
        </is>
      </c>
      <c r="J1147" s="134" t="inlineStr">
        <is>
          <t>خیر</t>
        </is>
      </c>
    </row>
    <row r="1148">
      <c r="A1148" s="173" t="n">
        <v>46069</v>
      </c>
      <c r="B1148" s="174" t="n">
        <v>46069</v>
      </c>
      <c r="C1148" s="174" t="n">
        <v>1404</v>
      </c>
      <c r="D1148" s="174" t="n">
        <v>11</v>
      </c>
      <c r="E1148" s="175" t="inlineStr">
        <is>
          <t>1404/11/27</t>
        </is>
      </c>
      <c r="F1148" s="128" t="inlineStr">
        <is>
          <t>1404/11</t>
        </is>
      </c>
      <c r="G1148" s="58" t="inlineStr">
        <is>
          <t>بهمن</t>
        </is>
      </c>
      <c r="H1148" s="128" t="inlineStr">
        <is>
          <t>زمستان</t>
        </is>
      </c>
      <c r="I1148" s="128" t="inlineStr">
        <is>
          <t>دوشنبه</t>
        </is>
      </c>
      <c r="J1148" s="128" t="inlineStr">
        <is>
          <t>بله</t>
        </is>
      </c>
    </row>
    <row r="1149">
      <c r="A1149" s="176" t="n">
        <v>46070</v>
      </c>
      <c r="B1149" s="177" t="n">
        <v>46070</v>
      </c>
      <c r="C1149" s="177" t="n">
        <v>1404</v>
      </c>
      <c r="D1149" s="177" t="n">
        <v>11</v>
      </c>
      <c r="E1149" s="178" t="inlineStr">
        <is>
          <t>1404/11/28</t>
        </is>
      </c>
      <c r="F1149" s="134" t="inlineStr">
        <is>
          <t>1404/11</t>
        </is>
      </c>
      <c r="G1149" s="61" t="inlineStr">
        <is>
          <t>بهمن</t>
        </is>
      </c>
      <c r="H1149" s="134" t="inlineStr">
        <is>
          <t>زمستان</t>
        </is>
      </c>
      <c r="I1149" s="134" t="inlineStr">
        <is>
          <t>سه‌شنبه</t>
        </is>
      </c>
      <c r="J1149" s="134" t="inlineStr">
        <is>
          <t>بله</t>
        </is>
      </c>
    </row>
    <row r="1150">
      <c r="A1150" s="173" t="n">
        <v>46071</v>
      </c>
      <c r="B1150" s="174" t="n">
        <v>46071</v>
      </c>
      <c r="C1150" s="174" t="n">
        <v>1404</v>
      </c>
      <c r="D1150" s="174" t="n">
        <v>11</v>
      </c>
      <c r="E1150" s="175" t="inlineStr">
        <is>
          <t>1404/11/29</t>
        </is>
      </c>
      <c r="F1150" s="128" t="inlineStr">
        <is>
          <t>1404/11</t>
        </is>
      </c>
      <c r="G1150" s="58" t="inlineStr">
        <is>
          <t>بهمن</t>
        </is>
      </c>
      <c r="H1150" s="128" t="inlineStr">
        <is>
          <t>زمستان</t>
        </is>
      </c>
      <c r="I1150" s="128" t="inlineStr">
        <is>
          <t>چهارشنبه</t>
        </is>
      </c>
      <c r="J1150" s="128" t="inlineStr">
        <is>
          <t>بله</t>
        </is>
      </c>
    </row>
    <row r="1151">
      <c r="A1151" s="176" t="n">
        <v>46072</v>
      </c>
      <c r="B1151" s="177" t="n">
        <v>46072</v>
      </c>
      <c r="C1151" s="177" t="n">
        <v>1404</v>
      </c>
      <c r="D1151" s="177" t="n">
        <v>11</v>
      </c>
      <c r="E1151" s="178" t="inlineStr">
        <is>
          <t>1404/11/30</t>
        </is>
      </c>
      <c r="F1151" s="134" t="inlineStr">
        <is>
          <t>1404/11</t>
        </is>
      </c>
      <c r="G1151" s="61" t="inlineStr">
        <is>
          <t>بهمن</t>
        </is>
      </c>
      <c r="H1151" s="134" t="inlineStr">
        <is>
          <t>زمستان</t>
        </is>
      </c>
      <c r="I1151" s="134" t="inlineStr">
        <is>
          <t>پنجشنبه</t>
        </is>
      </c>
      <c r="J1151" s="134" t="inlineStr">
        <is>
          <t>بله</t>
        </is>
      </c>
    </row>
    <row r="1152">
      <c r="A1152" s="173" t="n">
        <v>46073</v>
      </c>
      <c r="B1152" s="174" t="n">
        <v>46073</v>
      </c>
      <c r="C1152" s="174" t="n">
        <v>1404</v>
      </c>
      <c r="D1152" s="174" t="n">
        <v>12</v>
      </c>
      <c r="E1152" s="175" t="inlineStr">
        <is>
          <t>1404/12/01</t>
        </is>
      </c>
      <c r="F1152" s="128" t="inlineStr">
        <is>
          <t>1404/12</t>
        </is>
      </c>
      <c r="G1152" s="58" t="inlineStr">
        <is>
          <t>اسفند</t>
        </is>
      </c>
      <c r="H1152" s="128" t="inlineStr">
        <is>
          <t>زمستان</t>
        </is>
      </c>
      <c r="I1152" s="128" t="inlineStr">
        <is>
          <t>جمعه</t>
        </is>
      </c>
      <c r="J1152" s="128" t="inlineStr">
        <is>
          <t>بله</t>
        </is>
      </c>
    </row>
    <row r="1153">
      <c r="A1153" s="176" t="n">
        <v>46074</v>
      </c>
      <c r="B1153" s="177" t="n">
        <v>46074</v>
      </c>
      <c r="C1153" s="177" t="n">
        <v>1404</v>
      </c>
      <c r="D1153" s="177" t="n">
        <v>12</v>
      </c>
      <c r="E1153" s="178" t="inlineStr">
        <is>
          <t>1404/12/02</t>
        </is>
      </c>
      <c r="F1153" s="134" t="inlineStr">
        <is>
          <t>1404/12</t>
        </is>
      </c>
      <c r="G1153" s="61" t="inlineStr">
        <is>
          <t>اسفند</t>
        </is>
      </c>
      <c r="H1153" s="134" t="inlineStr">
        <is>
          <t>زمستان</t>
        </is>
      </c>
      <c r="I1153" s="134" t="inlineStr">
        <is>
          <t>شنبه</t>
        </is>
      </c>
      <c r="J1153" s="134" t="inlineStr">
        <is>
          <t>خیر</t>
        </is>
      </c>
    </row>
    <row r="1154">
      <c r="A1154" s="173" t="n">
        <v>46075</v>
      </c>
      <c r="B1154" s="174" t="n">
        <v>46075</v>
      </c>
      <c r="C1154" s="174" t="n">
        <v>1404</v>
      </c>
      <c r="D1154" s="174" t="n">
        <v>12</v>
      </c>
      <c r="E1154" s="175" t="inlineStr">
        <is>
          <t>1404/12/03</t>
        </is>
      </c>
      <c r="F1154" s="128" t="inlineStr">
        <is>
          <t>1404/12</t>
        </is>
      </c>
      <c r="G1154" s="58" t="inlineStr">
        <is>
          <t>اسفند</t>
        </is>
      </c>
      <c r="H1154" s="128" t="inlineStr">
        <is>
          <t>زمستان</t>
        </is>
      </c>
      <c r="I1154" s="128" t="inlineStr">
        <is>
          <t>یکشنبه</t>
        </is>
      </c>
      <c r="J1154" s="128" t="inlineStr">
        <is>
          <t>خیر</t>
        </is>
      </c>
    </row>
    <row r="1155">
      <c r="A1155" s="176" t="n">
        <v>46076</v>
      </c>
      <c r="B1155" s="177" t="n">
        <v>46076</v>
      </c>
      <c r="C1155" s="177" t="n">
        <v>1404</v>
      </c>
      <c r="D1155" s="177" t="n">
        <v>12</v>
      </c>
      <c r="E1155" s="178" t="inlineStr">
        <is>
          <t>1404/12/04</t>
        </is>
      </c>
      <c r="F1155" s="134" t="inlineStr">
        <is>
          <t>1404/12</t>
        </is>
      </c>
      <c r="G1155" s="61" t="inlineStr">
        <is>
          <t>اسفند</t>
        </is>
      </c>
      <c r="H1155" s="134" t="inlineStr">
        <is>
          <t>زمستان</t>
        </is>
      </c>
      <c r="I1155" s="134" t="inlineStr">
        <is>
          <t>دوشنبه</t>
        </is>
      </c>
      <c r="J1155" s="134" t="inlineStr">
        <is>
          <t>بله</t>
        </is>
      </c>
    </row>
    <row r="1156">
      <c r="A1156" s="173" t="n">
        <v>46077</v>
      </c>
      <c r="B1156" s="174" t="n">
        <v>46077</v>
      </c>
      <c r="C1156" s="174" t="n">
        <v>1404</v>
      </c>
      <c r="D1156" s="174" t="n">
        <v>12</v>
      </c>
      <c r="E1156" s="175" t="inlineStr">
        <is>
          <t>1404/12/05</t>
        </is>
      </c>
      <c r="F1156" s="128" t="inlineStr">
        <is>
          <t>1404/12</t>
        </is>
      </c>
      <c r="G1156" s="58" t="inlineStr">
        <is>
          <t>اسفند</t>
        </is>
      </c>
      <c r="H1156" s="128" t="inlineStr">
        <is>
          <t>زمستان</t>
        </is>
      </c>
      <c r="I1156" s="128" t="inlineStr">
        <is>
          <t>سه‌شنبه</t>
        </is>
      </c>
      <c r="J1156" s="128" t="inlineStr">
        <is>
          <t>بله</t>
        </is>
      </c>
    </row>
    <row r="1157">
      <c r="A1157" s="176" t="n">
        <v>46078</v>
      </c>
      <c r="B1157" s="177" t="n">
        <v>46078</v>
      </c>
      <c r="C1157" s="177" t="n">
        <v>1404</v>
      </c>
      <c r="D1157" s="177" t="n">
        <v>12</v>
      </c>
      <c r="E1157" s="178" t="inlineStr">
        <is>
          <t>1404/12/06</t>
        </is>
      </c>
      <c r="F1157" s="134" t="inlineStr">
        <is>
          <t>1404/12</t>
        </is>
      </c>
      <c r="G1157" s="61" t="inlineStr">
        <is>
          <t>اسفند</t>
        </is>
      </c>
      <c r="H1157" s="134" t="inlineStr">
        <is>
          <t>زمستان</t>
        </is>
      </c>
      <c r="I1157" s="134" t="inlineStr">
        <is>
          <t>چهارشنبه</t>
        </is>
      </c>
      <c r="J1157" s="134" t="inlineStr">
        <is>
          <t>بله</t>
        </is>
      </c>
    </row>
    <row r="1158">
      <c r="A1158" s="173" t="n">
        <v>46079</v>
      </c>
      <c r="B1158" s="174" t="n">
        <v>46079</v>
      </c>
      <c r="C1158" s="174" t="n">
        <v>1404</v>
      </c>
      <c r="D1158" s="174" t="n">
        <v>12</v>
      </c>
      <c r="E1158" s="175" t="inlineStr">
        <is>
          <t>1404/12/07</t>
        </is>
      </c>
      <c r="F1158" s="128" t="inlineStr">
        <is>
          <t>1404/12</t>
        </is>
      </c>
      <c r="G1158" s="58" t="inlineStr">
        <is>
          <t>اسفند</t>
        </is>
      </c>
      <c r="H1158" s="128" t="inlineStr">
        <is>
          <t>زمستان</t>
        </is>
      </c>
      <c r="I1158" s="128" t="inlineStr">
        <is>
          <t>پنجشنبه</t>
        </is>
      </c>
      <c r="J1158" s="128" t="inlineStr">
        <is>
          <t>بله</t>
        </is>
      </c>
    </row>
    <row r="1159">
      <c r="A1159" s="176" t="n">
        <v>46080</v>
      </c>
      <c r="B1159" s="177" t="n">
        <v>46080</v>
      </c>
      <c r="C1159" s="177" t="n">
        <v>1404</v>
      </c>
      <c r="D1159" s="177" t="n">
        <v>12</v>
      </c>
      <c r="E1159" s="178" t="inlineStr">
        <is>
          <t>1404/12/08</t>
        </is>
      </c>
      <c r="F1159" s="134" t="inlineStr">
        <is>
          <t>1404/12</t>
        </is>
      </c>
      <c r="G1159" s="61" t="inlineStr">
        <is>
          <t>اسفند</t>
        </is>
      </c>
      <c r="H1159" s="134" t="inlineStr">
        <is>
          <t>زمستان</t>
        </is>
      </c>
      <c r="I1159" s="134" t="inlineStr">
        <is>
          <t>جمعه</t>
        </is>
      </c>
      <c r="J1159" s="134" t="inlineStr">
        <is>
          <t>بله</t>
        </is>
      </c>
    </row>
    <row r="1160">
      <c r="A1160" s="173" t="n">
        <v>46081</v>
      </c>
      <c r="B1160" s="174" t="n">
        <v>46081</v>
      </c>
      <c r="C1160" s="174" t="n">
        <v>1404</v>
      </c>
      <c r="D1160" s="174" t="n">
        <v>12</v>
      </c>
      <c r="E1160" s="175" t="inlineStr">
        <is>
          <t>1404/12/09</t>
        </is>
      </c>
      <c r="F1160" s="128" t="inlineStr">
        <is>
          <t>1404/12</t>
        </is>
      </c>
      <c r="G1160" s="58" t="inlineStr">
        <is>
          <t>اسفند</t>
        </is>
      </c>
      <c r="H1160" s="128" t="inlineStr">
        <is>
          <t>زمستان</t>
        </is>
      </c>
      <c r="I1160" s="128" t="inlineStr">
        <is>
          <t>شنبه</t>
        </is>
      </c>
      <c r="J1160" s="128" t="inlineStr">
        <is>
          <t>خیر</t>
        </is>
      </c>
    </row>
    <row r="1161">
      <c r="A1161" s="176" t="n">
        <v>46082</v>
      </c>
      <c r="B1161" s="177" t="n">
        <v>46082</v>
      </c>
      <c r="C1161" s="177" t="n">
        <v>1404</v>
      </c>
      <c r="D1161" s="177" t="n">
        <v>12</v>
      </c>
      <c r="E1161" s="178" t="inlineStr">
        <is>
          <t>1404/12/10</t>
        </is>
      </c>
      <c r="F1161" s="134" t="inlineStr">
        <is>
          <t>1404/12</t>
        </is>
      </c>
      <c r="G1161" s="61" t="inlineStr">
        <is>
          <t>اسفند</t>
        </is>
      </c>
      <c r="H1161" s="134" t="inlineStr">
        <is>
          <t>زمستان</t>
        </is>
      </c>
      <c r="I1161" s="134" t="inlineStr">
        <is>
          <t>یکشنبه</t>
        </is>
      </c>
      <c r="J1161" s="134" t="inlineStr">
        <is>
          <t>خیر</t>
        </is>
      </c>
    </row>
    <row r="1162">
      <c r="A1162" s="173" t="n">
        <v>46083</v>
      </c>
      <c r="B1162" s="174" t="n">
        <v>46083</v>
      </c>
      <c r="C1162" s="174" t="n">
        <v>1404</v>
      </c>
      <c r="D1162" s="174" t="n">
        <v>12</v>
      </c>
      <c r="E1162" s="175" t="inlineStr">
        <is>
          <t>1404/12/11</t>
        </is>
      </c>
      <c r="F1162" s="128" t="inlineStr">
        <is>
          <t>1404/12</t>
        </is>
      </c>
      <c r="G1162" s="58" t="inlineStr">
        <is>
          <t>اسفند</t>
        </is>
      </c>
      <c r="H1162" s="128" t="inlineStr">
        <is>
          <t>زمستان</t>
        </is>
      </c>
      <c r="I1162" s="128" t="inlineStr">
        <is>
          <t>دوشنبه</t>
        </is>
      </c>
      <c r="J1162" s="128" t="inlineStr">
        <is>
          <t>بله</t>
        </is>
      </c>
    </row>
    <row r="1163">
      <c r="A1163" s="176" t="n">
        <v>46084</v>
      </c>
      <c r="B1163" s="177" t="n">
        <v>46084</v>
      </c>
      <c r="C1163" s="177" t="n">
        <v>1404</v>
      </c>
      <c r="D1163" s="177" t="n">
        <v>12</v>
      </c>
      <c r="E1163" s="178" t="inlineStr">
        <is>
          <t>1404/12/12</t>
        </is>
      </c>
      <c r="F1163" s="134" t="inlineStr">
        <is>
          <t>1404/12</t>
        </is>
      </c>
      <c r="G1163" s="61" t="inlineStr">
        <is>
          <t>اسفند</t>
        </is>
      </c>
      <c r="H1163" s="134" t="inlineStr">
        <is>
          <t>زمستان</t>
        </is>
      </c>
      <c r="I1163" s="134" t="inlineStr">
        <is>
          <t>سه‌شنبه</t>
        </is>
      </c>
      <c r="J1163" s="134" t="inlineStr">
        <is>
          <t>بله</t>
        </is>
      </c>
    </row>
    <row r="1164">
      <c r="A1164" s="173" t="n">
        <v>46085</v>
      </c>
      <c r="B1164" s="174" t="n">
        <v>46085</v>
      </c>
      <c r="C1164" s="174" t="n">
        <v>1404</v>
      </c>
      <c r="D1164" s="174" t="n">
        <v>12</v>
      </c>
      <c r="E1164" s="175" t="inlineStr">
        <is>
          <t>1404/12/13</t>
        </is>
      </c>
      <c r="F1164" s="128" t="inlineStr">
        <is>
          <t>1404/12</t>
        </is>
      </c>
      <c r="G1164" s="58" t="inlineStr">
        <is>
          <t>اسفند</t>
        </is>
      </c>
      <c r="H1164" s="128" t="inlineStr">
        <is>
          <t>زمستان</t>
        </is>
      </c>
      <c r="I1164" s="128" t="inlineStr">
        <is>
          <t>چهارشنبه</t>
        </is>
      </c>
      <c r="J1164" s="128" t="inlineStr">
        <is>
          <t>بله</t>
        </is>
      </c>
    </row>
    <row r="1165">
      <c r="A1165" s="176" t="n">
        <v>46086</v>
      </c>
      <c r="B1165" s="177" t="n">
        <v>46086</v>
      </c>
      <c r="C1165" s="177" t="n">
        <v>1404</v>
      </c>
      <c r="D1165" s="177" t="n">
        <v>12</v>
      </c>
      <c r="E1165" s="178" t="inlineStr">
        <is>
          <t>1404/12/14</t>
        </is>
      </c>
      <c r="F1165" s="134" t="inlineStr">
        <is>
          <t>1404/12</t>
        </is>
      </c>
      <c r="G1165" s="61" t="inlineStr">
        <is>
          <t>اسفند</t>
        </is>
      </c>
      <c r="H1165" s="134" t="inlineStr">
        <is>
          <t>زمستان</t>
        </is>
      </c>
      <c r="I1165" s="134" t="inlineStr">
        <is>
          <t>پنجشنبه</t>
        </is>
      </c>
      <c r="J1165" s="134" t="inlineStr">
        <is>
          <t>بله</t>
        </is>
      </c>
    </row>
    <row r="1166">
      <c r="A1166" s="173" t="n">
        <v>46087</v>
      </c>
      <c r="B1166" s="174" t="n">
        <v>46087</v>
      </c>
      <c r="C1166" s="174" t="n">
        <v>1404</v>
      </c>
      <c r="D1166" s="174" t="n">
        <v>12</v>
      </c>
      <c r="E1166" s="175" t="inlineStr">
        <is>
          <t>1404/12/15</t>
        </is>
      </c>
      <c r="F1166" s="128" t="inlineStr">
        <is>
          <t>1404/12</t>
        </is>
      </c>
      <c r="G1166" s="58" t="inlineStr">
        <is>
          <t>اسفند</t>
        </is>
      </c>
      <c r="H1166" s="128" t="inlineStr">
        <is>
          <t>زمستان</t>
        </is>
      </c>
      <c r="I1166" s="128" t="inlineStr">
        <is>
          <t>جمعه</t>
        </is>
      </c>
      <c r="J1166" s="128" t="inlineStr">
        <is>
          <t>بله</t>
        </is>
      </c>
    </row>
    <row r="1167">
      <c r="A1167" s="176" t="n">
        <v>46088</v>
      </c>
      <c r="B1167" s="177" t="n">
        <v>46088</v>
      </c>
      <c r="C1167" s="177" t="n">
        <v>1404</v>
      </c>
      <c r="D1167" s="177" t="n">
        <v>12</v>
      </c>
      <c r="E1167" s="178" t="inlineStr">
        <is>
          <t>1404/12/16</t>
        </is>
      </c>
      <c r="F1167" s="134" t="inlineStr">
        <is>
          <t>1404/12</t>
        </is>
      </c>
      <c r="G1167" s="61" t="inlineStr">
        <is>
          <t>اسفند</t>
        </is>
      </c>
      <c r="H1167" s="134" t="inlineStr">
        <is>
          <t>زمستان</t>
        </is>
      </c>
      <c r="I1167" s="134" t="inlineStr">
        <is>
          <t>شنبه</t>
        </is>
      </c>
      <c r="J1167" s="134" t="inlineStr">
        <is>
          <t>خیر</t>
        </is>
      </c>
    </row>
    <row r="1168">
      <c r="A1168" s="173" t="n">
        <v>46089</v>
      </c>
      <c r="B1168" s="174" t="n">
        <v>46089</v>
      </c>
      <c r="C1168" s="174" t="n">
        <v>1404</v>
      </c>
      <c r="D1168" s="174" t="n">
        <v>12</v>
      </c>
      <c r="E1168" s="175" t="inlineStr">
        <is>
          <t>1404/12/17</t>
        </is>
      </c>
      <c r="F1168" s="128" t="inlineStr">
        <is>
          <t>1404/12</t>
        </is>
      </c>
      <c r="G1168" s="58" t="inlineStr">
        <is>
          <t>اسفند</t>
        </is>
      </c>
      <c r="H1168" s="128" t="inlineStr">
        <is>
          <t>زمستان</t>
        </is>
      </c>
      <c r="I1168" s="128" t="inlineStr">
        <is>
          <t>یکشنبه</t>
        </is>
      </c>
      <c r="J1168" s="128" t="inlineStr">
        <is>
          <t>خیر</t>
        </is>
      </c>
    </row>
    <row r="1169">
      <c r="A1169" s="176" t="n">
        <v>46090</v>
      </c>
      <c r="B1169" s="177" t="n">
        <v>46090</v>
      </c>
      <c r="C1169" s="177" t="n">
        <v>1404</v>
      </c>
      <c r="D1169" s="177" t="n">
        <v>12</v>
      </c>
      <c r="E1169" s="178" t="inlineStr">
        <is>
          <t>1404/12/18</t>
        </is>
      </c>
      <c r="F1169" s="134" t="inlineStr">
        <is>
          <t>1404/12</t>
        </is>
      </c>
      <c r="G1169" s="61" t="inlineStr">
        <is>
          <t>اسفند</t>
        </is>
      </c>
      <c r="H1169" s="134" t="inlineStr">
        <is>
          <t>زمستان</t>
        </is>
      </c>
      <c r="I1169" s="134" t="inlineStr">
        <is>
          <t>دوشنبه</t>
        </is>
      </c>
      <c r="J1169" s="134" t="inlineStr">
        <is>
          <t>بله</t>
        </is>
      </c>
    </row>
    <row r="1170">
      <c r="A1170" s="173" t="n">
        <v>46091</v>
      </c>
      <c r="B1170" s="174" t="n">
        <v>46091</v>
      </c>
      <c r="C1170" s="174" t="n">
        <v>1404</v>
      </c>
      <c r="D1170" s="174" t="n">
        <v>12</v>
      </c>
      <c r="E1170" s="175" t="inlineStr">
        <is>
          <t>1404/12/19</t>
        </is>
      </c>
      <c r="F1170" s="128" t="inlineStr">
        <is>
          <t>1404/12</t>
        </is>
      </c>
      <c r="G1170" s="58" t="inlineStr">
        <is>
          <t>اسفند</t>
        </is>
      </c>
      <c r="H1170" s="128" t="inlineStr">
        <is>
          <t>زمستان</t>
        </is>
      </c>
      <c r="I1170" s="128" t="inlineStr">
        <is>
          <t>سه‌شنبه</t>
        </is>
      </c>
      <c r="J1170" s="128" t="inlineStr">
        <is>
          <t>بله</t>
        </is>
      </c>
    </row>
    <row r="1171">
      <c r="A1171" s="176" t="n">
        <v>46092</v>
      </c>
      <c r="B1171" s="177" t="n">
        <v>46092</v>
      </c>
      <c r="C1171" s="177" t="n">
        <v>1404</v>
      </c>
      <c r="D1171" s="177" t="n">
        <v>12</v>
      </c>
      <c r="E1171" s="178" t="inlineStr">
        <is>
          <t>1404/12/20</t>
        </is>
      </c>
      <c r="F1171" s="134" t="inlineStr">
        <is>
          <t>1404/12</t>
        </is>
      </c>
      <c r="G1171" s="61" t="inlineStr">
        <is>
          <t>اسفند</t>
        </is>
      </c>
      <c r="H1171" s="134" t="inlineStr">
        <is>
          <t>زمستان</t>
        </is>
      </c>
      <c r="I1171" s="134" t="inlineStr">
        <is>
          <t>چهارشنبه</t>
        </is>
      </c>
      <c r="J1171" s="134" t="inlineStr">
        <is>
          <t>بله</t>
        </is>
      </c>
    </row>
    <row r="1172">
      <c r="A1172" s="173" t="n">
        <v>46093</v>
      </c>
      <c r="B1172" s="174" t="n">
        <v>46093</v>
      </c>
      <c r="C1172" s="174" t="n">
        <v>1404</v>
      </c>
      <c r="D1172" s="174" t="n">
        <v>12</v>
      </c>
      <c r="E1172" s="175" t="inlineStr">
        <is>
          <t>1404/12/21</t>
        </is>
      </c>
      <c r="F1172" s="128" t="inlineStr">
        <is>
          <t>1404/12</t>
        </is>
      </c>
      <c r="G1172" s="58" t="inlineStr">
        <is>
          <t>اسفند</t>
        </is>
      </c>
      <c r="H1172" s="128" t="inlineStr">
        <is>
          <t>زمستان</t>
        </is>
      </c>
      <c r="I1172" s="128" t="inlineStr">
        <is>
          <t>پنجشنبه</t>
        </is>
      </c>
      <c r="J1172" s="128" t="inlineStr">
        <is>
          <t>بله</t>
        </is>
      </c>
    </row>
    <row r="1173">
      <c r="A1173" s="176" t="n">
        <v>46094</v>
      </c>
      <c r="B1173" s="177" t="n">
        <v>46094</v>
      </c>
      <c r="C1173" s="177" t="n">
        <v>1404</v>
      </c>
      <c r="D1173" s="177" t="n">
        <v>12</v>
      </c>
      <c r="E1173" s="178" t="inlineStr">
        <is>
          <t>1404/12/22</t>
        </is>
      </c>
      <c r="F1173" s="134" t="inlineStr">
        <is>
          <t>1404/12</t>
        </is>
      </c>
      <c r="G1173" s="61" t="inlineStr">
        <is>
          <t>اسفند</t>
        </is>
      </c>
      <c r="H1173" s="134" t="inlineStr">
        <is>
          <t>زمستان</t>
        </is>
      </c>
      <c r="I1173" s="134" t="inlineStr">
        <is>
          <t>جمعه</t>
        </is>
      </c>
      <c r="J1173" s="134" t="inlineStr">
        <is>
          <t>بله</t>
        </is>
      </c>
    </row>
    <row r="1174">
      <c r="A1174" s="173" t="n">
        <v>46095</v>
      </c>
      <c r="B1174" s="174" t="n">
        <v>46095</v>
      </c>
      <c r="C1174" s="174" t="n">
        <v>1404</v>
      </c>
      <c r="D1174" s="174" t="n">
        <v>12</v>
      </c>
      <c r="E1174" s="175" t="inlineStr">
        <is>
          <t>1404/12/23</t>
        </is>
      </c>
      <c r="F1174" s="128" t="inlineStr">
        <is>
          <t>1404/12</t>
        </is>
      </c>
      <c r="G1174" s="58" t="inlineStr">
        <is>
          <t>اسفند</t>
        </is>
      </c>
      <c r="H1174" s="128" t="inlineStr">
        <is>
          <t>زمستان</t>
        </is>
      </c>
      <c r="I1174" s="128" t="inlineStr">
        <is>
          <t>شنبه</t>
        </is>
      </c>
      <c r="J1174" s="128" t="inlineStr">
        <is>
          <t>خیر</t>
        </is>
      </c>
    </row>
    <row r="1175">
      <c r="A1175" s="176" t="n">
        <v>46096</v>
      </c>
      <c r="B1175" s="177" t="n">
        <v>46096</v>
      </c>
      <c r="C1175" s="177" t="n">
        <v>1404</v>
      </c>
      <c r="D1175" s="177" t="n">
        <v>12</v>
      </c>
      <c r="E1175" s="178" t="inlineStr">
        <is>
          <t>1404/12/24</t>
        </is>
      </c>
      <c r="F1175" s="134" t="inlineStr">
        <is>
          <t>1404/12</t>
        </is>
      </c>
      <c r="G1175" s="61" t="inlineStr">
        <is>
          <t>اسفند</t>
        </is>
      </c>
      <c r="H1175" s="134" t="inlineStr">
        <is>
          <t>زمستان</t>
        </is>
      </c>
      <c r="I1175" s="134" t="inlineStr">
        <is>
          <t>یکشنبه</t>
        </is>
      </c>
      <c r="J1175" s="134" t="inlineStr">
        <is>
          <t>خیر</t>
        </is>
      </c>
    </row>
    <row r="1176">
      <c r="A1176" s="173" t="n">
        <v>46097</v>
      </c>
      <c r="B1176" s="174" t="n">
        <v>46097</v>
      </c>
      <c r="C1176" s="174" t="n">
        <v>1404</v>
      </c>
      <c r="D1176" s="174" t="n">
        <v>12</v>
      </c>
      <c r="E1176" s="175" t="inlineStr">
        <is>
          <t>1404/12/25</t>
        </is>
      </c>
      <c r="F1176" s="128" t="inlineStr">
        <is>
          <t>1404/12</t>
        </is>
      </c>
      <c r="G1176" s="58" t="inlineStr">
        <is>
          <t>اسفند</t>
        </is>
      </c>
      <c r="H1176" s="128" t="inlineStr">
        <is>
          <t>زمستان</t>
        </is>
      </c>
      <c r="I1176" s="128" t="inlineStr">
        <is>
          <t>دوشنبه</t>
        </is>
      </c>
      <c r="J1176" s="128" t="inlineStr">
        <is>
          <t>بله</t>
        </is>
      </c>
    </row>
    <row r="1177">
      <c r="A1177" s="176" t="n">
        <v>46098</v>
      </c>
      <c r="B1177" s="177" t="n">
        <v>46098</v>
      </c>
      <c r="C1177" s="177" t="n">
        <v>1404</v>
      </c>
      <c r="D1177" s="177" t="n">
        <v>12</v>
      </c>
      <c r="E1177" s="178" t="inlineStr">
        <is>
          <t>1404/12/26</t>
        </is>
      </c>
      <c r="F1177" s="134" t="inlineStr">
        <is>
          <t>1404/12</t>
        </is>
      </c>
      <c r="G1177" s="61" t="inlineStr">
        <is>
          <t>اسفند</t>
        </is>
      </c>
      <c r="H1177" s="134" t="inlineStr">
        <is>
          <t>زمستان</t>
        </is>
      </c>
      <c r="I1177" s="134" t="inlineStr">
        <is>
          <t>سه‌شنبه</t>
        </is>
      </c>
      <c r="J1177" s="134" t="inlineStr">
        <is>
          <t>بله</t>
        </is>
      </c>
    </row>
    <row r="1178">
      <c r="A1178" s="173" t="n">
        <v>46099</v>
      </c>
      <c r="B1178" s="174" t="n">
        <v>46099</v>
      </c>
      <c r="C1178" s="174" t="n">
        <v>1404</v>
      </c>
      <c r="D1178" s="174" t="n">
        <v>12</v>
      </c>
      <c r="E1178" s="175" t="inlineStr">
        <is>
          <t>1404/12/27</t>
        </is>
      </c>
      <c r="F1178" s="128" t="inlineStr">
        <is>
          <t>1404/12</t>
        </is>
      </c>
      <c r="G1178" s="58" t="inlineStr">
        <is>
          <t>اسفند</t>
        </is>
      </c>
      <c r="H1178" s="128" t="inlineStr">
        <is>
          <t>زمستان</t>
        </is>
      </c>
      <c r="I1178" s="128" t="inlineStr">
        <is>
          <t>چهارشنبه</t>
        </is>
      </c>
      <c r="J1178" s="128" t="inlineStr">
        <is>
          <t>بله</t>
        </is>
      </c>
    </row>
    <row r="1179">
      <c r="A1179" s="176" t="n">
        <v>46100</v>
      </c>
      <c r="B1179" s="177" t="n">
        <v>46100</v>
      </c>
      <c r="C1179" s="177" t="n">
        <v>1404</v>
      </c>
      <c r="D1179" s="177" t="n">
        <v>12</v>
      </c>
      <c r="E1179" s="178" t="inlineStr">
        <is>
          <t>1404/12/28</t>
        </is>
      </c>
      <c r="F1179" s="134" t="inlineStr">
        <is>
          <t>1404/12</t>
        </is>
      </c>
      <c r="G1179" s="61" t="inlineStr">
        <is>
          <t>اسفند</t>
        </is>
      </c>
      <c r="H1179" s="134" t="inlineStr">
        <is>
          <t>زمستان</t>
        </is>
      </c>
      <c r="I1179" s="134" t="inlineStr">
        <is>
          <t>پنجشنبه</t>
        </is>
      </c>
      <c r="J1179" s="134" t="inlineStr">
        <is>
          <t>بله</t>
        </is>
      </c>
    </row>
    <row r="1180">
      <c r="A1180" s="173" t="n">
        <v>46101</v>
      </c>
      <c r="B1180" s="174" t="n">
        <v>46101</v>
      </c>
      <c r="C1180" s="174" t="n">
        <v>1404</v>
      </c>
      <c r="D1180" s="174" t="n">
        <v>12</v>
      </c>
      <c r="E1180" s="175" t="inlineStr">
        <is>
          <t>1404/12/29</t>
        </is>
      </c>
      <c r="F1180" s="128" t="inlineStr">
        <is>
          <t>1404/12</t>
        </is>
      </c>
      <c r="G1180" s="58" t="inlineStr">
        <is>
          <t>اسفند</t>
        </is>
      </c>
      <c r="H1180" s="128" t="inlineStr">
        <is>
          <t>زمستان</t>
        </is>
      </c>
      <c r="I1180" s="128" t="inlineStr">
        <is>
          <t>جمعه</t>
        </is>
      </c>
      <c r="J1180" s="128" t="inlineStr">
        <is>
          <t>بله</t>
        </is>
      </c>
    </row>
    <row r="1181">
      <c r="A1181" s="176" t="n">
        <v>46102</v>
      </c>
      <c r="B1181" s="177" t="n">
        <v>46102</v>
      </c>
      <c r="C1181" s="177" t="n">
        <v>1405</v>
      </c>
      <c r="D1181" s="177" t="n">
        <v>1</v>
      </c>
      <c r="E1181" s="178" t="inlineStr">
        <is>
          <t>1405/01/01</t>
        </is>
      </c>
      <c r="F1181" s="134" t="inlineStr">
        <is>
          <t>1405/01</t>
        </is>
      </c>
      <c r="G1181" s="61" t="inlineStr">
        <is>
          <t>فروردین</t>
        </is>
      </c>
      <c r="H1181" s="134" t="inlineStr">
        <is>
          <t>بهار</t>
        </is>
      </c>
      <c r="I1181" s="134" t="inlineStr">
        <is>
          <t>شنبه</t>
        </is>
      </c>
      <c r="J1181" s="134" t="inlineStr">
        <is>
          <t>خیر</t>
        </is>
      </c>
    </row>
    <row r="1182">
      <c r="A1182" s="173" t="n">
        <v>46103</v>
      </c>
      <c r="B1182" s="174" t="n">
        <v>46103</v>
      </c>
      <c r="C1182" s="174" t="n">
        <v>1405</v>
      </c>
      <c r="D1182" s="174" t="n">
        <v>1</v>
      </c>
      <c r="E1182" s="175" t="inlineStr">
        <is>
          <t>1405/01/02</t>
        </is>
      </c>
      <c r="F1182" s="128" t="inlineStr">
        <is>
          <t>1405/01</t>
        </is>
      </c>
      <c r="G1182" s="58" t="inlineStr">
        <is>
          <t>فروردین</t>
        </is>
      </c>
      <c r="H1182" s="128" t="inlineStr">
        <is>
          <t>بهار</t>
        </is>
      </c>
      <c r="I1182" s="128" t="inlineStr">
        <is>
          <t>یکشنبه</t>
        </is>
      </c>
      <c r="J1182" s="128" t="inlineStr">
        <is>
          <t>خیر</t>
        </is>
      </c>
    </row>
    <row r="1183">
      <c r="A1183" s="176" t="n">
        <v>46104</v>
      </c>
      <c r="B1183" s="177" t="n">
        <v>46104</v>
      </c>
      <c r="C1183" s="177" t="n">
        <v>1405</v>
      </c>
      <c r="D1183" s="177" t="n">
        <v>1</v>
      </c>
      <c r="E1183" s="178" t="inlineStr">
        <is>
          <t>1405/01/03</t>
        </is>
      </c>
      <c r="F1183" s="134" t="inlineStr">
        <is>
          <t>1405/01</t>
        </is>
      </c>
      <c r="G1183" s="61" t="inlineStr">
        <is>
          <t>فروردین</t>
        </is>
      </c>
      <c r="H1183" s="134" t="inlineStr">
        <is>
          <t>بهار</t>
        </is>
      </c>
      <c r="I1183" s="134" t="inlineStr">
        <is>
          <t>دوشنبه</t>
        </is>
      </c>
      <c r="J1183" s="134" t="inlineStr">
        <is>
          <t>بله</t>
        </is>
      </c>
    </row>
    <row r="1184">
      <c r="A1184" s="173" t="n">
        <v>46105</v>
      </c>
      <c r="B1184" s="174" t="n">
        <v>46105</v>
      </c>
      <c r="C1184" s="174" t="n">
        <v>1405</v>
      </c>
      <c r="D1184" s="174" t="n">
        <v>1</v>
      </c>
      <c r="E1184" s="175" t="inlineStr">
        <is>
          <t>1405/01/04</t>
        </is>
      </c>
      <c r="F1184" s="128" t="inlineStr">
        <is>
          <t>1405/01</t>
        </is>
      </c>
      <c r="G1184" s="58" t="inlineStr">
        <is>
          <t>فروردین</t>
        </is>
      </c>
      <c r="H1184" s="128" t="inlineStr">
        <is>
          <t>بهار</t>
        </is>
      </c>
      <c r="I1184" s="128" t="inlineStr">
        <is>
          <t>سه‌شنبه</t>
        </is>
      </c>
      <c r="J1184" s="128" t="inlineStr">
        <is>
          <t>بله</t>
        </is>
      </c>
    </row>
    <row r="1185">
      <c r="A1185" s="176" t="n">
        <v>46106</v>
      </c>
      <c r="B1185" s="177" t="n">
        <v>46106</v>
      </c>
      <c r="C1185" s="177" t="n">
        <v>1405</v>
      </c>
      <c r="D1185" s="177" t="n">
        <v>1</v>
      </c>
      <c r="E1185" s="178" t="inlineStr">
        <is>
          <t>1405/01/05</t>
        </is>
      </c>
      <c r="F1185" s="134" t="inlineStr">
        <is>
          <t>1405/01</t>
        </is>
      </c>
      <c r="G1185" s="61" t="inlineStr">
        <is>
          <t>فروردین</t>
        </is>
      </c>
      <c r="H1185" s="134" t="inlineStr">
        <is>
          <t>بهار</t>
        </is>
      </c>
      <c r="I1185" s="134" t="inlineStr">
        <is>
          <t>چهارشنبه</t>
        </is>
      </c>
      <c r="J1185" s="134" t="inlineStr">
        <is>
          <t>بله</t>
        </is>
      </c>
    </row>
    <row r="1186">
      <c r="A1186" s="173" t="n">
        <v>46107</v>
      </c>
      <c r="B1186" s="174" t="n">
        <v>46107</v>
      </c>
      <c r="C1186" s="174" t="n">
        <v>1405</v>
      </c>
      <c r="D1186" s="174" t="n">
        <v>1</v>
      </c>
      <c r="E1186" s="175" t="inlineStr">
        <is>
          <t>1405/01/06</t>
        </is>
      </c>
      <c r="F1186" s="128" t="inlineStr">
        <is>
          <t>1405/01</t>
        </is>
      </c>
      <c r="G1186" s="58" t="inlineStr">
        <is>
          <t>فروردین</t>
        </is>
      </c>
      <c r="H1186" s="128" t="inlineStr">
        <is>
          <t>بهار</t>
        </is>
      </c>
      <c r="I1186" s="128" t="inlineStr">
        <is>
          <t>پنجشنبه</t>
        </is>
      </c>
      <c r="J1186" s="128" t="inlineStr">
        <is>
          <t>بله</t>
        </is>
      </c>
    </row>
    <row r="1187">
      <c r="A1187" s="176" t="n">
        <v>46108</v>
      </c>
      <c r="B1187" s="177" t="n">
        <v>46108</v>
      </c>
      <c r="C1187" s="177" t="n">
        <v>1405</v>
      </c>
      <c r="D1187" s="177" t="n">
        <v>1</v>
      </c>
      <c r="E1187" s="178" t="inlineStr">
        <is>
          <t>1405/01/07</t>
        </is>
      </c>
      <c r="F1187" s="134" t="inlineStr">
        <is>
          <t>1405/01</t>
        </is>
      </c>
      <c r="G1187" s="61" t="inlineStr">
        <is>
          <t>فروردین</t>
        </is>
      </c>
      <c r="H1187" s="134" t="inlineStr">
        <is>
          <t>بهار</t>
        </is>
      </c>
      <c r="I1187" s="134" t="inlineStr">
        <is>
          <t>جمعه</t>
        </is>
      </c>
      <c r="J1187" s="134" t="inlineStr">
        <is>
          <t>بله</t>
        </is>
      </c>
    </row>
    <row r="1188">
      <c r="A1188" s="173" t="n">
        <v>46109</v>
      </c>
      <c r="B1188" s="174" t="n">
        <v>46109</v>
      </c>
      <c r="C1188" s="174" t="n">
        <v>1405</v>
      </c>
      <c r="D1188" s="174" t="n">
        <v>1</v>
      </c>
      <c r="E1188" s="175" t="inlineStr">
        <is>
          <t>1405/01/08</t>
        </is>
      </c>
      <c r="F1188" s="128" t="inlineStr">
        <is>
          <t>1405/01</t>
        </is>
      </c>
      <c r="G1188" s="58" t="inlineStr">
        <is>
          <t>فروردین</t>
        </is>
      </c>
      <c r="H1188" s="128" t="inlineStr">
        <is>
          <t>بهار</t>
        </is>
      </c>
      <c r="I1188" s="128" t="inlineStr">
        <is>
          <t>شنبه</t>
        </is>
      </c>
      <c r="J1188" s="128" t="inlineStr">
        <is>
          <t>خیر</t>
        </is>
      </c>
    </row>
    <row r="1189">
      <c r="A1189" s="176" t="n">
        <v>46110</v>
      </c>
      <c r="B1189" s="177" t="n">
        <v>46110</v>
      </c>
      <c r="C1189" s="177" t="n">
        <v>1405</v>
      </c>
      <c r="D1189" s="177" t="n">
        <v>1</v>
      </c>
      <c r="E1189" s="178" t="inlineStr">
        <is>
          <t>1405/01/09</t>
        </is>
      </c>
      <c r="F1189" s="134" t="inlineStr">
        <is>
          <t>1405/01</t>
        </is>
      </c>
      <c r="G1189" s="61" t="inlineStr">
        <is>
          <t>فروردین</t>
        </is>
      </c>
      <c r="H1189" s="134" t="inlineStr">
        <is>
          <t>بهار</t>
        </is>
      </c>
      <c r="I1189" s="134" t="inlineStr">
        <is>
          <t>یکشنبه</t>
        </is>
      </c>
      <c r="J1189" s="134" t="inlineStr">
        <is>
          <t>خیر</t>
        </is>
      </c>
    </row>
    <row r="1190">
      <c r="A1190" s="173" t="n">
        <v>46111</v>
      </c>
      <c r="B1190" s="174" t="n">
        <v>46111</v>
      </c>
      <c r="C1190" s="174" t="n">
        <v>1405</v>
      </c>
      <c r="D1190" s="174" t="n">
        <v>1</v>
      </c>
      <c r="E1190" s="175" t="inlineStr">
        <is>
          <t>1405/01/10</t>
        </is>
      </c>
      <c r="F1190" s="128" t="inlineStr">
        <is>
          <t>1405/01</t>
        </is>
      </c>
      <c r="G1190" s="58" t="inlineStr">
        <is>
          <t>فروردین</t>
        </is>
      </c>
      <c r="H1190" s="128" t="inlineStr">
        <is>
          <t>بهار</t>
        </is>
      </c>
      <c r="I1190" s="128" t="inlineStr">
        <is>
          <t>دوشنبه</t>
        </is>
      </c>
      <c r="J1190" s="128" t="inlineStr">
        <is>
          <t>بله</t>
        </is>
      </c>
    </row>
    <row r="1191">
      <c r="A1191" s="176" t="n">
        <v>46112</v>
      </c>
      <c r="B1191" s="177" t="n">
        <v>46112</v>
      </c>
      <c r="C1191" s="177" t="n">
        <v>1405</v>
      </c>
      <c r="D1191" s="177" t="n">
        <v>1</v>
      </c>
      <c r="E1191" s="178" t="inlineStr">
        <is>
          <t>1405/01/11</t>
        </is>
      </c>
      <c r="F1191" s="134" t="inlineStr">
        <is>
          <t>1405/01</t>
        </is>
      </c>
      <c r="G1191" s="61" t="inlineStr">
        <is>
          <t>فروردین</t>
        </is>
      </c>
      <c r="H1191" s="134" t="inlineStr">
        <is>
          <t>بهار</t>
        </is>
      </c>
      <c r="I1191" s="134" t="inlineStr">
        <is>
          <t>سه‌شنبه</t>
        </is>
      </c>
      <c r="J1191" s="134" t="inlineStr">
        <is>
          <t>بله</t>
        </is>
      </c>
    </row>
    <row r="1192">
      <c r="A1192" s="173" t="n">
        <v>46113</v>
      </c>
      <c r="B1192" s="174" t="n">
        <v>46113</v>
      </c>
      <c r="C1192" s="174" t="n">
        <v>1405</v>
      </c>
      <c r="D1192" s="174" t="n">
        <v>1</v>
      </c>
      <c r="E1192" s="175" t="inlineStr">
        <is>
          <t>1405/01/12</t>
        </is>
      </c>
      <c r="F1192" s="128" t="inlineStr">
        <is>
          <t>1405/01</t>
        </is>
      </c>
      <c r="G1192" s="58" t="inlineStr">
        <is>
          <t>فروردین</t>
        </is>
      </c>
      <c r="H1192" s="128" t="inlineStr">
        <is>
          <t>بهار</t>
        </is>
      </c>
      <c r="I1192" s="128" t="inlineStr">
        <is>
          <t>چهارشنبه</t>
        </is>
      </c>
      <c r="J1192" s="128" t="inlineStr">
        <is>
          <t>بله</t>
        </is>
      </c>
    </row>
    <row r="1193">
      <c r="A1193" s="176" t="n">
        <v>46114</v>
      </c>
      <c r="B1193" s="177" t="n">
        <v>46114</v>
      </c>
      <c r="C1193" s="177" t="n">
        <v>1405</v>
      </c>
      <c r="D1193" s="177" t="n">
        <v>1</v>
      </c>
      <c r="E1193" s="178" t="inlineStr">
        <is>
          <t>1405/01/13</t>
        </is>
      </c>
      <c r="F1193" s="134" t="inlineStr">
        <is>
          <t>1405/01</t>
        </is>
      </c>
      <c r="G1193" s="61" t="inlineStr">
        <is>
          <t>فروردین</t>
        </is>
      </c>
      <c r="H1193" s="134" t="inlineStr">
        <is>
          <t>بهار</t>
        </is>
      </c>
      <c r="I1193" s="134" t="inlineStr">
        <is>
          <t>پنجشنبه</t>
        </is>
      </c>
      <c r="J1193" s="134" t="inlineStr">
        <is>
          <t>بله</t>
        </is>
      </c>
    </row>
    <row r="1194">
      <c r="A1194" s="173" t="n">
        <v>46115</v>
      </c>
      <c r="B1194" s="174" t="n">
        <v>46115</v>
      </c>
      <c r="C1194" s="174" t="n">
        <v>1405</v>
      </c>
      <c r="D1194" s="174" t="n">
        <v>1</v>
      </c>
      <c r="E1194" s="175" t="inlineStr">
        <is>
          <t>1405/01/14</t>
        </is>
      </c>
      <c r="F1194" s="128" t="inlineStr">
        <is>
          <t>1405/01</t>
        </is>
      </c>
      <c r="G1194" s="58" t="inlineStr">
        <is>
          <t>فروردین</t>
        </is>
      </c>
      <c r="H1194" s="128" t="inlineStr">
        <is>
          <t>بهار</t>
        </is>
      </c>
      <c r="I1194" s="128" t="inlineStr">
        <is>
          <t>جمعه</t>
        </is>
      </c>
      <c r="J1194" s="128" t="inlineStr">
        <is>
          <t>بله</t>
        </is>
      </c>
    </row>
    <row r="1195">
      <c r="A1195" s="176" t="n">
        <v>46116</v>
      </c>
      <c r="B1195" s="177" t="n">
        <v>46116</v>
      </c>
      <c r="C1195" s="177" t="n">
        <v>1405</v>
      </c>
      <c r="D1195" s="177" t="n">
        <v>1</v>
      </c>
      <c r="E1195" s="178" t="inlineStr">
        <is>
          <t>1405/01/15</t>
        </is>
      </c>
      <c r="F1195" s="134" t="inlineStr">
        <is>
          <t>1405/01</t>
        </is>
      </c>
      <c r="G1195" s="61" t="inlineStr">
        <is>
          <t>فروردین</t>
        </is>
      </c>
      <c r="H1195" s="134" t="inlineStr">
        <is>
          <t>بهار</t>
        </is>
      </c>
      <c r="I1195" s="134" t="inlineStr">
        <is>
          <t>شنبه</t>
        </is>
      </c>
      <c r="J1195" s="134" t="inlineStr">
        <is>
          <t>خیر</t>
        </is>
      </c>
    </row>
    <row r="1196">
      <c r="A1196" s="173" t="n">
        <v>46117</v>
      </c>
      <c r="B1196" s="174" t="n">
        <v>46117</v>
      </c>
      <c r="C1196" s="174" t="n">
        <v>1405</v>
      </c>
      <c r="D1196" s="174" t="n">
        <v>1</v>
      </c>
      <c r="E1196" s="175" t="inlineStr">
        <is>
          <t>1405/01/16</t>
        </is>
      </c>
      <c r="F1196" s="128" t="inlineStr">
        <is>
          <t>1405/01</t>
        </is>
      </c>
      <c r="G1196" s="58" t="inlineStr">
        <is>
          <t>فروردین</t>
        </is>
      </c>
      <c r="H1196" s="128" t="inlineStr">
        <is>
          <t>بهار</t>
        </is>
      </c>
      <c r="I1196" s="128" t="inlineStr">
        <is>
          <t>یکشنبه</t>
        </is>
      </c>
      <c r="J1196" s="128" t="inlineStr">
        <is>
          <t>خیر</t>
        </is>
      </c>
    </row>
    <row r="1197">
      <c r="A1197" s="176" t="n">
        <v>46118</v>
      </c>
      <c r="B1197" s="177" t="n">
        <v>46118</v>
      </c>
      <c r="C1197" s="177" t="n">
        <v>1405</v>
      </c>
      <c r="D1197" s="177" t="n">
        <v>1</v>
      </c>
      <c r="E1197" s="178" t="inlineStr">
        <is>
          <t>1405/01/17</t>
        </is>
      </c>
      <c r="F1197" s="134" t="inlineStr">
        <is>
          <t>1405/01</t>
        </is>
      </c>
      <c r="G1197" s="61" t="inlineStr">
        <is>
          <t>فروردین</t>
        </is>
      </c>
      <c r="H1197" s="134" t="inlineStr">
        <is>
          <t>بهار</t>
        </is>
      </c>
      <c r="I1197" s="134" t="inlineStr">
        <is>
          <t>دوشنبه</t>
        </is>
      </c>
      <c r="J1197" s="134" t="inlineStr">
        <is>
          <t>بله</t>
        </is>
      </c>
    </row>
    <row r="1198">
      <c r="A1198" s="173" t="n">
        <v>46119</v>
      </c>
      <c r="B1198" s="174" t="n">
        <v>46119</v>
      </c>
      <c r="C1198" s="174" t="n">
        <v>1405</v>
      </c>
      <c r="D1198" s="174" t="n">
        <v>1</v>
      </c>
      <c r="E1198" s="175" t="inlineStr">
        <is>
          <t>1405/01/18</t>
        </is>
      </c>
      <c r="F1198" s="128" t="inlineStr">
        <is>
          <t>1405/01</t>
        </is>
      </c>
      <c r="G1198" s="58" t="inlineStr">
        <is>
          <t>فروردین</t>
        </is>
      </c>
      <c r="H1198" s="128" t="inlineStr">
        <is>
          <t>بهار</t>
        </is>
      </c>
      <c r="I1198" s="128" t="inlineStr">
        <is>
          <t>سه‌شنبه</t>
        </is>
      </c>
      <c r="J1198" s="128" t="inlineStr">
        <is>
          <t>بله</t>
        </is>
      </c>
    </row>
    <row r="1199">
      <c r="A1199" s="176" t="n">
        <v>46120</v>
      </c>
      <c r="B1199" s="177" t="n">
        <v>46120</v>
      </c>
      <c r="C1199" s="177" t="n">
        <v>1405</v>
      </c>
      <c r="D1199" s="177" t="n">
        <v>1</v>
      </c>
      <c r="E1199" s="178" t="inlineStr">
        <is>
          <t>1405/01/19</t>
        </is>
      </c>
      <c r="F1199" s="134" t="inlineStr">
        <is>
          <t>1405/01</t>
        </is>
      </c>
      <c r="G1199" s="61" t="inlineStr">
        <is>
          <t>فروردین</t>
        </is>
      </c>
      <c r="H1199" s="134" t="inlineStr">
        <is>
          <t>بهار</t>
        </is>
      </c>
      <c r="I1199" s="134" t="inlineStr">
        <is>
          <t>چهارشنبه</t>
        </is>
      </c>
      <c r="J1199" s="134" t="inlineStr">
        <is>
          <t>بله</t>
        </is>
      </c>
    </row>
    <row r="1200">
      <c r="A1200" s="173" t="n">
        <v>46121</v>
      </c>
      <c r="B1200" s="174" t="n">
        <v>46121</v>
      </c>
      <c r="C1200" s="174" t="n">
        <v>1405</v>
      </c>
      <c r="D1200" s="174" t="n">
        <v>1</v>
      </c>
      <c r="E1200" s="175" t="inlineStr">
        <is>
          <t>1405/01/20</t>
        </is>
      </c>
      <c r="F1200" s="128" t="inlineStr">
        <is>
          <t>1405/01</t>
        </is>
      </c>
      <c r="G1200" s="58" t="inlineStr">
        <is>
          <t>فروردین</t>
        </is>
      </c>
      <c r="H1200" s="128" t="inlineStr">
        <is>
          <t>بهار</t>
        </is>
      </c>
      <c r="I1200" s="128" t="inlineStr">
        <is>
          <t>پنجشنبه</t>
        </is>
      </c>
      <c r="J1200" s="128" t="inlineStr">
        <is>
          <t>بله</t>
        </is>
      </c>
    </row>
    <row r="1201">
      <c r="A1201" s="176" t="n">
        <v>46122</v>
      </c>
      <c r="B1201" s="177" t="n">
        <v>46122</v>
      </c>
      <c r="C1201" s="177" t="n">
        <v>1405</v>
      </c>
      <c r="D1201" s="177" t="n">
        <v>1</v>
      </c>
      <c r="E1201" s="178" t="inlineStr">
        <is>
          <t>1405/01/21</t>
        </is>
      </c>
      <c r="F1201" s="134" t="inlineStr">
        <is>
          <t>1405/01</t>
        </is>
      </c>
      <c r="G1201" s="61" t="inlineStr">
        <is>
          <t>فروردین</t>
        </is>
      </c>
      <c r="H1201" s="134" t="inlineStr">
        <is>
          <t>بهار</t>
        </is>
      </c>
      <c r="I1201" s="134" t="inlineStr">
        <is>
          <t>جمعه</t>
        </is>
      </c>
      <c r="J1201" s="134" t="inlineStr">
        <is>
          <t>بله</t>
        </is>
      </c>
    </row>
    <row r="1202">
      <c r="A1202" s="173" t="n">
        <v>46123</v>
      </c>
      <c r="B1202" s="174" t="n">
        <v>46123</v>
      </c>
      <c r="C1202" s="174" t="n">
        <v>1405</v>
      </c>
      <c r="D1202" s="174" t="n">
        <v>1</v>
      </c>
      <c r="E1202" s="175" t="inlineStr">
        <is>
          <t>1405/01/22</t>
        </is>
      </c>
      <c r="F1202" s="128" t="inlineStr">
        <is>
          <t>1405/01</t>
        </is>
      </c>
      <c r="G1202" s="58" t="inlineStr">
        <is>
          <t>فروردین</t>
        </is>
      </c>
      <c r="H1202" s="128" t="inlineStr">
        <is>
          <t>بهار</t>
        </is>
      </c>
      <c r="I1202" s="128" t="inlineStr">
        <is>
          <t>شنبه</t>
        </is>
      </c>
      <c r="J1202" s="128" t="inlineStr">
        <is>
          <t>خیر</t>
        </is>
      </c>
    </row>
    <row r="1203">
      <c r="A1203" s="176" t="n">
        <v>46124</v>
      </c>
      <c r="B1203" s="177" t="n">
        <v>46124</v>
      </c>
      <c r="C1203" s="177" t="n">
        <v>1405</v>
      </c>
      <c r="D1203" s="177" t="n">
        <v>1</v>
      </c>
      <c r="E1203" s="178" t="inlineStr">
        <is>
          <t>1405/01/23</t>
        </is>
      </c>
      <c r="F1203" s="134" t="inlineStr">
        <is>
          <t>1405/01</t>
        </is>
      </c>
      <c r="G1203" s="61" t="inlineStr">
        <is>
          <t>فروردین</t>
        </is>
      </c>
      <c r="H1203" s="134" t="inlineStr">
        <is>
          <t>بهار</t>
        </is>
      </c>
      <c r="I1203" s="134" t="inlineStr">
        <is>
          <t>یکشنبه</t>
        </is>
      </c>
      <c r="J1203" s="134" t="inlineStr">
        <is>
          <t>خیر</t>
        </is>
      </c>
    </row>
    <row r="1204">
      <c r="A1204" s="173" t="n">
        <v>46125</v>
      </c>
      <c r="B1204" s="174" t="n">
        <v>46125</v>
      </c>
      <c r="C1204" s="174" t="n">
        <v>1405</v>
      </c>
      <c r="D1204" s="174" t="n">
        <v>1</v>
      </c>
      <c r="E1204" s="175" t="inlineStr">
        <is>
          <t>1405/01/24</t>
        </is>
      </c>
      <c r="F1204" s="128" t="inlineStr">
        <is>
          <t>1405/01</t>
        </is>
      </c>
      <c r="G1204" s="58" t="inlineStr">
        <is>
          <t>فروردین</t>
        </is>
      </c>
      <c r="H1204" s="128" t="inlineStr">
        <is>
          <t>بهار</t>
        </is>
      </c>
      <c r="I1204" s="128" t="inlineStr">
        <is>
          <t>دوشنبه</t>
        </is>
      </c>
      <c r="J1204" s="128" t="inlineStr">
        <is>
          <t>بله</t>
        </is>
      </c>
    </row>
    <row r="1205">
      <c r="A1205" s="176" t="n">
        <v>46126</v>
      </c>
      <c r="B1205" s="177" t="n">
        <v>46126</v>
      </c>
      <c r="C1205" s="177" t="n">
        <v>1405</v>
      </c>
      <c r="D1205" s="177" t="n">
        <v>1</v>
      </c>
      <c r="E1205" s="178" t="inlineStr">
        <is>
          <t>1405/01/25</t>
        </is>
      </c>
      <c r="F1205" s="134" t="inlineStr">
        <is>
          <t>1405/01</t>
        </is>
      </c>
      <c r="G1205" s="61" t="inlineStr">
        <is>
          <t>فروردین</t>
        </is>
      </c>
      <c r="H1205" s="134" t="inlineStr">
        <is>
          <t>بهار</t>
        </is>
      </c>
      <c r="I1205" s="134" t="inlineStr">
        <is>
          <t>سه‌شنبه</t>
        </is>
      </c>
      <c r="J1205" s="134" t="inlineStr">
        <is>
          <t>بله</t>
        </is>
      </c>
    </row>
    <row r="1206">
      <c r="A1206" s="173" t="n">
        <v>46127</v>
      </c>
      <c r="B1206" s="174" t="n">
        <v>46127</v>
      </c>
      <c r="C1206" s="174" t="n">
        <v>1405</v>
      </c>
      <c r="D1206" s="174" t="n">
        <v>1</v>
      </c>
      <c r="E1206" s="175" t="inlineStr">
        <is>
          <t>1405/01/26</t>
        </is>
      </c>
      <c r="F1206" s="128" t="inlineStr">
        <is>
          <t>1405/01</t>
        </is>
      </c>
      <c r="G1206" s="58" t="inlineStr">
        <is>
          <t>فروردین</t>
        </is>
      </c>
      <c r="H1206" s="128" t="inlineStr">
        <is>
          <t>بهار</t>
        </is>
      </c>
      <c r="I1206" s="128" t="inlineStr">
        <is>
          <t>چهارشنبه</t>
        </is>
      </c>
      <c r="J1206" s="128" t="inlineStr">
        <is>
          <t>بله</t>
        </is>
      </c>
    </row>
    <row r="1207">
      <c r="A1207" s="176" t="n">
        <v>46128</v>
      </c>
      <c r="B1207" s="177" t="n">
        <v>46128</v>
      </c>
      <c r="C1207" s="177" t="n">
        <v>1405</v>
      </c>
      <c r="D1207" s="177" t="n">
        <v>1</v>
      </c>
      <c r="E1207" s="178" t="inlineStr">
        <is>
          <t>1405/01/27</t>
        </is>
      </c>
      <c r="F1207" s="134" t="inlineStr">
        <is>
          <t>1405/01</t>
        </is>
      </c>
      <c r="G1207" s="61" t="inlineStr">
        <is>
          <t>فروردین</t>
        </is>
      </c>
      <c r="H1207" s="134" t="inlineStr">
        <is>
          <t>بهار</t>
        </is>
      </c>
      <c r="I1207" s="134" t="inlineStr">
        <is>
          <t>پنجشنبه</t>
        </is>
      </c>
      <c r="J1207" s="134" t="inlineStr">
        <is>
          <t>بله</t>
        </is>
      </c>
    </row>
    <row r="1208">
      <c r="A1208" s="173" t="n">
        <v>46129</v>
      </c>
      <c r="B1208" s="174" t="n">
        <v>46129</v>
      </c>
      <c r="C1208" s="174" t="n">
        <v>1405</v>
      </c>
      <c r="D1208" s="174" t="n">
        <v>1</v>
      </c>
      <c r="E1208" s="175" t="inlineStr">
        <is>
          <t>1405/01/28</t>
        </is>
      </c>
      <c r="F1208" s="128" t="inlineStr">
        <is>
          <t>1405/01</t>
        </is>
      </c>
      <c r="G1208" s="58" t="inlineStr">
        <is>
          <t>فروردین</t>
        </is>
      </c>
      <c r="H1208" s="128" t="inlineStr">
        <is>
          <t>بهار</t>
        </is>
      </c>
      <c r="I1208" s="128" t="inlineStr">
        <is>
          <t>جمعه</t>
        </is>
      </c>
      <c r="J1208" s="128" t="inlineStr">
        <is>
          <t>بله</t>
        </is>
      </c>
    </row>
    <row r="1209">
      <c r="A1209" s="176" t="n">
        <v>46130</v>
      </c>
      <c r="B1209" s="177" t="n">
        <v>46130</v>
      </c>
      <c r="C1209" s="177" t="n">
        <v>1405</v>
      </c>
      <c r="D1209" s="177" t="n">
        <v>1</v>
      </c>
      <c r="E1209" s="178" t="inlineStr">
        <is>
          <t>1405/01/29</t>
        </is>
      </c>
      <c r="F1209" s="134" t="inlineStr">
        <is>
          <t>1405/01</t>
        </is>
      </c>
      <c r="G1209" s="61" t="inlineStr">
        <is>
          <t>فروردین</t>
        </is>
      </c>
      <c r="H1209" s="134" t="inlineStr">
        <is>
          <t>بهار</t>
        </is>
      </c>
      <c r="I1209" s="134" t="inlineStr">
        <is>
          <t>شنبه</t>
        </is>
      </c>
      <c r="J1209" s="134" t="inlineStr">
        <is>
          <t>خیر</t>
        </is>
      </c>
    </row>
    <row r="1210">
      <c r="A1210" s="173" t="n">
        <v>46131</v>
      </c>
      <c r="B1210" s="174" t="n">
        <v>46131</v>
      </c>
      <c r="C1210" s="174" t="n">
        <v>1405</v>
      </c>
      <c r="D1210" s="174" t="n">
        <v>1</v>
      </c>
      <c r="E1210" s="175" t="inlineStr">
        <is>
          <t>1405/01/30</t>
        </is>
      </c>
      <c r="F1210" s="128" t="inlineStr">
        <is>
          <t>1405/01</t>
        </is>
      </c>
      <c r="G1210" s="58" t="inlineStr">
        <is>
          <t>فروردین</t>
        </is>
      </c>
      <c r="H1210" s="128" t="inlineStr">
        <is>
          <t>بهار</t>
        </is>
      </c>
      <c r="I1210" s="128" t="inlineStr">
        <is>
          <t>یکشنبه</t>
        </is>
      </c>
      <c r="J1210" s="128" t="inlineStr">
        <is>
          <t>خیر</t>
        </is>
      </c>
    </row>
    <row r="1211">
      <c r="A1211" s="176" t="n">
        <v>46132</v>
      </c>
      <c r="B1211" s="177" t="n">
        <v>46132</v>
      </c>
      <c r="C1211" s="177" t="n">
        <v>1405</v>
      </c>
      <c r="D1211" s="177" t="n">
        <v>1</v>
      </c>
      <c r="E1211" s="178" t="inlineStr">
        <is>
          <t>1405/01/31</t>
        </is>
      </c>
      <c r="F1211" s="134" t="inlineStr">
        <is>
          <t>1405/01</t>
        </is>
      </c>
      <c r="G1211" s="61" t="inlineStr">
        <is>
          <t>فروردین</t>
        </is>
      </c>
      <c r="H1211" s="134" t="inlineStr">
        <is>
          <t>بهار</t>
        </is>
      </c>
      <c r="I1211" s="134" t="inlineStr">
        <is>
          <t>دوشنبه</t>
        </is>
      </c>
      <c r="J1211" s="134" t="inlineStr">
        <is>
          <t>بله</t>
        </is>
      </c>
    </row>
    <row r="1212">
      <c r="A1212" s="173" t="n">
        <v>46133</v>
      </c>
      <c r="B1212" s="174" t="n">
        <v>46133</v>
      </c>
      <c r="C1212" s="174" t="n">
        <v>1405</v>
      </c>
      <c r="D1212" s="174" t="n">
        <v>2</v>
      </c>
      <c r="E1212" s="175" t="inlineStr">
        <is>
          <t>1405/02/01</t>
        </is>
      </c>
      <c r="F1212" s="128" t="inlineStr">
        <is>
          <t>1405/02</t>
        </is>
      </c>
      <c r="G1212" s="58" t="inlineStr">
        <is>
          <t>اردیبهشت</t>
        </is>
      </c>
      <c r="H1212" s="128" t="inlineStr">
        <is>
          <t>بهار</t>
        </is>
      </c>
      <c r="I1212" s="128" t="inlineStr">
        <is>
          <t>سه‌شنبه</t>
        </is>
      </c>
      <c r="J1212" s="128" t="inlineStr">
        <is>
          <t>بله</t>
        </is>
      </c>
    </row>
    <row r="1213">
      <c r="A1213" s="176" t="n">
        <v>46134</v>
      </c>
      <c r="B1213" s="177" t="n">
        <v>46134</v>
      </c>
      <c r="C1213" s="177" t="n">
        <v>1405</v>
      </c>
      <c r="D1213" s="177" t="n">
        <v>2</v>
      </c>
      <c r="E1213" s="178" t="inlineStr">
        <is>
          <t>1405/02/02</t>
        </is>
      </c>
      <c r="F1213" s="134" t="inlineStr">
        <is>
          <t>1405/02</t>
        </is>
      </c>
      <c r="G1213" s="61" t="inlineStr">
        <is>
          <t>اردیبهشت</t>
        </is>
      </c>
      <c r="H1213" s="134" t="inlineStr">
        <is>
          <t>بهار</t>
        </is>
      </c>
      <c r="I1213" s="134" t="inlineStr">
        <is>
          <t>چهارشنبه</t>
        </is>
      </c>
      <c r="J1213" s="134" t="inlineStr">
        <is>
          <t>بله</t>
        </is>
      </c>
    </row>
    <row r="1214">
      <c r="A1214" s="173" t="n">
        <v>46135</v>
      </c>
      <c r="B1214" s="174" t="n">
        <v>46135</v>
      </c>
      <c r="C1214" s="174" t="n">
        <v>1405</v>
      </c>
      <c r="D1214" s="174" t="n">
        <v>2</v>
      </c>
      <c r="E1214" s="175" t="inlineStr">
        <is>
          <t>1405/02/03</t>
        </is>
      </c>
      <c r="F1214" s="128" t="inlineStr">
        <is>
          <t>1405/02</t>
        </is>
      </c>
      <c r="G1214" s="58" t="inlineStr">
        <is>
          <t>اردیبهشت</t>
        </is>
      </c>
      <c r="H1214" s="128" t="inlineStr">
        <is>
          <t>بهار</t>
        </is>
      </c>
      <c r="I1214" s="128" t="inlineStr">
        <is>
          <t>پنجشنبه</t>
        </is>
      </c>
      <c r="J1214" s="128" t="inlineStr">
        <is>
          <t>بله</t>
        </is>
      </c>
    </row>
    <row r="1215">
      <c r="A1215" s="176" t="n">
        <v>46136</v>
      </c>
      <c r="B1215" s="177" t="n">
        <v>46136</v>
      </c>
      <c r="C1215" s="177" t="n">
        <v>1405</v>
      </c>
      <c r="D1215" s="177" t="n">
        <v>2</v>
      </c>
      <c r="E1215" s="178" t="inlineStr">
        <is>
          <t>1405/02/04</t>
        </is>
      </c>
      <c r="F1215" s="134" t="inlineStr">
        <is>
          <t>1405/02</t>
        </is>
      </c>
      <c r="G1215" s="61" t="inlineStr">
        <is>
          <t>اردیبهشت</t>
        </is>
      </c>
      <c r="H1215" s="134" t="inlineStr">
        <is>
          <t>بهار</t>
        </is>
      </c>
      <c r="I1215" s="134" t="inlineStr">
        <is>
          <t>جمعه</t>
        </is>
      </c>
      <c r="J1215" s="134" t="inlineStr">
        <is>
          <t>بله</t>
        </is>
      </c>
    </row>
    <row r="1216">
      <c r="A1216" s="173" t="n">
        <v>46137</v>
      </c>
      <c r="B1216" s="174" t="n">
        <v>46137</v>
      </c>
      <c r="C1216" s="174" t="n">
        <v>1405</v>
      </c>
      <c r="D1216" s="174" t="n">
        <v>2</v>
      </c>
      <c r="E1216" s="175" t="inlineStr">
        <is>
          <t>1405/02/05</t>
        </is>
      </c>
      <c r="F1216" s="128" t="inlineStr">
        <is>
          <t>1405/02</t>
        </is>
      </c>
      <c r="G1216" s="58" t="inlineStr">
        <is>
          <t>اردیبهشت</t>
        </is>
      </c>
      <c r="H1216" s="128" t="inlineStr">
        <is>
          <t>بهار</t>
        </is>
      </c>
      <c r="I1216" s="128" t="inlineStr">
        <is>
          <t>شنبه</t>
        </is>
      </c>
      <c r="J1216" s="128" t="inlineStr">
        <is>
          <t>خیر</t>
        </is>
      </c>
    </row>
    <row r="1217">
      <c r="A1217" s="176" t="n">
        <v>46138</v>
      </c>
      <c r="B1217" s="177" t="n">
        <v>46138</v>
      </c>
      <c r="C1217" s="177" t="n">
        <v>1405</v>
      </c>
      <c r="D1217" s="177" t="n">
        <v>2</v>
      </c>
      <c r="E1217" s="178" t="inlineStr">
        <is>
          <t>1405/02/06</t>
        </is>
      </c>
      <c r="F1217" s="134" t="inlineStr">
        <is>
          <t>1405/02</t>
        </is>
      </c>
      <c r="G1217" s="61" t="inlineStr">
        <is>
          <t>اردیبهشت</t>
        </is>
      </c>
      <c r="H1217" s="134" t="inlineStr">
        <is>
          <t>بهار</t>
        </is>
      </c>
      <c r="I1217" s="134" t="inlineStr">
        <is>
          <t>یکشنبه</t>
        </is>
      </c>
      <c r="J1217" s="134" t="inlineStr">
        <is>
          <t>خیر</t>
        </is>
      </c>
    </row>
    <row r="1218">
      <c r="A1218" s="173" t="n">
        <v>46139</v>
      </c>
      <c r="B1218" s="174" t="n">
        <v>46139</v>
      </c>
      <c r="C1218" s="174" t="n">
        <v>1405</v>
      </c>
      <c r="D1218" s="174" t="n">
        <v>2</v>
      </c>
      <c r="E1218" s="175" t="inlineStr">
        <is>
          <t>1405/02/07</t>
        </is>
      </c>
      <c r="F1218" s="128" t="inlineStr">
        <is>
          <t>1405/02</t>
        </is>
      </c>
      <c r="G1218" s="58" t="inlineStr">
        <is>
          <t>اردیبهشت</t>
        </is>
      </c>
      <c r="H1218" s="128" t="inlineStr">
        <is>
          <t>بهار</t>
        </is>
      </c>
      <c r="I1218" s="128" t="inlineStr">
        <is>
          <t>دوشنبه</t>
        </is>
      </c>
      <c r="J1218" s="128" t="inlineStr">
        <is>
          <t>بله</t>
        </is>
      </c>
    </row>
    <row r="1219">
      <c r="A1219" s="176" t="n">
        <v>46140</v>
      </c>
      <c r="B1219" s="177" t="n">
        <v>46140</v>
      </c>
      <c r="C1219" s="177" t="n">
        <v>1405</v>
      </c>
      <c r="D1219" s="177" t="n">
        <v>2</v>
      </c>
      <c r="E1219" s="178" t="inlineStr">
        <is>
          <t>1405/02/08</t>
        </is>
      </c>
      <c r="F1219" s="134" t="inlineStr">
        <is>
          <t>1405/02</t>
        </is>
      </c>
      <c r="G1219" s="61" t="inlineStr">
        <is>
          <t>اردیبهشت</t>
        </is>
      </c>
      <c r="H1219" s="134" t="inlineStr">
        <is>
          <t>بهار</t>
        </is>
      </c>
      <c r="I1219" s="134" t="inlineStr">
        <is>
          <t>سه‌شنبه</t>
        </is>
      </c>
      <c r="J1219" s="134" t="inlineStr">
        <is>
          <t>بله</t>
        </is>
      </c>
    </row>
    <row r="1220">
      <c r="A1220" s="173" t="n">
        <v>46141</v>
      </c>
      <c r="B1220" s="174" t="n">
        <v>46141</v>
      </c>
      <c r="C1220" s="174" t="n">
        <v>1405</v>
      </c>
      <c r="D1220" s="174" t="n">
        <v>2</v>
      </c>
      <c r="E1220" s="175" t="inlineStr">
        <is>
          <t>1405/02/09</t>
        </is>
      </c>
      <c r="F1220" s="128" t="inlineStr">
        <is>
          <t>1405/02</t>
        </is>
      </c>
      <c r="G1220" s="58" t="inlineStr">
        <is>
          <t>اردیبهشت</t>
        </is>
      </c>
      <c r="H1220" s="128" t="inlineStr">
        <is>
          <t>بهار</t>
        </is>
      </c>
      <c r="I1220" s="128" t="inlineStr">
        <is>
          <t>چهارشنبه</t>
        </is>
      </c>
      <c r="J1220" s="128" t="inlineStr">
        <is>
          <t>بله</t>
        </is>
      </c>
    </row>
    <row r="1221">
      <c r="A1221" s="176" t="n">
        <v>46142</v>
      </c>
      <c r="B1221" s="177" t="n">
        <v>46142</v>
      </c>
      <c r="C1221" s="177" t="n">
        <v>1405</v>
      </c>
      <c r="D1221" s="177" t="n">
        <v>2</v>
      </c>
      <c r="E1221" s="178" t="inlineStr">
        <is>
          <t>1405/02/10</t>
        </is>
      </c>
      <c r="F1221" s="134" t="inlineStr">
        <is>
          <t>1405/02</t>
        </is>
      </c>
      <c r="G1221" s="61" t="inlineStr">
        <is>
          <t>اردیبهشت</t>
        </is>
      </c>
      <c r="H1221" s="134" t="inlineStr">
        <is>
          <t>بهار</t>
        </is>
      </c>
      <c r="I1221" s="134" t="inlineStr">
        <is>
          <t>پنجشنبه</t>
        </is>
      </c>
      <c r="J1221" s="134" t="inlineStr">
        <is>
          <t>بله</t>
        </is>
      </c>
    </row>
    <row r="1222">
      <c r="A1222" s="173" t="n">
        <v>46143</v>
      </c>
      <c r="B1222" s="174" t="n">
        <v>46143</v>
      </c>
      <c r="C1222" s="174" t="n">
        <v>1405</v>
      </c>
      <c r="D1222" s="174" t="n">
        <v>2</v>
      </c>
      <c r="E1222" s="175" t="inlineStr">
        <is>
          <t>1405/02/11</t>
        </is>
      </c>
      <c r="F1222" s="128" t="inlineStr">
        <is>
          <t>1405/02</t>
        </is>
      </c>
      <c r="G1222" s="58" t="inlineStr">
        <is>
          <t>اردیبهشت</t>
        </is>
      </c>
      <c r="H1222" s="128" t="inlineStr">
        <is>
          <t>بهار</t>
        </is>
      </c>
      <c r="I1222" s="128" t="inlineStr">
        <is>
          <t>جمعه</t>
        </is>
      </c>
      <c r="J1222" s="128" t="inlineStr">
        <is>
          <t>بله</t>
        </is>
      </c>
    </row>
    <row r="1223">
      <c r="A1223" s="176" t="n">
        <v>46144</v>
      </c>
      <c r="B1223" s="177" t="n">
        <v>46144</v>
      </c>
      <c r="C1223" s="177" t="n">
        <v>1405</v>
      </c>
      <c r="D1223" s="177" t="n">
        <v>2</v>
      </c>
      <c r="E1223" s="178" t="inlineStr">
        <is>
          <t>1405/02/12</t>
        </is>
      </c>
      <c r="F1223" s="134" t="inlineStr">
        <is>
          <t>1405/02</t>
        </is>
      </c>
      <c r="G1223" s="61" t="inlineStr">
        <is>
          <t>اردیبهشت</t>
        </is>
      </c>
      <c r="H1223" s="134" t="inlineStr">
        <is>
          <t>بهار</t>
        </is>
      </c>
      <c r="I1223" s="134" t="inlineStr">
        <is>
          <t>شنبه</t>
        </is>
      </c>
      <c r="J1223" s="134" t="inlineStr">
        <is>
          <t>خیر</t>
        </is>
      </c>
    </row>
    <row r="1224">
      <c r="A1224" s="173" t="n">
        <v>46145</v>
      </c>
      <c r="B1224" s="174" t="n">
        <v>46145</v>
      </c>
      <c r="C1224" s="174" t="n">
        <v>1405</v>
      </c>
      <c r="D1224" s="174" t="n">
        <v>2</v>
      </c>
      <c r="E1224" s="175" t="inlineStr">
        <is>
          <t>1405/02/13</t>
        </is>
      </c>
      <c r="F1224" s="128" t="inlineStr">
        <is>
          <t>1405/02</t>
        </is>
      </c>
      <c r="G1224" s="58" t="inlineStr">
        <is>
          <t>اردیبهشت</t>
        </is>
      </c>
      <c r="H1224" s="128" t="inlineStr">
        <is>
          <t>بهار</t>
        </is>
      </c>
      <c r="I1224" s="128" t="inlineStr">
        <is>
          <t>یکشنبه</t>
        </is>
      </c>
      <c r="J1224" s="128" t="inlineStr">
        <is>
          <t>خیر</t>
        </is>
      </c>
    </row>
    <row r="1225">
      <c r="A1225" s="176" t="n">
        <v>46146</v>
      </c>
      <c r="B1225" s="177" t="n">
        <v>46146</v>
      </c>
      <c r="C1225" s="177" t="n">
        <v>1405</v>
      </c>
      <c r="D1225" s="177" t="n">
        <v>2</v>
      </c>
      <c r="E1225" s="178" t="inlineStr">
        <is>
          <t>1405/02/14</t>
        </is>
      </c>
      <c r="F1225" s="134" t="inlineStr">
        <is>
          <t>1405/02</t>
        </is>
      </c>
      <c r="G1225" s="61" t="inlineStr">
        <is>
          <t>اردیبهشت</t>
        </is>
      </c>
      <c r="H1225" s="134" t="inlineStr">
        <is>
          <t>بهار</t>
        </is>
      </c>
      <c r="I1225" s="134" t="inlineStr">
        <is>
          <t>دوشنبه</t>
        </is>
      </c>
      <c r="J1225" s="134" t="inlineStr">
        <is>
          <t>بله</t>
        </is>
      </c>
    </row>
    <row r="1226">
      <c r="A1226" s="173" t="n">
        <v>46147</v>
      </c>
      <c r="B1226" s="174" t="n">
        <v>46147</v>
      </c>
      <c r="C1226" s="174" t="n">
        <v>1405</v>
      </c>
      <c r="D1226" s="174" t="n">
        <v>2</v>
      </c>
      <c r="E1226" s="175" t="inlineStr">
        <is>
          <t>1405/02/15</t>
        </is>
      </c>
      <c r="F1226" s="128" t="inlineStr">
        <is>
          <t>1405/02</t>
        </is>
      </c>
      <c r="G1226" s="58" t="inlineStr">
        <is>
          <t>اردیبهشت</t>
        </is>
      </c>
      <c r="H1226" s="128" t="inlineStr">
        <is>
          <t>بهار</t>
        </is>
      </c>
      <c r="I1226" s="128" t="inlineStr">
        <is>
          <t>سه‌شنبه</t>
        </is>
      </c>
      <c r="J1226" s="128" t="inlineStr">
        <is>
          <t>بله</t>
        </is>
      </c>
    </row>
    <row r="1227">
      <c r="A1227" s="176" t="n">
        <v>46148</v>
      </c>
      <c r="B1227" s="177" t="n">
        <v>46148</v>
      </c>
      <c r="C1227" s="177" t="n">
        <v>1405</v>
      </c>
      <c r="D1227" s="177" t="n">
        <v>2</v>
      </c>
      <c r="E1227" s="178" t="inlineStr">
        <is>
          <t>1405/02/16</t>
        </is>
      </c>
      <c r="F1227" s="134" t="inlineStr">
        <is>
          <t>1405/02</t>
        </is>
      </c>
      <c r="G1227" s="61" t="inlineStr">
        <is>
          <t>اردیبهشت</t>
        </is>
      </c>
      <c r="H1227" s="134" t="inlineStr">
        <is>
          <t>بهار</t>
        </is>
      </c>
      <c r="I1227" s="134" t="inlineStr">
        <is>
          <t>چهارشنبه</t>
        </is>
      </c>
      <c r="J1227" s="134" t="inlineStr">
        <is>
          <t>بله</t>
        </is>
      </c>
    </row>
    <row r="1228">
      <c r="A1228" s="173" t="n">
        <v>46149</v>
      </c>
      <c r="B1228" s="174" t="n">
        <v>46149</v>
      </c>
      <c r="C1228" s="174" t="n">
        <v>1405</v>
      </c>
      <c r="D1228" s="174" t="n">
        <v>2</v>
      </c>
      <c r="E1228" s="175" t="inlineStr">
        <is>
          <t>1405/02/17</t>
        </is>
      </c>
      <c r="F1228" s="128" t="inlineStr">
        <is>
          <t>1405/02</t>
        </is>
      </c>
      <c r="G1228" s="58" t="inlineStr">
        <is>
          <t>اردیبهشت</t>
        </is>
      </c>
      <c r="H1228" s="128" t="inlineStr">
        <is>
          <t>بهار</t>
        </is>
      </c>
      <c r="I1228" s="128" t="inlineStr">
        <is>
          <t>پنجشنبه</t>
        </is>
      </c>
      <c r="J1228" s="128" t="inlineStr">
        <is>
          <t>بله</t>
        </is>
      </c>
    </row>
    <row r="1229">
      <c r="A1229" s="176" t="n">
        <v>46150</v>
      </c>
      <c r="B1229" s="177" t="n">
        <v>46150</v>
      </c>
      <c r="C1229" s="177" t="n">
        <v>1405</v>
      </c>
      <c r="D1229" s="177" t="n">
        <v>2</v>
      </c>
      <c r="E1229" s="178" t="inlineStr">
        <is>
          <t>1405/02/18</t>
        </is>
      </c>
      <c r="F1229" s="134" t="inlineStr">
        <is>
          <t>1405/02</t>
        </is>
      </c>
      <c r="G1229" s="61" t="inlineStr">
        <is>
          <t>اردیبهشت</t>
        </is>
      </c>
      <c r="H1229" s="134" t="inlineStr">
        <is>
          <t>بهار</t>
        </is>
      </c>
      <c r="I1229" s="134" t="inlineStr">
        <is>
          <t>جمعه</t>
        </is>
      </c>
      <c r="J1229" s="134" t="inlineStr">
        <is>
          <t>بله</t>
        </is>
      </c>
    </row>
    <row r="1230">
      <c r="A1230" s="173" t="n">
        <v>46151</v>
      </c>
      <c r="B1230" s="174" t="n">
        <v>46151</v>
      </c>
      <c r="C1230" s="174" t="n">
        <v>1405</v>
      </c>
      <c r="D1230" s="174" t="n">
        <v>2</v>
      </c>
      <c r="E1230" s="175" t="inlineStr">
        <is>
          <t>1405/02/19</t>
        </is>
      </c>
      <c r="F1230" s="128" t="inlineStr">
        <is>
          <t>1405/02</t>
        </is>
      </c>
      <c r="G1230" s="58" t="inlineStr">
        <is>
          <t>اردیبهشت</t>
        </is>
      </c>
      <c r="H1230" s="128" t="inlineStr">
        <is>
          <t>بهار</t>
        </is>
      </c>
      <c r="I1230" s="128" t="inlineStr">
        <is>
          <t>شنبه</t>
        </is>
      </c>
      <c r="J1230" s="128" t="inlineStr">
        <is>
          <t>خیر</t>
        </is>
      </c>
    </row>
    <row r="1231">
      <c r="A1231" s="176" t="n">
        <v>46152</v>
      </c>
      <c r="B1231" s="177" t="n">
        <v>46152</v>
      </c>
      <c r="C1231" s="177" t="n">
        <v>1405</v>
      </c>
      <c r="D1231" s="177" t="n">
        <v>2</v>
      </c>
      <c r="E1231" s="178" t="inlineStr">
        <is>
          <t>1405/02/20</t>
        </is>
      </c>
      <c r="F1231" s="134" t="inlineStr">
        <is>
          <t>1405/02</t>
        </is>
      </c>
      <c r="G1231" s="61" t="inlineStr">
        <is>
          <t>اردیبهشت</t>
        </is>
      </c>
      <c r="H1231" s="134" t="inlineStr">
        <is>
          <t>بهار</t>
        </is>
      </c>
      <c r="I1231" s="134" t="inlineStr">
        <is>
          <t>یکشنبه</t>
        </is>
      </c>
      <c r="J1231" s="134" t="inlineStr">
        <is>
          <t>خیر</t>
        </is>
      </c>
    </row>
    <row r="1232">
      <c r="A1232" s="173" t="n">
        <v>46153</v>
      </c>
      <c r="B1232" s="174" t="n">
        <v>46153</v>
      </c>
      <c r="C1232" s="174" t="n">
        <v>1405</v>
      </c>
      <c r="D1232" s="174" t="n">
        <v>2</v>
      </c>
      <c r="E1232" s="175" t="inlineStr">
        <is>
          <t>1405/02/21</t>
        </is>
      </c>
      <c r="F1232" s="128" t="inlineStr">
        <is>
          <t>1405/02</t>
        </is>
      </c>
      <c r="G1232" s="58" t="inlineStr">
        <is>
          <t>اردیبهشت</t>
        </is>
      </c>
      <c r="H1232" s="128" t="inlineStr">
        <is>
          <t>بهار</t>
        </is>
      </c>
      <c r="I1232" s="128" t="inlineStr">
        <is>
          <t>دوشنبه</t>
        </is>
      </c>
      <c r="J1232" s="128" t="inlineStr">
        <is>
          <t>بله</t>
        </is>
      </c>
    </row>
    <row r="1233">
      <c r="A1233" s="176" t="n">
        <v>46154</v>
      </c>
      <c r="B1233" s="177" t="n">
        <v>46154</v>
      </c>
      <c r="C1233" s="177" t="n">
        <v>1405</v>
      </c>
      <c r="D1233" s="177" t="n">
        <v>2</v>
      </c>
      <c r="E1233" s="178" t="inlineStr">
        <is>
          <t>1405/02/22</t>
        </is>
      </c>
      <c r="F1233" s="134" t="inlineStr">
        <is>
          <t>1405/02</t>
        </is>
      </c>
      <c r="G1233" s="61" t="inlineStr">
        <is>
          <t>اردیبهشت</t>
        </is>
      </c>
      <c r="H1233" s="134" t="inlineStr">
        <is>
          <t>بهار</t>
        </is>
      </c>
      <c r="I1233" s="134" t="inlineStr">
        <is>
          <t>سه‌شنبه</t>
        </is>
      </c>
      <c r="J1233" s="134" t="inlineStr">
        <is>
          <t>بله</t>
        </is>
      </c>
    </row>
    <row r="1234">
      <c r="A1234" s="173" t="n">
        <v>46155</v>
      </c>
      <c r="B1234" s="174" t="n">
        <v>46155</v>
      </c>
      <c r="C1234" s="174" t="n">
        <v>1405</v>
      </c>
      <c r="D1234" s="174" t="n">
        <v>2</v>
      </c>
      <c r="E1234" s="175" t="inlineStr">
        <is>
          <t>1405/02/23</t>
        </is>
      </c>
      <c r="F1234" s="128" t="inlineStr">
        <is>
          <t>1405/02</t>
        </is>
      </c>
      <c r="G1234" s="58" t="inlineStr">
        <is>
          <t>اردیبهشت</t>
        </is>
      </c>
      <c r="H1234" s="128" t="inlineStr">
        <is>
          <t>بهار</t>
        </is>
      </c>
      <c r="I1234" s="128" t="inlineStr">
        <is>
          <t>چهارشنبه</t>
        </is>
      </c>
      <c r="J1234" s="128" t="inlineStr">
        <is>
          <t>بله</t>
        </is>
      </c>
    </row>
    <row r="1235">
      <c r="A1235" s="176" t="n">
        <v>46156</v>
      </c>
      <c r="B1235" s="177" t="n">
        <v>46156</v>
      </c>
      <c r="C1235" s="177" t="n">
        <v>1405</v>
      </c>
      <c r="D1235" s="177" t="n">
        <v>2</v>
      </c>
      <c r="E1235" s="178" t="inlineStr">
        <is>
          <t>1405/02/24</t>
        </is>
      </c>
      <c r="F1235" s="134" t="inlineStr">
        <is>
          <t>1405/02</t>
        </is>
      </c>
      <c r="G1235" s="61" t="inlineStr">
        <is>
          <t>اردیبهشت</t>
        </is>
      </c>
      <c r="H1235" s="134" t="inlineStr">
        <is>
          <t>بهار</t>
        </is>
      </c>
      <c r="I1235" s="134" t="inlineStr">
        <is>
          <t>پنجشنبه</t>
        </is>
      </c>
      <c r="J1235" s="134" t="inlineStr">
        <is>
          <t>بله</t>
        </is>
      </c>
    </row>
    <row r="1236">
      <c r="A1236" s="173" t="n">
        <v>46157</v>
      </c>
      <c r="B1236" s="174" t="n">
        <v>46157</v>
      </c>
      <c r="C1236" s="174" t="n">
        <v>1405</v>
      </c>
      <c r="D1236" s="174" t="n">
        <v>2</v>
      </c>
      <c r="E1236" s="175" t="inlineStr">
        <is>
          <t>1405/02/25</t>
        </is>
      </c>
      <c r="F1236" s="128" t="inlineStr">
        <is>
          <t>1405/02</t>
        </is>
      </c>
      <c r="G1236" s="58" t="inlineStr">
        <is>
          <t>اردیبهشت</t>
        </is>
      </c>
      <c r="H1236" s="128" t="inlineStr">
        <is>
          <t>بهار</t>
        </is>
      </c>
      <c r="I1236" s="128" t="inlineStr">
        <is>
          <t>جمعه</t>
        </is>
      </c>
      <c r="J1236" s="128" t="inlineStr">
        <is>
          <t>بله</t>
        </is>
      </c>
    </row>
    <row r="1237">
      <c r="A1237" s="176" t="n">
        <v>46158</v>
      </c>
      <c r="B1237" s="177" t="n">
        <v>46158</v>
      </c>
      <c r="C1237" s="177" t="n">
        <v>1405</v>
      </c>
      <c r="D1237" s="177" t="n">
        <v>2</v>
      </c>
      <c r="E1237" s="178" t="inlineStr">
        <is>
          <t>1405/02/26</t>
        </is>
      </c>
      <c r="F1237" s="134" t="inlineStr">
        <is>
          <t>1405/02</t>
        </is>
      </c>
      <c r="G1237" s="61" t="inlineStr">
        <is>
          <t>اردیبهشت</t>
        </is>
      </c>
      <c r="H1237" s="134" t="inlineStr">
        <is>
          <t>بهار</t>
        </is>
      </c>
      <c r="I1237" s="134" t="inlineStr">
        <is>
          <t>شنبه</t>
        </is>
      </c>
      <c r="J1237" s="134" t="inlineStr">
        <is>
          <t>خیر</t>
        </is>
      </c>
    </row>
    <row r="1238">
      <c r="A1238" s="173" t="n">
        <v>46159</v>
      </c>
      <c r="B1238" s="174" t="n">
        <v>46159</v>
      </c>
      <c r="C1238" s="174" t="n">
        <v>1405</v>
      </c>
      <c r="D1238" s="174" t="n">
        <v>2</v>
      </c>
      <c r="E1238" s="175" t="inlineStr">
        <is>
          <t>1405/02/27</t>
        </is>
      </c>
      <c r="F1238" s="128" t="inlineStr">
        <is>
          <t>1405/02</t>
        </is>
      </c>
      <c r="G1238" s="58" t="inlineStr">
        <is>
          <t>اردیبهشت</t>
        </is>
      </c>
      <c r="H1238" s="128" t="inlineStr">
        <is>
          <t>بهار</t>
        </is>
      </c>
      <c r="I1238" s="128" t="inlineStr">
        <is>
          <t>یکشنبه</t>
        </is>
      </c>
      <c r="J1238" s="128" t="inlineStr">
        <is>
          <t>خیر</t>
        </is>
      </c>
    </row>
    <row r="1239">
      <c r="A1239" s="176" t="n">
        <v>46160</v>
      </c>
      <c r="B1239" s="177" t="n">
        <v>46160</v>
      </c>
      <c r="C1239" s="177" t="n">
        <v>1405</v>
      </c>
      <c r="D1239" s="177" t="n">
        <v>2</v>
      </c>
      <c r="E1239" s="178" t="inlineStr">
        <is>
          <t>1405/02/28</t>
        </is>
      </c>
      <c r="F1239" s="134" t="inlineStr">
        <is>
          <t>1405/02</t>
        </is>
      </c>
      <c r="G1239" s="61" t="inlineStr">
        <is>
          <t>اردیبهشت</t>
        </is>
      </c>
      <c r="H1239" s="134" t="inlineStr">
        <is>
          <t>بهار</t>
        </is>
      </c>
      <c r="I1239" s="134" t="inlineStr">
        <is>
          <t>دوشنبه</t>
        </is>
      </c>
      <c r="J1239" s="134" t="inlineStr">
        <is>
          <t>بله</t>
        </is>
      </c>
    </row>
    <row r="1240">
      <c r="A1240" s="173" t="n">
        <v>46161</v>
      </c>
      <c r="B1240" s="174" t="n">
        <v>46161</v>
      </c>
      <c r="C1240" s="174" t="n">
        <v>1405</v>
      </c>
      <c r="D1240" s="174" t="n">
        <v>2</v>
      </c>
      <c r="E1240" s="175" t="inlineStr">
        <is>
          <t>1405/02/29</t>
        </is>
      </c>
      <c r="F1240" s="128" t="inlineStr">
        <is>
          <t>1405/02</t>
        </is>
      </c>
      <c r="G1240" s="58" t="inlineStr">
        <is>
          <t>اردیبهشت</t>
        </is>
      </c>
      <c r="H1240" s="128" t="inlineStr">
        <is>
          <t>بهار</t>
        </is>
      </c>
      <c r="I1240" s="128" t="inlineStr">
        <is>
          <t>سه‌شنبه</t>
        </is>
      </c>
      <c r="J1240" s="128" t="inlineStr">
        <is>
          <t>بله</t>
        </is>
      </c>
    </row>
    <row r="1241">
      <c r="A1241" s="176" t="n">
        <v>46162</v>
      </c>
      <c r="B1241" s="177" t="n">
        <v>46162</v>
      </c>
      <c r="C1241" s="177" t="n">
        <v>1405</v>
      </c>
      <c r="D1241" s="177" t="n">
        <v>2</v>
      </c>
      <c r="E1241" s="178" t="inlineStr">
        <is>
          <t>1405/02/30</t>
        </is>
      </c>
      <c r="F1241" s="134" t="inlineStr">
        <is>
          <t>1405/02</t>
        </is>
      </c>
      <c r="G1241" s="61" t="inlineStr">
        <is>
          <t>اردیبهشت</t>
        </is>
      </c>
      <c r="H1241" s="134" t="inlineStr">
        <is>
          <t>بهار</t>
        </is>
      </c>
      <c r="I1241" s="134" t="inlineStr">
        <is>
          <t>چهارشنبه</t>
        </is>
      </c>
      <c r="J1241" s="134" t="inlineStr">
        <is>
          <t>بله</t>
        </is>
      </c>
    </row>
    <row r="1242">
      <c r="A1242" s="173" t="n">
        <v>46163</v>
      </c>
      <c r="B1242" s="174" t="n">
        <v>46163</v>
      </c>
      <c r="C1242" s="174" t="n">
        <v>1405</v>
      </c>
      <c r="D1242" s="174" t="n">
        <v>2</v>
      </c>
      <c r="E1242" s="175" t="inlineStr">
        <is>
          <t>1405/02/31</t>
        </is>
      </c>
      <c r="F1242" s="128" t="inlineStr">
        <is>
          <t>1405/02</t>
        </is>
      </c>
      <c r="G1242" s="58" t="inlineStr">
        <is>
          <t>اردیبهشت</t>
        </is>
      </c>
      <c r="H1242" s="128" t="inlineStr">
        <is>
          <t>بهار</t>
        </is>
      </c>
      <c r="I1242" s="128" t="inlineStr">
        <is>
          <t>پنجشنبه</t>
        </is>
      </c>
      <c r="J1242" s="128" t="inlineStr">
        <is>
          <t>بله</t>
        </is>
      </c>
    </row>
    <row r="1243">
      <c r="A1243" s="176" t="n">
        <v>46164</v>
      </c>
      <c r="B1243" s="177" t="n">
        <v>46164</v>
      </c>
      <c r="C1243" s="177" t="n">
        <v>1405</v>
      </c>
      <c r="D1243" s="177" t="n">
        <v>3</v>
      </c>
      <c r="E1243" s="178" t="inlineStr">
        <is>
          <t>1405/03/01</t>
        </is>
      </c>
      <c r="F1243" s="134" t="inlineStr">
        <is>
          <t>1405/03</t>
        </is>
      </c>
      <c r="G1243" s="61" t="inlineStr">
        <is>
          <t>خرداد</t>
        </is>
      </c>
      <c r="H1243" s="134" t="inlineStr">
        <is>
          <t>بهار</t>
        </is>
      </c>
      <c r="I1243" s="134" t="inlineStr">
        <is>
          <t>جمعه</t>
        </is>
      </c>
      <c r="J1243" s="134" t="inlineStr">
        <is>
          <t>بله</t>
        </is>
      </c>
    </row>
    <row r="1244">
      <c r="A1244" s="173" t="n">
        <v>46165</v>
      </c>
      <c r="B1244" s="174" t="n">
        <v>46165</v>
      </c>
      <c r="C1244" s="174" t="n">
        <v>1405</v>
      </c>
      <c r="D1244" s="174" t="n">
        <v>3</v>
      </c>
      <c r="E1244" s="175" t="inlineStr">
        <is>
          <t>1405/03/02</t>
        </is>
      </c>
      <c r="F1244" s="128" t="inlineStr">
        <is>
          <t>1405/03</t>
        </is>
      </c>
      <c r="G1244" s="58" t="inlineStr">
        <is>
          <t>خرداد</t>
        </is>
      </c>
      <c r="H1244" s="128" t="inlineStr">
        <is>
          <t>بهار</t>
        </is>
      </c>
      <c r="I1244" s="128" t="inlineStr">
        <is>
          <t>شنبه</t>
        </is>
      </c>
      <c r="J1244" s="128" t="inlineStr">
        <is>
          <t>خیر</t>
        </is>
      </c>
    </row>
    <row r="1245">
      <c r="A1245" s="176" t="n">
        <v>46166</v>
      </c>
      <c r="B1245" s="177" t="n">
        <v>46166</v>
      </c>
      <c r="C1245" s="177" t="n">
        <v>1405</v>
      </c>
      <c r="D1245" s="177" t="n">
        <v>3</v>
      </c>
      <c r="E1245" s="178" t="inlineStr">
        <is>
          <t>1405/03/03</t>
        </is>
      </c>
      <c r="F1245" s="134" t="inlineStr">
        <is>
          <t>1405/03</t>
        </is>
      </c>
      <c r="G1245" s="61" t="inlineStr">
        <is>
          <t>خرداد</t>
        </is>
      </c>
      <c r="H1245" s="134" t="inlineStr">
        <is>
          <t>بهار</t>
        </is>
      </c>
      <c r="I1245" s="134" t="inlineStr">
        <is>
          <t>یکشنبه</t>
        </is>
      </c>
      <c r="J1245" s="134" t="inlineStr">
        <is>
          <t>خیر</t>
        </is>
      </c>
    </row>
    <row r="1246">
      <c r="A1246" s="173" t="n">
        <v>46167</v>
      </c>
      <c r="B1246" s="174" t="n">
        <v>46167</v>
      </c>
      <c r="C1246" s="174" t="n">
        <v>1405</v>
      </c>
      <c r="D1246" s="174" t="n">
        <v>3</v>
      </c>
      <c r="E1246" s="175" t="inlineStr">
        <is>
          <t>1405/03/04</t>
        </is>
      </c>
      <c r="F1246" s="128" t="inlineStr">
        <is>
          <t>1405/03</t>
        </is>
      </c>
      <c r="G1246" s="58" t="inlineStr">
        <is>
          <t>خرداد</t>
        </is>
      </c>
      <c r="H1246" s="128" t="inlineStr">
        <is>
          <t>بهار</t>
        </is>
      </c>
      <c r="I1246" s="128" t="inlineStr">
        <is>
          <t>دوشنبه</t>
        </is>
      </c>
      <c r="J1246" s="128" t="inlineStr">
        <is>
          <t>بله</t>
        </is>
      </c>
    </row>
    <row r="1247">
      <c r="A1247" s="176" t="n">
        <v>46168</v>
      </c>
      <c r="B1247" s="177" t="n">
        <v>46168</v>
      </c>
      <c r="C1247" s="177" t="n">
        <v>1405</v>
      </c>
      <c r="D1247" s="177" t="n">
        <v>3</v>
      </c>
      <c r="E1247" s="178" t="inlineStr">
        <is>
          <t>1405/03/05</t>
        </is>
      </c>
      <c r="F1247" s="134" t="inlineStr">
        <is>
          <t>1405/03</t>
        </is>
      </c>
      <c r="G1247" s="61" t="inlineStr">
        <is>
          <t>خرداد</t>
        </is>
      </c>
      <c r="H1247" s="134" t="inlineStr">
        <is>
          <t>بهار</t>
        </is>
      </c>
      <c r="I1247" s="134" t="inlineStr">
        <is>
          <t>سه‌شنبه</t>
        </is>
      </c>
      <c r="J1247" s="134" t="inlineStr">
        <is>
          <t>بله</t>
        </is>
      </c>
    </row>
    <row r="1248">
      <c r="A1248" s="173" t="n">
        <v>46169</v>
      </c>
      <c r="B1248" s="174" t="n">
        <v>46169</v>
      </c>
      <c r="C1248" s="174" t="n">
        <v>1405</v>
      </c>
      <c r="D1248" s="174" t="n">
        <v>3</v>
      </c>
      <c r="E1248" s="175" t="inlineStr">
        <is>
          <t>1405/03/06</t>
        </is>
      </c>
      <c r="F1248" s="128" t="inlineStr">
        <is>
          <t>1405/03</t>
        </is>
      </c>
      <c r="G1248" s="58" t="inlineStr">
        <is>
          <t>خرداد</t>
        </is>
      </c>
      <c r="H1248" s="128" t="inlineStr">
        <is>
          <t>بهار</t>
        </is>
      </c>
      <c r="I1248" s="128" t="inlineStr">
        <is>
          <t>چهارشنبه</t>
        </is>
      </c>
      <c r="J1248" s="128" t="inlineStr">
        <is>
          <t>بله</t>
        </is>
      </c>
    </row>
    <row r="1249">
      <c r="A1249" s="176" t="n">
        <v>46170</v>
      </c>
      <c r="B1249" s="177" t="n">
        <v>46170</v>
      </c>
      <c r="C1249" s="177" t="n">
        <v>1405</v>
      </c>
      <c r="D1249" s="177" t="n">
        <v>3</v>
      </c>
      <c r="E1249" s="178" t="inlineStr">
        <is>
          <t>1405/03/07</t>
        </is>
      </c>
      <c r="F1249" s="134" t="inlineStr">
        <is>
          <t>1405/03</t>
        </is>
      </c>
      <c r="G1249" s="61" t="inlineStr">
        <is>
          <t>خرداد</t>
        </is>
      </c>
      <c r="H1249" s="134" t="inlineStr">
        <is>
          <t>بهار</t>
        </is>
      </c>
      <c r="I1249" s="134" t="inlineStr">
        <is>
          <t>پنجشنبه</t>
        </is>
      </c>
      <c r="J1249" s="134" t="inlineStr">
        <is>
          <t>بله</t>
        </is>
      </c>
    </row>
    <row r="1250">
      <c r="A1250" s="173" t="n">
        <v>46171</v>
      </c>
      <c r="B1250" s="174" t="n">
        <v>46171</v>
      </c>
      <c r="C1250" s="174" t="n">
        <v>1405</v>
      </c>
      <c r="D1250" s="174" t="n">
        <v>3</v>
      </c>
      <c r="E1250" s="175" t="inlineStr">
        <is>
          <t>1405/03/08</t>
        </is>
      </c>
      <c r="F1250" s="128" t="inlineStr">
        <is>
          <t>1405/03</t>
        </is>
      </c>
      <c r="G1250" s="58" t="inlineStr">
        <is>
          <t>خرداد</t>
        </is>
      </c>
      <c r="H1250" s="128" t="inlineStr">
        <is>
          <t>بهار</t>
        </is>
      </c>
      <c r="I1250" s="128" t="inlineStr">
        <is>
          <t>جمعه</t>
        </is>
      </c>
      <c r="J1250" s="128" t="inlineStr">
        <is>
          <t>بله</t>
        </is>
      </c>
    </row>
    <row r="1251">
      <c r="A1251" s="176" t="n">
        <v>46172</v>
      </c>
      <c r="B1251" s="177" t="n">
        <v>46172</v>
      </c>
      <c r="C1251" s="177" t="n">
        <v>1405</v>
      </c>
      <c r="D1251" s="177" t="n">
        <v>3</v>
      </c>
      <c r="E1251" s="178" t="inlineStr">
        <is>
          <t>1405/03/09</t>
        </is>
      </c>
      <c r="F1251" s="134" t="inlineStr">
        <is>
          <t>1405/03</t>
        </is>
      </c>
      <c r="G1251" s="61" t="inlineStr">
        <is>
          <t>خرداد</t>
        </is>
      </c>
      <c r="H1251" s="134" t="inlineStr">
        <is>
          <t>بهار</t>
        </is>
      </c>
      <c r="I1251" s="134" t="inlineStr">
        <is>
          <t>شنبه</t>
        </is>
      </c>
      <c r="J1251" s="134" t="inlineStr">
        <is>
          <t>خیر</t>
        </is>
      </c>
    </row>
    <row r="1252">
      <c r="A1252" s="173" t="n">
        <v>46173</v>
      </c>
      <c r="B1252" s="174" t="n">
        <v>46173</v>
      </c>
      <c r="C1252" s="174" t="n">
        <v>1405</v>
      </c>
      <c r="D1252" s="174" t="n">
        <v>3</v>
      </c>
      <c r="E1252" s="175" t="inlineStr">
        <is>
          <t>1405/03/10</t>
        </is>
      </c>
      <c r="F1252" s="128" t="inlineStr">
        <is>
          <t>1405/03</t>
        </is>
      </c>
      <c r="G1252" s="58" t="inlineStr">
        <is>
          <t>خرداد</t>
        </is>
      </c>
      <c r="H1252" s="128" t="inlineStr">
        <is>
          <t>بهار</t>
        </is>
      </c>
      <c r="I1252" s="128" t="inlineStr">
        <is>
          <t>یکشنبه</t>
        </is>
      </c>
      <c r="J1252" s="128" t="inlineStr">
        <is>
          <t>خیر</t>
        </is>
      </c>
    </row>
    <row r="1253">
      <c r="A1253" s="176" t="n">
        <v>46174</v>
      </c>
      <c r="B1253" s="177" t="n">
        <v>46174</v>
      </c>
      <c r="C1253" s="177" t="n">
        <v>1405</v>
      </c>
      <c r="D1253" s="177" t="n">
        <v>3</v>
      </c>
      <c r="E1253" s="178" t="inlineStr">
        <is>
          <t>1405/03/11</t>
        </is>
      </c>
      <c r="F1253" s="134" t="inlineStr">
        <is>
          <t>1405/03</t>
        </is>
      </c>
      <c r="G1253" s="61" t="inlineStr">
        <is>
          <t>خرداد</t>
        </is>
      </c>
      <c r="H1253" s="134" t="inlineStr">
        <is>
          <t>بهار</t>
        </is>
      </c>
      <c r="I1253" s="134" t="inlineStr">
        <is>
          <t>دوشنبه</t>
        </is>
      </c>
      <c r="J1253" s="134" t="inlineStr">
        <is>
          <t>بله</t>
        </is>
      </c>
    </row>
    <row r="1254">
      <c r="A1254" s="173" t="n">
        <v>46175</v>
      </c>
      <c r="B1254" s="174" t="n">
        <v>46175</v>
      </c>
      <c r="C1254" s="174" t="n">
        <v>1405</v>
      </c>
      <c r="D1254" s="174" t="n">
        <v>3</v>
      </c>
      <c r="E1254" s="175" t="inlineStr">
        <is>
          <t>1405/03/12</t>
        </is>
      </c>
      <c r="F1254" s="128" t="inlineStr">
        <is>
          <t>1405/03</t>
        </is>
      </c>
      <c r="G1254" s="58" t="inlineStr">
        <is>
          <t>خرداد</t>
        </is>
      </c>
      <c r="H1254" s="128" t="inlineStr">
        <is>
          <t>بهار</t>
        </is>
      </c>
      <c r="I1254" s="128" t="inlineStr">
        <is>
          <t>سه‌شنبه</t>
        </is>
      </c>
      <c r="J1254" s="128" t="inlineStr">
        <is>
          <t>بله</t>
        </is>
      </c>
    </row>
    <row r="1255">
      <c r="A1255" s="176" t="n">
        <v>46176</v>
      </c>
      <c r="B1255" s="177" t="n">
        <v>46176</v>
      </c>
      <c r="C1255" s="177" t="n">
        <v>1405</v>
      </c>
      <c r="D1255" s="177" t="n">
        <v>3</v>
      </c>
      <c r="E1255" s="178" t="inlineStr">
        <is>
          <t>1405/03/13</t>
        </is>
      </c>
      <c r="F1255" s="134" t="inlineStr">
        <is>
          <t>1405/03</t>
        </is>
      </c>
      <c r="G1255" s="61" t="inlineStr">
        <is>
          <t>خرداد</t>
        </is>
      </c>
      <c r="H1255" s="134" t="inlineStr">
        <is>
          <t>بهار</t>
        </is>
      </c>
      <c r="I1255" s="134" t="inlineStr">
        <is>
          <t>چهارشنبه</t>
        </is>
      </c>
      <c r="J1255" s="134" t="inlineStr">
        <is>
          <t>بله</t>
        </is>
      </c>
    </row>
    <row r="1256">
      <c r="A1256" s="173" t="n">
        <v>46177</v>
      </c>
      <c r="B1256" s="174" t="n">
        <v>46177</v>
      </c>
      <c r="C1256" s="174" t="n">
        <v>1405</v>
      </c>
      <c r="D1256" s="174" t="n">
        <v>3</v>
      </c>
      <c r="E1256" s="175" t="inlineStr">
        <is>
          <t>1405/03/14</t>
        </is>
      </c>
      <c r="F1256" s="128" t="inlineStr">
        <is>
          <t>1405/03</t>
        </is>
      </c>
      <c r="G1256" s="58" t="inlineStr">
        <is>
          <t>خرداد</t>
        </is>
      </c>
      <c r="H1256" s="128" t="inlineStr">
        <is>
          <t>بهار</t>
        </is>
      </c>
      <c r="I1256" s="128" t="inlineStr">
        <is>
          <t>پنجشنبه</t>
        </is>
      </c>
      <c r="J1256" s="128" t="inlineStr">
        <is>
          <t>بله</t>
        </is>
      </c>
    </row>
    <row r="1257">
      <c r="A1257" s="176" t="n">
        <v>46178</v>
      </c>
      <c r="B1257" s="177" t="n">
        <v>46178</v>
      </c>
      <c r="C1257" s="177" t="n">
        <v>1405</v>
      </c>
      <c r="D1257" s="177" t="n">
        <v>3</v>
      </c>
      <c r="E1257" s="178" t="inlineStr">
        <is>
          <t>1405/03/15</t>
        </is>
      </c>
      <c r="F1257" s="134" t="inlineStr">
        <is>
          <t>1405/03</t>
        </is>
      </c>
      <c r="G1257" s="61" t="inlineStr">
        <is>
          <t>خرداد</t>
        </is>
      </c>
      <c r="H1257" s="134" t="inlineStr">
        <is>
          <t>بهار</t>
        </is>
      </c>
      <c r="I1257" s="134" t="inlineStr">
        <is>
          <t>جمعه</t>
        </is>
      </c>
      <c r="J1257" s="134" t="inlineStr">
        <is>
          <t>بله</t>
        </is>
      </c>
    </row>
    <row r="1258">
      <c r="A1258" s="173" t="n">
        <v>46179</v>
      </c>
      <c r="B1258" s="174" t="n">
        <v>46179</v>
      </c>
      <c r="C1258" s="174" t="n">
        <v>1405</v>
      </c>
      <c r="D1258" s="174" t="n">
        <v>3</v>
      </c>
      <c r="E1258" s="175" t="inlineStr">
        <is>
          <t>1405/03/16</t>
        </is>
      </c>
      <c r="F1258" s="128" t="inlineStr">
        <is>
          <t>1405/03</t>
        </is>
      </c>
      <c r="G1258" s="58" t="inlineStr">
        <is>
          <t>خرداد</t>
        </is>
      </c>
      <c r="H1258" s="128" t="inlineStr">
        <is>
          <t>بهار</t>
        </is>
      </c>
      <c r="I1258" s="128" t="inlineStr">
        <is>
          <t>شنبه</t>
        </is>
      </c>
      <c r="J1258" s="128" t="inlineStr">
        <is>
          <t>خیر</t>
        </is>
      </c>
    </row>
    <row r="1259">
      <c r="A1259" s="176" t="n">
        <v>46180</v>
      </c>
      <c r="B1259" s="177" t="n">
        <v>46180</v>
      </c>
      <c r="C1259" s="177" t="n">
        <v>1405</v>
      </c>
      <c r="D1259" s="177" t="n">
        <v>3</v>
      </c>
      <c r="E1259" s="178" t="inlineStr">
        <is>
          <t>1405/03/17</t>
        </is>
      </c>
      <c r="F1259" s="134" t="inlineStr">
        <is>
          <t>1405/03</t>
        </is>
      </c>
      <c r="G1259" s="61" t="inlineStr">
        <is>
          <t>خرداد</t>
        </is>
      </c>
      <c r="H1259" s="134" t="inlineStr">
        <is>
          <t>بهار</t>
        </is>
      </c>
      <c r="I1259" s="134" t="inlineStr">
        <is>
          <t>یکشنبه</t>
        </is>
      </c>
      <c r="J1259" s="134" t="inlineStr">
        <is>
          <t>خیر</t>
        </is>
      </c>
    </row>
    <row r="1260">
      <c r="A1260" s="173" t="n">
        <v>46181</v>
      </c>
      <c r="B1260" s="174" t="n">
        <v>46181</v>
      </c>
      <c r="C1260" s="174" t="n">
        <v>1405</v>
      </c>
      <c r="D1260" s="174" t="n">
        <v>3</v>
      </c>
      <c r="E1260" s="175" t="inlineStr">
        <is>
          <t>1405/03/18</t>
        </is>
      </c>
      <c r="F1260" s="128" t="inlineStr">
        <is>
          <t>1405/03</t>
        </is>
      </c>
      <c r="G1260" s="58" t="inlineStr">
        <is>
          <t>خرداد</t>
        </is>
      </c>
      <c r="H1260" s="128" t="inlineStr">
        <is>
          <t>بهار</t>
        </is>
      </c>
      <c r="I1260" s="128" t="inlineStr">
        <is>
          <t>دوشنبه</t>
        </is>
      </c>
      <c r="J1260" s="128" t="inlineStr">
        <is>
          <t>بله</t>
        </is>
      </c>
    </row>
    <row r="1261">
      <c r="A1261" s="176" t="n">
        <v>46182</v>
      </c>
      <c r="B1261" s="177" t="n">
        <v>46182</v>
      </c>
      <c r="C1261" s="177" t="n">
        <v>1405</v>
      </c>
      <c r="D1261" s="177" t="n">
        <v>3</v>
      </c>
      <c r="E1261" s="178" t="inlineStr">
        <is>
          <t>1405/03/19</t>
        </is>
      </c>
      <c r="F1261" s="134" t="inlineStr">
        <is>
          <t>1405/03</t>
        </is>
      </c>
      <c r="G1261" s="61" t="inlineStr">
        <is>
          <t>خرداد</t>
        </is>
      </c>
      <c r="H1261" s="134" t="inlineStr">
        <is>
          <t>بهار</t>
        </is>
      </c>
      <c r="I1261" s="134" t="inlineStr">
        <is>
          <t>سه‌شنبه</t>
        </is>
      </c>
      <c r="J1261" s="134" t="inlineStr">
        <is>
          <t>بله</t>
        </is>
      </c>
    </row>
    <row r="1262">
      <c r="A1262" s="173" t="n">
        <v>46183</v>
      </c>
      <c r="B1262" s="174" t="n">
        <v>46183</v>
      </c>
      <c r="C1262" s="174" t="n">
        <v>1405</v>
      </c>
      <c r="D1262" s="174" t="n">
        <v>3</v>
      </c>
      <c r="E1262" s="175" t="inlineStr">
        <is>
          <t>1405/03/20</t>
        </is>
      </c>
      <c r="F1262" s="128" t="inlineStr">
        <is>
          <t>1405/03</t>
        </is>
      </c>
      <c r="G1262" s="58" t="inlineStr">
        <is>
          <t>خرداد</t>
        </is>
      </c>
      <c r="H1262" s="128" t="inlineStr">
        <is>
          <t>بهار</t>
        </is>
      </c>
      <c r="I1262" s="128" t="inlineStr">
        <is>
          <t>چهارشنبه</t>
        </is>
      </c>
      <c r="J1262" s="128" t="inlineStr">
        <is>
          <t>بله</t>
        </is>
      </c>
    </row>
    <row r="1263">
      <c r="A1263" s="176" t="n">
        <v>46184</v>
      </c>
      <c r="B1263" s="177" t="n">
        <v>46184</v>
      </c>
      <c r="C1263" s="177" t="n">
        <v>1405</v>
      </c>
      <c r="D1263" s="177" t="n">
        <v>3</v>
      </c>
      <c r="E1263" s="178" t="inlineStr">
        <is>
          <t>1405/03/21</t>
        </is>
      </c>
      <c r="F1263" s="134" t="inlineStr">
        <is>
          <t>1405/03</t>
        </is>
      </c>
      <c r="G1263" s="61" t="inlineStr">
        <is>
          <t>خرداد</t>
        </is>
      </c>
      <c r="H1263" s="134" t="inlineStr">
        <is>
          <t>بهار</t>
        </is>
      </c>
      <c r="I1263" s="134" t="inlineStr">
        <is>
          <t>پنجشنبه</t>
        </is>
      </c>
      <c r="J1263" s="134" t="inlineStr">
        <is>
          <t>بله</t>
        </is>
      </c>
    </row>
    <row r="1264">
      <c r="A1264" s="173" t="n">
        <v>46185</v>
      </c>
      <c r="B1264" s="174" t="n">
        <v>46185</v>
      </c>
      <c r="C1264" s="174" t="n">
        <v>1405</v>
      </c>
      <c r="D1264" s="174" t="n">
        <v>3</v>
      </c>
      <c r="E1264" s="175" t="inlineStr">
        <is>
          <t>1405/03/22</t>
        </is>
      </c>
      <c r="F1264" s="128" t="inlineStr">
        <is>
          <t>1405/03</t>
        </is>
      </c>
      <c r="G1264" s="58" t="inlineStr">
        <is>
          <t>خرداد</t>
        </is>
      </c>
      <c r="H1264" s="128" t="inlineStr">
        <is>
          <t>بهار</t>
        </is>
      </c>
      <c r="I1264" s="128" t="inlineStr">
        <is>
          <t>جمعه</t>
        </is>
      </c>
      <c r="J1264" s="128" t="inlineStr">
        <is>
          <t>بله</t>
        </is>
      </c>
    </row>
    <row r="1265">
      <c r="A1265" s="176" t="n">
        <v>46186</v>
      </c>
      <c r="B1265" s="177" t="n">
        <v>46186</v>
      </c>
      <c r="C1265" s="177" t="n">
        <v>1405</v>
      </c>
      <c r="D1265" s="177" t="n">
        <v>3</v>
      </c>
      <c r="E1265" s="178" t="inlineStr">
        <is>
          <t>1405/03/23</t>
        </is>
      </c>
      <c r="F1265" s="134" t="inlineStr">
        <is>
          <t>1405/03</t>
        </is>
      </c>
      <c r="G1265" s="61" t="inlineStr">
        <is>
          <t>خرداد</t>
        </is>
      </c>
      <c r="H1265" s="134" t="inlineStr">
        <is>
          <t>بهار</t>
        </is>
      </c>
      <c r="I1265" s="134" t="inlineStr">
        <is>
          <t>شنبه</t>
        </is>
      </c>
      <c r="J1265" s="134" t="inlineStr">
        <is>
          <t>خیر</t>
        </is>
      </c>
    </row>
    <row r="1266">
      <c r="A1266" s="173" t="n">
        <v>46187</v>
      </c>
      <c r="B1266" s="174" t="n">
        <v>46187</v>
      </c>
      <c r="C1266" s="174" t="n">
        <v>1405</v>
      </c>
      <c r="D1266" s="174" t="n">
        <v>3</v>
      </c>
      <c r="E1266" s="175" t="inlineStr">
        <is>
          <t>1405/03/24</t>
        </is>
      </c>
      <c r="F1266" s="128" t="inlineStr">
        <is>
          <t>1405/03</t>
        </is>
      </c>
      <c r="G1266" s="58" t="inlineStr">
        <is>
          <t>خرداد</t>
        </is>
      </c>
      <c r="H1266" s="128" t="inlineStr">
        <is>
          <t>بهار</t>
        </is>
      </c>
      <c r="I1266" s="128" t="inlineStr">
        <is>
          <t>یکشنبه</t>
        </is>
      </c>
      <c r="J1266" s="128" t="inlineStr">
        <is>
          <t>خیر</t>
        </is>
      </c>
    </row>
    <row r="1267">
      <c r="A1267" s="176" t="n">
        <v>46188</v>
      </c>
      <c r="B1267" s="177" t="n">
        <v>46188</v>
      </c>
      <c r="C1267" s="177" t="n">
        <v>1405</v>
      </c>
      <c r="D1267" s="177" t="n">
        <v>3</v>
      </c>
      <c r="E1267" s="178" t="inlineStr">
        <is>
          <t>1405/03/25</t>
        </is>
      </c>
      <c r="F1267" s="134" t="inlineStr">
        <is>
          <t>1405/03</t>
        </is>
      </c>
      <c r="G1267" s="61" t="inlineStr">
        <is>
          <t>خرداد</t>
        </is>
      </c>
      <c r="H1267" s="134" t="inlineStr">
        <is>
          <t>بهار</t>
        </is>
      </c>
      <c r="I1267" s="134" t="inlineStr">
        <is>
          <t>دوشنبه</t>
        </is>
      </c>
      <c r="J1267" s="134" t="inlineStr">
        <is>
          <t>بله</t>
        </is>
      </c>
    </row>
    <row r="1268">
      <c r="A1268" s="173" t="n">
        <v>46189</v>
      </c>
      <c r="B1268" s="174" t="n">
        <v>46189</v>
      </c>
      <c r="C1268" s="174" t="n">
        <v>1405</v>
      </c>
      <c r="D1268" s="174" t="n">
        <v>3</v>
      </c>
      <c r="E1268" s="175" t="inlineStr">
        <is>
          <t>1405/03/26</t>
        </is>
      </c>
      <c r="F1268" s="128" t="inlineStr">
        <is>
          <t>1405/03</t>
        </is>
      </c>
      <c r="G1268" s="58" t="inlineStr">
        <is>
          <t>خرداد</t>
        </is>
      </c>
      <c r="H1268" s="128" t="inlineStr">
        <is>
          <t>بهار</t>
        </is>
      </c>
      <c r="I1268" s="128" t="inlineStr">
        <is>
          <t>سه‌شنبه</t>
        </is>
      </c>
      <c r="J1268" s="128" t="inlineStr">
        <is>
          <t>بله</t>
        </is>
      </c>
    </row>
    <row r="1269">
      <c r="A1269" s="176" t="n">
        <v>46190</v>
      </c>
      <c r="B1269" s="177" t="n">
        <v>46190</v>
      </c>
      <c r="C1269" s="177" t="n">
        <v>1405</v>
      </c>
      <c r="D1269" s="177" t="n">
        <v>3</v>
      </c>
      <c r="E1269" s="178" t="inlineStr">
        <is>
          <t>1405/03/27</t>
        </is>
      </c>
      <c r="F1269" s="134" t="inlineStr">
        <is>
          <t>1405/03</t>
        </is>
      </c>
      <c r="G1269" s="61" t="inlineStr">
        <is>
          <t>خرداد</t>
        </is>
      </c>
      <c r="H1269" s="134" t="inlineStr">
        <is>
          <t>بهار</t>
        </is>
      </c>
      <c r="I1269" s="134" t="inlineStr">
        <is>
          <t>چهارشنبه</t>
        </is>
      </c>
      <c r="J1269" s="134" t="inlineStr">
        <is>
          <t>بله</t>
        </is>
      </c>
    </row>
    <row r="1270">
      <c r="A1270" s="173" t="n">
        <v>46191</v>
      </c>
      <c r="B1270" s="174" t="n">
        <v>46191</v>
      </c>
      <c r="C1270" s="174" t="n">
        <v>1405</v>
      </c>
      <c r="D1270" s="174" t="n">
        <v>3</v>
      </c>
      <c r="E1270" s="175" t="inlineStr">
        <is>
          <t>1405/03/28</t>
        </is>
      </c>
      <c r="F1270" s="128" t="inlineStr">
        <is>
          <t>1405/03</t>
        </is>
      </c>
      <c r="G1270" s="58" t="inlineStr">
        <is>
          <t>خرداد</t>
        </is>
      </c>
      <c r="H1270" s="128" t="inlineStr">
        <is>
          <t>بهار</t>
        </is>
      </c>
      <c r="I1270" s="128" t="inlineStr">
        <is>
          <t>پنجشنبه</t>
        </is>
      </c>
      <c r="J1270" s="128" t="inlineStr">
        <is>
          <t>بله</t>
        </is>
      </c>
    </row>
    <row r="1271">
      <c r="A1271" s="176" t="n">
        <v>46192</v>
      </c>
      <c r="B1271" s="177" t="n">
        <v>46192</v>
      </c>
      <c r="C1271" s="177" t="n">
        <v>1405</v>
      </c>
      <c r="D1271" s="177" t="n">
        <v>3</v>
      </c>
      <c r="E1271" s="178" t="inlineStr">
        <is>
          <t>1405/03/29</t>
        </is>
      </c>
      <c r="F1271" s="134" t="inlineStr">
        <is>
          <t>1405/03</t>
        </is>
      </c>
      <c r="G1271" s="61" t="inlineStr">
        <is>
          <t>خرداد</t>
        </is>
      </c>
      <c r="H1271" s="134" t="inlineStr">
        <is>
          <t>بهار</t>
        </is>
      </c>
      <c r="I1271" s="134" t="inlineStr">
        <is>
          <t>جمعه</t>
        </is>
      </c>
      <c r="J1271" s="134" t="inlineStr">
        <is>
          <t>بله</t>
        </is>
      </c>
    </row>
    <row r="1272">
      <c r="A1272" s="173" t="n">
        <v>46193</v>
      </c>
      <c r="B1272" s="174" t="n">
        <v>46193</v>
      </c>
      <c r="C1272" s="174" t="n">
        <v>1405</v>
      </c>
      <c r="D1272" s="174" t="n">
        <v>3</v>
      </c>
      <c r="E1272" s="175" t="inlineStr">
        <is>
          <t>1405/03/30</t>
        </is>
      </c>
      <c r="F1272" s="128" t="inlineStr">
        <is>
          <t>1405/03</t>
        </is>
      </c>
      <c r="G1272" s="58" t="inlineStr">
        <is>
          <t>خرداد</t>
        </is>
      </c>
      <c r="H1272" s="128" t="inlineStr">
        <is>
          <t>بهار</t>
        </is>
      </c>
      <c r="I1272" s="128" t="inlineStr">
        <is>
          <t>شنبه</t>
        </is>
      </c>
      <c r="J1272" s="128" t="inlineStr">
        <is>
          <t>خیر</t>
        </is>
      </c>
    </row>
    <row r="1273">
      <c r="A1273" s="176" t="n">
        <v>46194</v>
      </c>
      <c r="B1273" s="177" t="n">
        <v>46194</v>
      </c>
      <c r="C1273" s="177" t="n">
        <v>1405</v>
      </c>
      <c r="D1273" s="177" t="n">
        <v>3</v>
      </c>
      <c r="E1273" s="178" t="inlineStr">
        <is>
          <t>1405/03/31</t>
        </is>
      </c>
      <c r="F1273" s="134" t="inlineStr">
        <is>
          <t>1405/03</t>
        </is>
      </c>
      <c r="G1273" s="61" t="inlineStr">
        <is>
          <t>خرداد</t>
        </is>
      </c>
      <c r="H1273" s="134" t="inlineStr">
        <is>
          <t>بهار</t>
        </is>
      </c>
      <c r="I1273" s="134" t="inlineStr">
        <is>
          <t>یکشنبه</t>
        </is>
      </c>
      <c r="J1273" s="134" t="inlineStr">
        <is>
          <t>خیر</t>
        </is>
      </c>
    </row>
    <row r="1274">
      <c r="A1274" s="173" t="n">
        <v>46195</v>
      </c>
      <c r="B1274" s="174" t="n">
        <v>46195</v>
      </c>
      <c r="C1274" s="174" t="n">
        <v>1405</v>
      </c>
      <c r="D1274" s="174" t="n">
        <v>4</v>
      </c>
      <c r="E1274" s="175" t="inlineStr">
        <is>
          <t>1405/04/01</t>
        </is>
      </c>
      <c r="F1274" s="128" t="inlineStr">
        <is>
          <t>1405/04</t>
        </is>
      </c>
      <c r="G1274" s="58" t="inlineStr">
        <is>
          <t>تیر</t>
        </is>
      </c>
      <c r="H1274" s="128" t="inlineStr">
        <is>
          <t>تابستان</t>
        </is>
      </c>
      <c r="I1274" s="128" t="inlineStr">
        <is>
          <t>دوشنبه</t>
        </is>
      </c>
      <c r="J1274" s="128" t="inlineStr">
        <is>
          <t>بله</t>
        </is>
      </c>
    </row>
    <row r="1275">
      <c r="A1275" s="176" t="n">
        <v>46196</v>
      </c>
      <c r="B1275" s="177" t="n">
        <v>46196</v>
      </c>
      <c r="C1275" s="177" t="n">
        <v>1405</v>
      </c>
      <c r="D1275" s="177" t="n">
        <v>4</v>
      </c>
      <c r="E1275" s="178" t="inlineStr">
        <is>
          <t>1405/04/02</t>
        </is>
      </c>
      <c r="F1275" s="134" t="inlineStr">
        <is>
          <t>1405/04</t>
        </is>
      </c>
      <c r="G1275" s="61" t="inlineStr">
        <is>
          <t>تیر</t>
        </is>
      </c>
      <c r="H1275" s="134" t="inlineStr">
        <is>
          <t>تابستان</t>
        </is>
      </c>
      <c r="I1275" s="134" t="inlineStr">
        <is>
          <t>سه‌شنبه</t>
        </is>
      </c>
      <c r="J1275" s="134" t="inlineStr">
        <is>
          <t>بله</t>
        </is>
      </c>
    </row>
    <row r="1276">
      <c r="A1276" s="173" t="n">
        <v>46197</v>
      </c>
      <c r="B1276" s="174" t="n">
        <v>46197</v>
      </c>
      <c r="C1276" s="174" t="n">
        <v>1405</v>
      </c>
      <c r="D1276" s="174" t="n">
        <v>4</v>
      </c>
      <c r="E1276" s="175" t="inlineStr">
        <is>
          <t>1405/04/03</t>
        </is>
      </c>
      <c r="F1276" s="128" t="inlineStr">
        <is>
          <t>1405/04</t>
        </is>
      </c>
      <c r="G1276" s="58" t="inlineStr">
        <is>
          <t>تیر</t>
        </is>
      </c>
      <c r="H1276" s="128" t="inlineStr">
        <is>
          <t>تابستان</t>
        </is>
      </c>
      <c r="I1276" s="128" t="inlineStr">
        <is>
          <t>چهارشنبه</t>
        </is>
      </c>
      <c r="J1276" s="128" t="inlineStr">
        <is>
          <t>بله</t>
        </is>
      </c>
    </row>
    <row r="1277">
      <c r="A1277" s="176" t="n">
        <v>46198</v>
      </c>
      <c r="B1277" s="177" t="n">
        <v>46198</v>
      </c>
      <c r="C1277" s="177" t="n">
        <v>1405</v>
      </c>
      <c r="D1277" s="177" t="n">
        <v>4</v>
      </c>
      <c r="E1277" s="178" t="inlineStr">
        <is>
          <t>1405/04/04</t>
        </is>
      </c>
      <c r="F1277" s="134" t="inlineStr">
        <is>
          <t>1405/04</t>
        </is>
      </c>
      <c r="G1277" s="61" t="inlineStr">
        <is>
          <t>تیر</t>
        </is>
      </c>
      <c r="H1277" s="134" t="inlineStr">
        <is>
          <t>تابستان</t>
        </is>
      </c>
      <c r="I1277" s="134" t="inlineStr">
        <is>
          <t>پنجشنبه</t>
        </is>
      </c>
      <c r="J1277" s="134" t="inlineStr">
        <is>
          <t>بله</t>
        </is>
      </c>
    </row>
    <row r="1278">
      <c r="A1278" s="173" t="n">
        <v>46199</v>
      </c>
      <c r="B1278" s="174" t="n">
        <v>46199</v>
      </c>
      <c r="C1278" s="174" t="n">
        <v>1405</v>
      </c>
      <c r="D1278" s="174" t="n">
        <v>4</v>
      </c>
      <c r="E1278" s="175" t="inlineStr">
        <is>
          <t>1405/04/05</t>
        </is>
      </c>
      <c r="F1278" s="128" t="inlineStr">
        <is>
          <t>1405/04</t>
        </is>
      </c>
      <c r="G1278" s="58" t="inlineStr">
        <is>
          <t>تیر</t>
        </is>
      </c>
      <c r="H1278" s="128" t="inlineStr">
        <is>
          <t>تابستان</t>
        </is>
      </c>
      <c r="I1278" s="128" t="inlineStr">
        <is>
          <t>جمعه</t>
        </is>
      </c>
      <c r="J1278" s="128" t="inlineStr">
        <is>
          <t>بله</t>
        </is>
      </c>
    </row>
    <row r="1279">
      <c r="A1279" s="176" t="n">
        <v>46200</v>
      </c>
      <c r="B1279" s="177" t="n">
        <v>46200</v>
      </c>
      <c r="C1279" s="177" t="n">
        <v>1405</v>
      </c>
      <c r="D1279" s="177" t="n">
        <v>4</v>
      </c>
      <c r="E1279" s="178" t="inlineStr">
        <is>
          <t>1405/04/06</t>
        </is>
      </c>
      <c r="F1279" s="134" t="inlineStr">
        <is>
          <t>1405/04</t>
        </is>
      </c>
      <c r="G1279" s="61" t="inlineStr">
        <is>
          <t>تیر</t>
        </is>
      </c>
      <c r="H1279" s="134" t="inlineStr">
        <is>
          <t>تابستان</t>
        </is>
      </c>
      <c r="I1279" s="134" t="inlineStr">
        <is>
          <t>شنبه</t>
        </is>
      </c>
      <c r="J1279" s="134" t="inlineStr">
        <is>
          <t>خیر</t>
        </is>
      </c>
    </row>
    <row r="1280">
      <c r="A1280" s="173" t="n">
        <v>46201</v>
      </c>
      <c r="B1280" s="174" t="n">
        <v>46201</v>
      </c>
      <c r="C1280" s="174" t="n">
        <v>1405</v>
      </c>
      <c r="D1280" s="174" t="n">
        <v>4</v>
      </c>
      <c r="E1280" s="175" t="inlineStr">
        <is>
          <t>1405/04/07</t>
        </is>
      </c>
      <c r="F1280" s="128" t="inlineStr">
        <is>
          <t>1405/04</t>
        </is>
      </c>
      <c r="G1280" s="58" t="inlineStr">
        <is>
          <t>تیر</t>
        </is>
      </c>
      <c r="H1280" s="128" t="inlineStr">
        <is>
          <t>تابستان</t>
        </is>
      </c>
      <c r="I1280" s="128" t="inlineStr">
        <is>
          <t>یکشنبه</t>
        </is>
      </c>
      <c r="J1280" s="128" t="inlineStr">
        <is>
          <t>خیر</t>
        </is>
      </c>
    </row>
    <row r="1281">
      <c r="A1281" s="176" t="n">
        <v>46202</v>
      </c>
      <c r="B1281" s="177" t="n">
        <v>46202</v>
      </c>
      <c r="C1281" s="177" t="n">
        <v>1405</v>
      </c>
      <c r="D1281" s="177" t="n">
        <v>4</v>
      </c>
      <c r="E1281" s="178" t="inlineStr">
        <is>
          <t>1405/04/08</t>
        </is>
      </c>
      <c r="F1281" s="134" t="inlineStr">
        <is>
          <t>1405/04</t>
        </is>
      </c>
      <c r="G1281" s="61" t="inlineStr">
        <is>
          <t>تیر</t>
        </is>
      </c>
      <c r="H1281" s="134" t="inlineStr">
        <is>
          <t>تابستان</t>
        </is>
      </c>
      <c r="I1281" s="134" t="inlineStr">
        <is>
          <t>دوشنبه</t>
        </is>
      </c>
      <c r="J1281" s="134" t="inlineStr">
        <is>
          <t>بله</t>
        </is>
      </c>
    </row>
    <row r="1282">
      <c r="A1282" s="173" t="n">
        <v>46203</v>
      </c>
      <c r="B1282" s="174" t="n">
        <v>46203</v>
      </c>
      <c r="C1282" s="174" t="n">
        <v>1405</v>
      </c>
      <c r="D1282" s="174" t="n">
        <v>4</v>
      </c>
      <c r="E1282" s="175" t="inlineStr">
        <is>
          <t>1405/04/09</t>
        </is>
      </c>
      <c r="F1282" s="128" t="inlineStr">
        <is>
          <t>1405/04</t>
        </is>
      </c>
      <c r="G1282" s="58" t="inlineStr">
        <is>
          <t>تیر</t>
        </is>
      </c>
      <c r="H1282" s="128" t="inlineStr">
        <is>
          <t>تابستان</t>
        </is>
      </c>
      <c r="I1282" s="128" t="inlineStr">
        <is>
          <t>سه‌شنبه</t>
        </is>
      </c>
      <c r="J1282" s="128" t="inlineStr">
        <is>
          <t>بله</t>
        </is>
      </c>
    </row>
    <row r="1283">
      <c r="A1283" s="176" t="n">
        <v>46204</v>
      </c>
      <c r="B1283" s="177" t="n">
        <v>46204</v>
      </c>
      <c r="C1283" s="177" t="n">
        <v>1405</v>
      </c>
      <c r="D1283" s="177" t="n">
        <v>4</v>
      </c>
      <c r="E1283" s="178" t="inlineStr">
        <is>
          <t>1405/04/10</t>
        </is>
      </c>
      <c r="F1283" s="134" t="inlineStr">
        <is>
          <t>1405/04</t>
        </is>
      </c>
      <c r="G1283" s="61" t="inlineStr">
        <is>
          <t>تیر</t>
        </is>
      </c>
      <c r="H1283" s="134" t="inlineStr">
        <is>
          <t>تابستان</t>
        </is>
      </c>
      <c r="I1283" s="134" t="inlineStr">
        <is>
          <t>چهارشنبه</t>
        </is>
      </c>
      <c r="J1283" s="134" t="inlineStr">
        <is>
          <t>بله</t>
        </is>
      </c>
    </row>
    <row r="1284">
      <c r="A1284" s="173" t="n">
        <v>46205</v>
      </c>
      <c r="B1284" s="174" t="n">
        <v>46205</v>
      </c>
      <c r="C1284" s="174" t="n">
        <v>1405</v>
      </c>
      <c r="D1284" s="174" t="n">
        <v>4</v>
      </c>
      <c r="E1284" s="175" t="inlineStr">
        <is>
          <t>1405/04/11</t>
        </is>
      </c>
      <c r="F1284" s="128" t="inlineStr">
        <is>
          <t>1405/04</t>
        </is>
      </c>
      <c r="G1284" s="58" t="inlineStr">
        <is>
          <t>تیر</t>
        </is>
      </c>
      <c r="H1284" s="128" t="inlineStr">
        <is>
          <t>تابستان</t>
        </is>
      </c>
      <c r="I1284" s="128" t="inlineStr">
        <is>
          <t>پنجشنبه</t>
        </is>
      </c>
      <c r="J1284" s="128" t="inlineStr">
        <is>
          <t>بله</t>
        </is>
      </c>
    </row>
    <row r="1285">
      <c r="A1285" s="176" t="n">
        <v>46206</v>
      </c>
      <c r="B1285" s="177" t="n">
        <v>46206</v>
      </c>
      <c r="C1285" s="177" t="n">
        <v>1405</v>
      </c>
      <c r="D1285" s="177" t="n">
        <v>4</v>
      </c>
      <c r="E1285" s="178" t="inlineStr">
        <is>
          <t>1405/04/12</t>
        </is>
      </c>
      <c r="F1285" s="134" t="inlineStr">
        <is>
          <t>1405/04</t>
        </is>
      </c>
      <c r="G1285" s="61" t="inlineStr">
        <is>
          <t>تیر</t>
        </is>
      </c>
      <c r="H1285" s="134" t="inlineStr">
        <is>
          <t>تابستان</t>
        </is>
      </c>
      <c r="I1285" s="134" t="inlineStr">
        <is>
          <t>جمعه</t>
        </is>
      </c>
      <c r="J1285" s="134" t="inlineStr">
        <is>
          <t>بله</t>
        </is>
      </c>
    </row>
    <row r="1286">
      <c r="A1286" s="173" t="n">
        <v>46207</v>
      </c>
      <c r="B1286" s="174" t="n">
        <v>46207</v>
      </c>
      <c r="C1286" s="174" t="n">
        <v>1405</v>
      </c>
      <c r="D1286" s="174" t="n">
        <v>4</v>
      </c>
      <c r="E1286" s="175" t="inlineStr">
        <is>
          <t>1405/04/13</t>
        </is>
      </c>
      <c r="F1286" s="128" t="inlineStr">
        <is>
          <t>1405/04</t>
        </is>
      </c>
      <c r="G1286" s="58" t="inlineStr">
        <is>
          <t>تیر</t>
        </is>
      </c>
      <c r="H1286" s="128" t="inlineStr">
        <is>
          <t>تابستان</t>
        </is>
      </c>
      <c r="I1286" s="128" t="inlineStr">
        <is>
          <t>شنبه</t>
        </is>
      </c>
      <c r="J1286" s="128" t="inlineStr">
        <is>
          <t>خیر</t>
        </is>
      </c>
    </row>
    <row r="1287">
      <c r="A1287" s="176" t="n">
        <v>46208</v>
      </c>
      <c r="B1287" s="177" t="n">
        <v>46208</v>
      </c>
      <c r="C1287" s="177" t="n">
        <v>1405</v>
      </c>
      <c r="D1287" s="177" t="n">
        <v>4</v>
      </c>
      <c r="E1287" s="178" t="inlineStr">
        <is>
          <t>1405/04/14</t>
        </is>
      </c>
      <c r="F1287" s="134" t="inlineStr">
        <is>
          <t>1405/04</t>
        </is>
      </c>
      <c r="G1287" s="61" t="inlineStr">
        <is>
          <t>تیر</t>
        </is>
      </c>
      <c r="H1287" s="134" t="inlineStr">
        <is>
          <t>تابستان</t>
        </is>
      </c>
      <c r="I1287" s="134" t="inlineStr">
        <is>
          <t>یکشنبه</t>
        </is>
      </c>
      <c r="J1287" s="134" t="inlineStr">
        <is>
          <t>خیر</t>
        </is>
      </c>
    </row>
    <row r="1288">
      <c r="A1288" s="173" t="n">
        <v>46209</v>
      </c>
      <c r="B1288" s="174" t="n">
        <v>46209</v>
      </c>
      <c r="C1288" s="174" t="n">
        <v>1405</v>
      </c>
      <c r="D1288" s="174" t="n">
        <v>4</v>
      </c>
      <c r="E1288" s="175" t="inlineStr">
        <is>
          <t>1405/04/15</t>
        </is>
      </c>
      <c r="F1288" s="128" t="inlineStr">
        <is>
          <t>1405/04</t>
        </is>
      </c>
      <c r="G1288" s="58" t="inlineStr">
        <is>
          <t>تیر</t>
        </is>
      </c>
      <c r="H1288" s="128" t="inlineStr">
        <is>
          <t>تابستان</t>
        </is>
      </c>
      <c r="I1288" s="128" t="inlineStr">
        <is>
          <t>دوشنبه</t>
        </is>
      </c>
      <c r="J1288" s="128" t="inlineStr">
        <is>
          <t>بله</t>
        </is>
      </c>
    </row>
    <row r="1289">
      <c r="A1289" s="176" t="n">
        <v>46210</v>
      </c>
      <c r="B1289" s="177" t="n">
        <v>46210</v>
      </c>
      <c r="C1289" s="177" t="n">
        <v>1405</v>
      </c>
      <c r="D1289" s="177" t="n">
        <v>4</v>
      </c>
      <c r="E1289" s="178" t="inlineStr">
        <is>
          <t>1405/04/16</t>
        </is>
      </c>
      <c r="F1289" s="134" t="inlineStr">
        <is>
          <t>1405/04</t>
        </is>
      </c>
      <c r="G1289" s="61" t="inlineStr">
        <is>
          <t>تیر</t>
        </is>
      </c>
      <c r="H1289" s="134" t="inlineStr">
        <is>
          <t>تابستان</t>
        </is>
      </c>
      <c r="I1289" s="134" t="inlineStr">
        <is>
          <t>سه‌شنبه</t>
        </is>
      </c>
      <c r="J1289" s="134" t="inlineStr">
        <is>
          <t>بله</t>
        </is>
      </c>
    </row>
    <row r="1290">
      <c r="A1290" s="173" t="n">
        <v>46211</v>
      </c>
      <c r="B1290" s="174" t="n">
        <v>46211</v>
      </c>
      <c r="C1290" s="174" t="n">
        <v>1405</v>
      </c>
      <c r="D1290" s="174" t="n">
        <v>4</v>
      </c>
      <c r="E1290" s="175" t="inlineStr">
        <is>
          <t>1405/04/17</t>
        </is>
      </c>
      <c r="F1290" s="128" t="inlineStr">
        <is>
          <t>1405/04</t>
        </is>
      </c>
      <c r="G1290" s="58" t="inlineStr">
        <is>
          <t>تیر</t>
        </is>
      </c>
      <c r="H1290" s="128" t="inlineStr">
        <is>
          <t>تابستان</t>
        </is>
      </c>
      <c r="I1290" s="128" t="inlineStr">
        <is>
          <t>چهارشنبه</t>
        </is>
      </c>
      <c r="J1290" s="128" t="inlineStr">
        <is>
          <t>بله</t>
        </is>
      </c>
    </row>
    <row r="1291">
      <c r="A1291" s="176" t="n">
        <v>46212</v>
      </c>
      <c r="B1291" s="177" t="n">
        <v>46212</v>
      </c>
      <c r="C1291" s="177" t="n">
        <v>1405</v>
      </c>
      <c r="D1291" s="177" t="n">
        <v>4</v>
      </c>
      <c r="E1291" s="178" t="inlineStr">
        <is>
          <t>1405/04/18</t>
        </is>
      </c>
      <c r="F1291" s="134" t="inlineStr">
        <is>
          <t>1405/04</t>
        </is>
      </c>
      <c r="G1291" s="61" t="inlineStr">
        <is>
          <t>تیر</t>
        </is>
      </c>
      <c r="H1291" s="134" t="inlineStr">
        <is>
          <t>تابستان</t>
        </is>
      </c>
      <c r="I1291" s="134" t="inlineStr">
        <is>
          <t>پنجشنبه</t>
        </is>
      </c>
      <c r="J1291" s="134" t="inlineStr">
        <is>
          <t>بله</t>
        </is>
      </c>
    </row>
    <row r="1292">
      <c r="A1292" s="173" t="n">
        <v>46213</v>
      </c>
      <c r="B1292" s="174" t="n">
        <v>46213</v>
      </c>
      <c r="C1292" s="174" t="n">
        <v>1405</v>
      </c>
      <c r="D1292" s="174" t="n">
        <v>4</v>
      </c>
      <c r="E1292" s="175" t="inlineStr">
        <is>
          <t>1405/04/19</t>
        </is>
      </c>
      <c r="F1292" s="128" t="inlineStr">
        <is>
          <t>1405/04</t>
        </is>
      </c>
      <c r="G1292" s="58" t="inlineStr">
        <is>
          <t>تیر</t>
        </is>
      </c>
      <c r="H1292" s="128" t="inlineStr">
        <is>
          <t>تابستان</t>
        </is>
      </c>
      <c r="I1292" s="128" t="inlineStr">
        <is>
          <t>جمعه</t>
        </is>
      </c>
      <c r="J1292" s="128" t="inlineStr">
        <is>
          <t>بله</t>
        </is>
      </c>
    </row>
    <row r="1293">
      <c r="A1293" s="176" t="n">
        <v>46214</v>
      </c>
      <c r="B1293" s="177" t="n">
        <v>46214</v>
      </c>
      <c r="C1293" s="177" t="n">
        <v>1405</v>
      </c>
      <c r="D1293" s="177" t="n">
        <v>4</v>
      </c>
      <c r="E1293" s="178" t="inlineStr">
        <is>
          <t>1405/04/20</t>
        </is>
      </c>
      <c r="F1293" s="134" t="inlineStr">
        <is>
          <t>1405/04</t>
        </is>
      </c>
      <c r="G1293" s="61" t="inlineStr">
        <is>
          <t>تیر</t>
        </is>
      </c>
      <c r="H1293" s="134" t="inlineStr">
        <is>
          <t>تابستان</t>
        </is>
      </c>
      <c r="I1293" s="134" t="inlineStr">
        <is>
          <t>شنبه</t>
        </is>
      </c>
      <c r="J1293" s="134" t="inlineStr">
        <is>
          <t>خیر</t>
        </is>
      </c>
    </row>
    <row r="1294">
      <c r="A1294" s="173" t="n">
        <v>46215</v>
      </c>
      <c r="B1294" s="174" t="n">
        <v>46215</v>
      </c>
      <c r="C1294" s="174" t="n">
        <v>1405</v>
      </c>
      <c r="D1294" s="174" t="n">
        <v>4</v>
      </c>
      <c r="E1294" s="175" t="inlineStr">
        <is>
          <t>1405/04/21</t>
        </is>
      </c>
      <c r="F1294" s="128" t="inlineStr">
        <is>
          <t>1405/04</t>
        </is>
      </c>
      <c r="G1294" s="58" t="inlineStr">
        <is>
          <t>تیر</t>
        </is>
      </c>
      <c r="H1294" s="128" t="inlineStr">
        <is>
          <t>تابستان</t>
        </is>
      </c>
      <c r="I1294" s="128" t="inlineStr">
        <is>
          <t>یکشنبه</t>
        </is>
      </c>
      <c r="J1294" s="128" t="inlineStr">
        <is>
          <t>خیر</t>
        </is>
      </c>
    </row>
    <row r="1295">
      <c r="A1295" s="176" t="n">
        <v>46216</v>
      </c>
      <c r="B1295" s="177" t="n">
        <v>46216</v>
      </c>
      <c r="C1295" s="177" t="n">
        <v>1405</v>
      </c>
      <c r="D1295" s="177" t="n">
        <v>4</v>
      </c>
      <c r="E1295" s="178" t="inlineStr">
        <is>
          <t>1405/04/22</t>
        </is>
      </c>
      <c r="F1295" s="134" t="inlineStr">
        <is>
          <t>1405/04</t>
        </is>
      </c>
      <c r="G1295" s="61" t="inlineStr">
        <is>
          <t>تیر</t>
        </is>
      </c>
      <c r="H1295" s="134" t="inlineStr">
        <is>
          <t>تابستان</t>
        </is>
      </c>
      <c r="I1295" s="134" t="inlineStr">
        <is>
          <t>دوشنبه</t>
        </is>
      </c>
      <c r="J1295" s="134" t="inlineStr">
        <is>
          <t>بله</t>
        </is>
      </c>
    </row>
    <row r="1296">
      <c r="A1296" s="173" t="n">
        <v>46217</v>
      </c>
      <c r="B1296" s="174" t="n">
        <v>46217</v>
      </c>
      <c r="C1296" s="174" t="n">
        <v>1405</v>
      </c>
      <c r="D1296" s="174" t="n">
        <v>4</v>
      </c>
      <c r="E1296" s="175" t="inlineStr">
        <is>
          <t>1405/04/23</t>
        </is>
      </c>
      <c r="F1296" s="128" t="inlineStr">
        <is>
          <t>1405/04</t>
        </is>
      </c>
      <c r="G1296" s="58" t="inlineStr">
        <is>
          <t>تیر</t>
        </is>
      </c>
      <c r="H1296" s="128" t="inlineStr">
        <is>
          <t>تابستان</t>
        </is>
      </c>
      <c r="I1296" s="128" t="inlineStr">
        <is>
          <t>سه‌شنبه</t>
        </is>
      </c>
      <c r="J1296" s="128" t="inlineStr">
        <is>
          <t>بله</t>
        </is>
      </c>
    </row>
    <row r="1297">
      <c r="A1297" s="176" t="n">
        <v>46218</v>
      </c>
      <c r="B1297" s="177" t="n">
        <v>46218</v>
      </c>
      <c r="C1297" s="177" t="n">
        <v>1405</v>
      </c>
      <c r="D1297" s="177" t="n">
        <v>4</v>
      </c>
      <c r="E1297" s="178" t="inlineStr">
        <is>
          <t>1405/04/24</t>
        </is>
      </c>
      <c r="F1297" s="134" t="inlineStr">
        <is>
          <t>1405/04</t>
        </is>
      </c>
      <c r="G1297" s="61" t="inlineStr">
        <is>
          <t>تیر</t>
        </is>
      </c>
      <c r="H1297" s="134" t="inlineStr">
        <is>
          <t>تابستان</t>
        </is>
      </c>
      <c r="I1297" s="134" t="inlineStr">
        <is>
          <t>چهارشنبه</t>
        </is>
      </c>
      <c r="J1297" s="134" t="inlineStr">
        <is>
          <t>بله</t>
        </is>
      </c>
    </row>
    <row r="1298">
      <c r="A1298" s="173" t="n">
        <v>46219</v>
      </c>
      <c r="B1298" s="174" t="n">
        <v>46219</v>
      </c>
      <c r="C1298" s="174" t="n">
        <v>1405</v>
      </c>
      <c r="D1298" s="174" t="n">
        <v>4</v>
      </c>
      <c r="E1298" s="175" t="inlineStr">
        <is>
          <t>1405/04/25</t>
        </is>
      </c>
      <c r="F1298" s="128" t="inlineStr">
        <is>
          <t>1405/04</t>
        </is>
      </c>
      <c r="G1298" s="58" t="inlineStr">
        <is>
          <t>تیر</t>
        </is>
      </c>
      <c r="H1298" s="128" t="inlineStr">
        <is>
          <t>تابستان</t>
        </is>
      </c>
      <c r="I1298" s="128" t="inlineStr">
        <is>
          <t>پنجشنبه</t>
        </is>
      </c>
      <c r="J1298" s="128" t="inlineStr">
        <is>
          <t>بله</t>
        </is>
      </c>
    </row>
    <row r="1299">
      <c r="A1299" s="176" t="n">
        <v>46220</v>
      </c>
      <c r="B1299" s="177" t="n">
        <v>46220</v>
      </c>
      <c r="C1299" s="177" t="n">
        <v>1405</v>
      </c>
      <c r="D1299" s="177" t="n">
        <v>4</v>
      </c>
      <c r="E1299" s="178" t="inlineStr">
        <is>
          <t>1405/04/26</t>
        </is>
      </c>
      <c r="F1299" s="134" t="inlineStr">
        <is>
          <t>1405/04</t>
        </is>
      </c>
      <c r="G1299" s="61" t="inlineStr">
        <is>
          <t>تیر</t>
        </is>
      </c>
      <c r="H1299" s="134" t="inlineStr">
        <is>
          <t>تابستان</t>
        </is>
      </c>
      <c r="I1299" s="134" t="inlineStr">
        <is>
          <t>جمعه</t>
        </is>
      </c>
      <c r="J1299" s="134" t="inlineStr">
        <is>
          <t>بله</t>
        </is>
      </c>
    </row>
    <row r="1300">
      <c r="A1300" s="173" t="n">
        <v>46221</v>
      </c>
      <c r="B1300" s="174" t="n">
        <v>46221</v>
      </c>
      <c r="C1300" s="174" t="n">
        <v>1405</v>
      </c>
      <c r="D1300" s="174" t="n">
        <v>4</v>
      </c>
      <c r="E1300" s="175" t="inlineStr">
        <is>
          <t>1405/04/27</t>
        </is>
      </c>
      <c r="F1300" s="128" t="inlineStr">
        <is>
          <t>1405/04</t>
        </is>
      </c>
      <c r="G1300" s="58" t="inlineStr">
        <is>
          <t>تیر</t>
        </is>
      </c>
      <c r="H1300" s="128" t="inlineStr">
        <is>
          <t>تابستان</t>
        </is>
      </c>
      <c r="I1300" s="128" t="inlineStr">
        <is>
          <t>شنبه</t>
        </is>
      </c>
      <c r="J1300" s="128" t="inlineStr">
        <is>
          <t>خیر</t>
        </is>
      </c>
    </row>
    <row r="1301">
      <c r="A1301" s="176" t="n">
        <v>46222</v>
      </c>
      <c r="B1301" s="177" t="n">
        <v>46222</v>
      </c>
      <c r="C1301" s="177" t="n">
        <v>1405</v>
      </c>
      <c r="D1301" s="177" t="n">
        <v>4</v>
      </c>
      <c r="E1301" s="178" t="inlineStr">
        <is>
          <t>1405/04/28</t>
        </is>
      </c>
      <c r="F1301" s="134" t="inlineStr">
        <is>
          <t>1405/04</t>
        </is>
      </c>
      <c r="G1301" s="61" t="inlineStr">
        <is>
          <t>تیر</t>
        </is>
      </c>
      <c r="H1301" s="134" t="inlineStr">
        <is>
          <t>تابستان</t>
        </is>
      </c>
      <c r="I1301" s="134" t="inlineStr">
        <is>
          <t>یکشنبه</t>
        </is>
      </c>
      <c r="J1301" s="134" t="inlineStr">
        <is>
          <t>خیر</t>
        </is>
      </c>
    </row>
    <row r="1302">
      <c r="A1302" s="173" t="n">
        <v>46223</v>
      </c>
      <c r="B1302" s="174" t="n">
        <v>46223</v>
      </c>
      <c r="C1302" s="174" t="n">
        <v>1405</v>
      </c>
      <c r="D1302" s="174" t="n">
        <v>4</v>
      </c>
      <c r="E1302" s="175" t="inlineStr">
        <is>
          <t>1405/04/29</t>
        </is>
      </c>
      <c r="F1302" s="128" t="inlineStr">
        <is>
          <t>1405/04</t>
        </is>
      </c>
      <c r="G1302" s="58" t="inlineStr">
        <is>
          <t>تیر</t>
        </is>
      </c>
      <c r="H1302" s="128" t="inlineStr">
        <is>
          <t>تابستان</t>
        </is>
      </c>
      <c r="I1302" s="128" t="inlineStr">
        <is>
          <t>دوشنبه</t>
        </is>
      </c>
      <c r="J1302" s="128" t="inlineStr">
        <is>
          <t>بله</t>
        </is>
      </c>
    </row>
    <row r="1303">
      <c r="A1303" s="176" t="n">
        <v>46224</v>
      </c>
      <c r="B1303" s="177" t="n">
        <v>46224</v>
      </c>
      <c r="C1303" s="177" t="n">
        <v>1405</v>
      </c>
      <c r="D1303" s="177" t="n">
        <v>4</v>
      </c>
      <c r="E1303" s="178" t="inlineStr">
        <is>
          <t>1405/04/30</t>
        </is>
      </c>
      <c r="F1303" s="134" t="inlineStr">
        <is>
          <t>1405/04</t>
        </is>
      </c>
      <c r="G1303" s="61" t="inlineStr">
        <is>
          <t>تیر</t>
        </is>
      </c>
      <c r="H1303" s="134" t="inlineStr">
        <is>
          <t>تابستان</t>
        </is>
      </c>
      <c r="I1303" s="134" t="inlineStr">
        <is>
          <t>سه‌شنبه</t>
        </is>
      </c>
      <c r="J1303" s="134" t="inlineStr">
        <is>
          <t>بله</t>
        </is>
      </c>
    </row>
    <row r="1304">
      <c r="A1304" s="173" t="n">
        <v>46225</v>
      </c>
      <c r="B1304" s="174" t="n">
        <v>46225</v>
      </c>
      <c r="C1304" s="174" t="n">
        <v>1405</v>
      </c>
      <c r="D1304" s="174" t="n">
        <v>4</v>
      </c>
      <c r="E1304" s="175" t="inlineStr">
        <is>
          <t>1405/04/31</t>
        </is>
      </c>
      <c r="F1304" s="128" t="inlineStr">
        <is>
          <t>1405/04</t>
        </is>
      </c>
      <c r="G1304" s="58" t="inlineStr">
        <is>
          <t>تیر</t>
        </is>
      </c>
      <c r="H1304" s="128" t="inlineStr">
        <is>
          <t>تابستان</t>
        </is>
      </c>
      <c r="I1304" s="128" t="inlineStr">
        <is>
          <t>چهارشنبه</t>
        </is>
      </c>
      <c r="J1304" s="128" t="inlineStr">
        <is>
          <t>بله</t>
        </is>
      </c>
    </row>
    <row r="1305">
      <c r="A1305" s="176" t="n">
        <v>46226</v>
      </c>
      <c r="B1305" s="177" t="n">
        <v>46226</v>
      </c>
      <c r="C1305" s="177" t="n">
        <v>1405</v>
      </c>
      <c r="D1305" s="177" t="n">
        <v>5</v>
      </c>
      <c r="E1305" s="178" t="inlineStr">
        <is>
          <t>1405/05/01</t>
        </is>
      </c>
      <c r="F1305" s="134" t="inlineStr">
        <is>
          <t>1405/05</t>
        </is>
      </c>
      <c r="G1305" s="61" t="inlineStr">
        <is>
          <t>مرداد</t>
        </is>
      </c>
      <c r="H1305" s="134" t="inlineStr">
        <is>
          <t>تابستان</t>
        </is>
      </c>
      <c r="I1305" s="134" t="inlineStr">
        <is>
          <t>پنجشنبه</t>
        </is>
      </c>
      <c r="J1305" s="134" t="inlineStr">
        <is>
          <t>بله</t>
        </is>
      </c>
    </row>
    <row r="1306">
      <c r="A1306" s="173" t="n">
        <v>46227</v>
      </c>
      <c r="B1306" s="174" t="n">
        <v>46227</v>
      </c>
      <c r="C1306" s="174" t="n">
        <v>1405</v>
      </c>
      <c r="D1306" s="174" t="n">
        <v>5</v>
      </c>
      <c r="E1306" s="175" t="inlineStr">
        <is>
          <t>1405/05/02</t>
        </is>
      </c>
      <c r="F1306" s="128" t="inlineStr">
        <is>
          <t>1405/05</t>
        </is>
      </c>
      <c r="G1306" s="58" t="inlineStr">
        <is>
          <t>مرداد</t>
        </is>
      </c>
      <c r="H1306" s="128" t="inlineStr">
        <is>
          <t>تابستان</t>
        </is>
      </c>
      <c r="I1306" s="128" t="inlineStr">
        <is>
          <t>جمعه</t>
        </is>
      </c>
      <c r="J1306" s="128" t="inlineStr">
        <is>
          <t>بله</t>
        </is>
      </c>
    </row>
    <row r="1307">
      <c r="A1307" s="176" t="n">
        <v>46228</v>
      </c>
      <c r="B1307" s="177" t="n">
        <v>46228</v>
      </c>
      <c r="C1307" s="177" t="n">
        <v>1405</v>
      </c>
      <c r="D1307" s="177" t="n">
        <v>5</v>
      </c>
      <c r="E1307" s="178" t="inlineStr">
        <is>
          <t>1405/05/03</t>
        </is>
      </c>
      <c r="F1307" s="134" t="inlineStr">
        <is>
          <t>1405/05</t>
        </is>
      </c>
      <c r="G1307" s="61" t="inlineStr">
        <is>
          <t>مرداد</t>
        </is>
      </c>
      <c r="H1307" s="134" t="inlineStr">
        <is>
          <t>تابستان</t>
        </is>
      </c>
      <c r="I1307" s="134" t="inlineStr">
        <is>
          <t>شنبه</t>
        </is>
      </c>
      <c r="J1307" s="134" t="inlineStr">
        <is>
          <t>خیر</t>
        </is>
      </c>
    </row>
    <row r="1308">
      <c r="A1308" s="173" t="n">
        <v>46229</v>
      </c>
      <c r="B1308" s="174" t="n">
        <v>46229</v>
      </c>
      <c r="C1308" s="174" t="n">
        <v>1405</v>
      </c>
      <c r="D1308" s="174" t="n">
        <v>5</v>
      </c>
      <c r="E1308" s="175" t="inlineStr">
        <is>
          <t>1405/05/04</t>
        </is>
      </c>
      <c r="F1308" s="128" t="inlineStr">
        <is>
          <t>1405/05</t>
        </is>
      </c>
      <c r="G1308" s="58" t="inlineStr">
        <is>
          <t>مرداد</t>
        </is>
      </c>
      <c r="H1308" s="128" t="inlineStr">
        <is>
          <t>تابستان</t>
        </is>
      </c>
      <c r="I1308" s="128" t="inlineStr">
        <is>
          <t>یکشنبه</t>
        </is>
      </c>
      <c r="J1308" s="128" t="inlineStr">
        <is>
          <t>خیر</t>
        </is>
      </c>
    </row>
    <row r="1309">
      <c r="A1309" s="176" t="n">
        <v>46230</v>
      </c>
      <c r="B1309" s="177" t="n">
        <v>46230</v>
      </c>
      <c r="C1309" s="177" t="n">
        <v>1405</v>
      </c>
      <c r="D1309" s="177" t="n">
        <v>5</v>
      </c>
      <c r="E1309" s="178" t="inlineStr">
        <is>
          <t>1405/05/05</t>
        </is>
      </c>
      <c r="F1309" s="134" t="inlineStr">
        <is>
          <t>1405/05</t>
        </is>
      </c>
      <c r="G1309" s="61" t="inlineStr">
        <is>
          <t>مرداد</t>
        </is>
      </c>
      <c r="H1309" s="134" t="inlineStr">
        <is>
          <t>تابستان</t>
        </is>
      </c>
      <c r="I1309" s="134" t="inlineStr">
        <is>
          <t>دوشنبه</t>
        </is>
      </c>
      <c r="J1309" s="134" t="inlineStr">
        <is>
          <t>بله</t>
        </is>
      </c>
    </row>
    <row r="1310">
      <c r="A1310" s="173" t="n">
        <v>46231</v>
      </c>
      <c r="B1310" s="174" t="n">
        <v>46231</v>
      </c>
      <c r="C1310" s="174" t="n">
        <v>1405</v>
      </c>
      <c r="D1310" s="174" t="n">
        <v>5</v>
      </c>
      <c r="E1310" s="175" t="inlineStr">
        <is>
          <t>1405/05/06</t>
        </is>
      </c>
      <c r="F1310" s="128" t="inlineStr">
        <is>
          <t>1405/05</t>
        </is>
      </c>
      <c r="G1310" s="58" t="inlineStr">
        <is>
          <t>مرداد</t>
        </is>
      </c>
      <c r="H1310" s="128" t="inlineStr">
        <is>
          <t>تابستان</t>
        </is>
      </c>
      <c r="I1310" s="128" t="inlineStr">
        <is>
          <t>سه‌شنبه</t>
        </is>
      </c>
      <c r="J1310" s="128" t="inlineStr">
        <is>
          <t>بله</t>
        </is>
      </c>
    </row>
    <row r="1311">
      <c r="A1311" s="176" t="n">
        <v>46232</v>
      </c>
      <c r="B1311" s="177" t="n">
        <v>46232</v>
      </c>
      <c r="C1311" s="177" t="n">
        <v>1405</v>
      </c>
      <c r="D1311" s="177" t="n">
        <v>5</v>
      </c>
      <c r="E1311" s="178" t="inlineStr">
        <is>
          <t>1405/05/07</t>
        </is>
      </c>
      <c r="F1311" s="134" t="inlineStr">
        <is>
          <t>1405/05</t>
        </is>
      </c>
      <c r="G1311" s="61" t="inlineStr">
        <is>
          <t>مرداد</t>
        </is>
      </c>
      <c r="H1311" s="134" t="inlineStr">
        <is>
          <t>تابستان</t>
        </is>
      </c>
      <c r="I1311" s="134" t="inlineStr">
        <is>
          <t>چهارشنبه</t>
        </is>
      </c>
      <c r="J1311" s="134" t="inlineStr">
        <is>
          <t>بله</t>
        </is>
      </c>
    </row>
    <row r="1312">
      <c r="A1312" s="173" t="n">
        <v>46233</v>
      </c>
      <c r="B1312" s="174" t="n">
        <v>46233</v>
      </c>
      <c r="C1312" s="174" t="n">
        <v>1405</v>
      </c>
      <c r="D1312" s="174" t="n">
        <v>5</v>
      </c>
      <c r="E1312" s="175" t="inlineStr">
        <is>
          <t>1405/05/08</t>
        </is>
      </c>
      <c r="F1312" s="128" t="inlineStr">
        <is>
          <t>1405/05</t>
        </is>
      </c>
      <c r="G1312" s="58" t="inlineStr">
        <is>
          <t>مرداد</t>
        </is>
      </c>
      <c r="H1312" s="128" t="inlineStr">
        <is>
          <t>تابستان</t>
        </is>
      </c>
      <c r="I1312" s="128" t="inlineStr">
        <is>
          <t>پنجشنبه</t>
        </is>
      </c>
      <c r="J1312" s="128" t="inlineStr">
        <is>
          <t>بله</t>
        </is>
      </c>
    </row>
    <row r="1313">
      <c r="A1313" s="176" t="n">
        <v>46234</v>
      </c>
      <c r="B1313" s="177" t="n">
        <v>46234</v>
      </c>
      <c r="C1313" s="177" t="n">
        <v>1405</v>
      </c>
      <c r="D1313" s="177" t="n">
        <v>5</v>
      </c>
      <c r="E1313" s="178" t="inlineStr">
        <is>
          <t>1405/05/09</t>
        </is>
      </c>
      <c r="F1313" s="134" t="inlineStr">
        <is>
          <t>1405/05</t>
        </is>
      </c>
      <c r="G1313" s="61" t="inlineStr">
        <is>
          <t>مرداد</t>
        </is>
      </c>
      <c r="H1313" s="134" t="inlineStr">
        <is>
          <t>تابستان</t>
        </is>
      </c>
      <c r="I1313" s="134" t="inlineStr">
        <is>
          <t>جمعه</t>
        </is>
      </c>
      <c r="J1313" s="134" t="inlineStr">
        <is>
          <t>بله</t>
        </is>
      </c>
    </row>
    <row r="1314">
      <c r="A1314" s="173" t="n">
        <v>46235</v>
      </c>
      <c r="B1314" s="174" t="n">
        <v>46235</v>
      </c>
      <c r="C1314" s="174" t="n">
        <v>1405</v>
      </c>
      <c r="D1314" s="174" t="n">
        <v>5</v>
      </c>
      <c r="E1314" s="175" t="inlineStr">
        <is>
          <t>1405/05/10</t>
        </is>
      </c>
      <c r="F1314" s="128" t="inlineStr">
        <is>
          <t>1405/05</t>
        </is>
      </c>
      <c r="G1314" s="58" t="inlineStr">
        <is>
          <t>مرداد</t>
        </is>
      </c>
      <c r="H1314" s="128" t="inlineStr">
        <is>
          <t>تابستان</t>
        </is>
      </c>
      <c r="I1314" s="128" t="inlineStr">
        <is>
          <t>شنبه</t>
        </is>
      </c>
      <c r="J1314" s="128" t="inlineStr">
        <is>
          <t>خیر</t>
        </is>
      </c>
    </row>
    <row r="1315">
      <c r="A1315" s="176" t="n">
        <v>46236</v>
      </c>
      <c r="B1315" s="177" t="n">
        <v>46236</v>
      </c>
      <c r="C1315" s="177" t="n">
        <v>1405</v>
      </c>
      <c r="D1315" s="177" t="n">
        <v>5</v>
      </c>
      <c r="E1315" s="178" t="inlineStr">
        <is>
          <t>1405/05/11</t>
        </is>
      </c>
      <c r="F1315" s="134" t="inlineStr">
        <is>
          <t>1405/05</t>
        </is>
      </c>
      <c r="G1315" s="61" t="inlineStr">
        <is>
          <t>مرداد</t>
        </is>
      </c>
      <c r="H1315" s="134" t="inlineStr">
        <is>
          <t>تابستان</t>
        </is>
      </c>
      <c r="I1315" s="134" t="inlineStr">
        <is>
          <t>یکشنبه</t>
        </is>
      </c>
      <c r="J1315" s="134" t="inlineStr">
        <is>
          <t>خیر</t>
        </is>
      </c>
    </row>
    <row r="1316">
      <c r="A1316" s="173" t="n">
        <v>46237</v>
      </c>
      <c r="B1316" s="174" t="n">
        <v>46237</v>
      </c>
      <c r="C1316" s="174" t="n">
        <v>1405</v>
      </c>
      <c r="D1316" s="174" t="n">
        <v>5</v>
      </c>
      <c r="E1316" s="175" t="inlineStr">
        <is>
          <t>1405/05/12</t>
        </is>
      </c>
      <c r="F1316" s="128" t="inlineStr">
        <is>
          <t>1405/05</t>
        </is>
      </c>
      <c r="G1316" s="58" t="inlineStr">
        <is>
          <t>مرداد</t>
        </is>
      </c>
      <c r="H1316" s="128" t="inlineStr">
        <is>
          <t>تابستان</t>
        </is>
      </c>
      <c r="I1316" s="128" t="inlineStr">
        <is>
          <t>دوشنبه</t>
        </is>
      </c>
      <c r="J1316" s="128" t="inlineStr">
        <is>
          <t>بله</t>
        </is>
      </c>
    </row>
    <row r="1317">
      <c r="A1317" s="176" t="n">
        <v>46238</v>
      </c>
      <c r="B1317" s="177" t="n">
        <v>46238</v>
      </c>
      <c r="C1317" s="177" t="n">
        <v>1405</v>
      </c>
      <c r="D1317" s="177" t="n">
        <v>5</v>
      </c>
      <c r="E1317" s="178" t="inlineStr">
        <is>
          <t>1405/05/13</t>
        </is>
      </c>
      <c r="F1317" s="134" t="inlineStr">
        <is>
          <t>1405/05</t>
        </is>
      </c>
      <c r="G1317" s="61" t="inlineStr">
        <is>
          <t>مرداد</t>
        </is>
      </c>
      <c r="H1317" s="134" t="inlineStr">
        <is>
          <t>تابستان</t>
        </is>
      </c>
      <c r="I1317" s="134" t="inlineStr">
        <is>
          <t>سه‌شنبه</t>
        </is>
      </c>
      <c r="J1317" s="134" t="inlineStr">
        <is>
          <t>بله</t>
        </is>
      </c>
    </row>
    <row r="1318">
      <c r="A1318" s="173" t="n">
        <v>46239</v>
      </c>
      <c r="B1318" s="174" t="n">
        <v>46239</v>
      </c>
      <c r="C1318" s="174" t="n">
        <v>1405</v>
      </c>
      <c r="D1318" s="174" t="n">
        <v>5</v>
      </c>
      <c r="E1318" s="175" t="inlineStr">
        <is>
          <t>1405/05/14</t>
        </is>
      </c>
      <c r="F1318" s="128" t="inlineStr">
        <is>
          <t>1405/05</t>
        </is>
      </c>
      <c r="G1318" s="58" t="inlineStr">
        <is>
          <t>مرداد</t>
        </is>
      </c>
      <c r="H1318" s="128" t="inlineStr">
        <is>
          <t>تابستان</t>
        </is>
      </c>
      <c r="I1318" s="128" t="inlineStr">
        <is>
          <t>چهارشنبه</t>
        </is>
      </c>
      <c r="J1318" s="128" t="inlineStr">
        <is>
          <t>بله</t>
        </is>
      </c>
    </row>
    <row r="1319">
      <c r="A1319" s="176" t="n">
        <v>46240</v>
      </c>
      <c r="B1319" s="177" t="n">
        <v>46240</v>
      </c>
      <c r="C1319" s="177" t="n">
        <v>1405</v>
      </c>
      <c r="D1319" s="177" t="n">
        <v>5</v>
      </c>
      <c r="E1319" s="178" t="inlineStr">
        <is>
          <t>1405/05/15</t>
        </is>
      </c>
      <c r="F1319" s="134" t="inlineStr">
        <is>
          <t>1405/05</t>
        </is>
      </c>
      <c r="G1319" s="61" t="inlineStr">
        <is>
          <t>مرداد</t>
        </is>
      </c>
      <c r="H1319" s="134" t="inlineStr">
        <is>
          <t>تابستان</t>
        </is>
      </c>
      <c r="I1319" s="134" t="inlineStr">
        <is>
          <t>پنجشنبه</t>
        </is>
      </c>
      <c r="J1319" s="134" t="inlineStr">
        <is>
          <t>بله</t>
        </is>
      </c>
    </row>
    <row r="1320">
      <c r="A1320" s="173" t="n">
        <v>46241</v>
      </c>
      <c r="B1320" s="174" t="n">
        <v>46241</v>
      </c>
      <c r="C1320" s="174" t="n">
        <v>1405</v>
      </c>
      <c r="D1320" s="174" t="n">
        <v>5</v>
      </c>
      <c r="E1320" s="175" t="inlineStr">
        <is>
          <t>1405/05/16</t>
        </is>
      </c>
      <c r="F1320" s="128" t="inlineStr">
        <is>
          <t>1405/05</t>
        </is>
      </c>
      <c r="G1320" s="58" t="inlineStr">
        <is>
          <t>مرداد</t>
        </is>
      </c>
      <c r="H1320" s="128" t="inlineStr">
        <is>
          <t>تابستان</t>
        </is>
      </c>
      <c r="I1320" s="128" t="inlineStr">
        <is>
          <t>جمعه</t>
        </is>
      </c>
      <c r="J1320" s="128" t="inlineStr">
        <is>
          <t>بله</t>
        </is>
      </c>
    </row>
    <row r="1321">
      <c r="A1321" s="176" t="n">
        <v>46242</v>
      </c>
      <c r="B1321" s="177" t="n">
        <v>46242</v>
      </c>
      <c r="C1321" s="177" t="n">
        <v>1405</v>
      </c>
      <c r="D1321" s="177" t="n">
        <v>5</v>
      </c>
      <c r="E1321" s="178" t="inlineStr">
        <is>
          <t>1405/05/17</t>
        </is>
      </c>
      <c r="F1321" s="134" t="inlineStr">
        <is>
          <t>1405/05</t>
        </is>
      </c>
      <c r="G1321" s="61" t="inlineStr">
        <is>
          <t>مرداد</t>
        </is>
      </c>
      <c r="H1321" s="134" t="inlineStr">
        <is>
          <t>تابستان</t>
        </is>
      </c>
      <c r="I1321" s="134" t="inlineStr">
        <is>
          <t>شنبه</t>
        </is>
      </c>
      <c r="J1321" s="134" t="inlineStr">
        <is>
          <t>خیر</t>
        </is>
      </c>
    </row>
    <row r="1322">
      <c r="A1322" s="173" t="n">
        <v>46243</v>
      </c>
      <c r="B1322" s="174" t="n">
        <v>46243</v>
      </c>
      <c r="C1322" s="174" t="n">
        <v>1405</v>
      </c>
      <c r="D1322" s="174" t="n">
        <v>5</v>
      </c>
      <c r="E1322" s="175" t="inlineStr">
        <is>
          <t>1405/05/18</t>
        </is>
      </c>
      <c r="F1322" s="128" t="inlineStr">
        <is>
          <t>1405/05</t>
        </is>
      </c>
      <c r="G1322" s="58" t="inlineStr">
        <is>
          <t>مرداد</t>
        </is>
      </c>
      <c r="H1322" s="128" t="inlineStr">
        <is>
          <t>تابستان</t>
        </is>
      </c>
      <c r="I1322" s="128" t="inlineStr">
        <is>
          <t>یکشنبه</t>
        </is>
      </c>
      <c r="J1322" s="128" t="inlineStr">
        <is>
          <t>خیر</t>
        </is>
      </c>
    </row>
    <row r="1323">
      <c r="A1323" s="176" t="n">
        <v>46244</v>
      </c>
      <c r="B1323" s="177" t="n">
        <v>46244</v>
      </c>
      <c r="C1323" s="177" t="n">
        <v>1405</v>
      </c>
      <c r="D1323" s="177" t="n">
        <v>5</v>
      </c>
      <c r="E1323" s="178" t="inlineStr">
        <is>
          <t>1405/05/19</t>
        </is>
      </c>
      <c r="F1323" s="134" t="inlineStr">
        <is>
          <t>1405/05</t>
        </is>
      </c>
      <c r="G1323" s="61" t="inlineStr">
        <is>
          <t>مرداد</t>
        </is>
      </c>
      <c r="H1323" s="134" t="inlineStr">
        <is>
          <t>تابستان</t>
        </is>
      </c>
      <c r="I1323" s="134" t="inlineStr">
        <is>
          <t>دوشنبه</t>
        </is>
      </c>
      <c r="J1323" s="134" t="inlineStr">
        <is>
          <t>بله</t>
        </is>
      </c>
    </row>
    <row r="1324">
      <c r="A1324" s="173" t="n">
        <v>46245</v>
      </c>
      <c r="B1324" s="174" t="n">
        <v>46245</v>
      </c>
      <c r="C1324" s="174" t="n">
        <v>1405</v>
      </c>
      <c r="D1324" s="174" t="n">
        <v>5</v>
      </c>
      <c r="E1324" s="175" t="inlineStr">
        <is>
          <t>1405/05/20</t>
        </is>
      </c>
      <c r="F1324" s="128" t="inlineStr">
        <is>
          <t>1405/05</t>
        </is>
      </c>
      <c r="G1324" s="58" t="inlineStr">
        <is>
          <t>مرداد</t>
        </is>
      </c>
      <c r="H1324" s="128" t="inlineStr">
        <is>
          <t>تابستان</t>
        </is>
      </c>
      <c r="I1324" s="128" t="inlineStr">
        <is>
          <t>سه‌شنبه</t>
        </is>
      </c>
      <c r="J1324" s="128" t="inlineStr">
        <is>
          <t>بله</t>
        </is>
      </c>
    </row>
    <row r="1325">
      <c r="A1325" s="176" t="n">
        <v>46246</v>
      </c>
      <c r="B1325" s="177" t="n">
        <v>46246</v>
      </c>
      <c r="C1325" s="177" t="n">
        <v>1405</v>
      </c>
      <c r="D1325" s="177" t="n">
        <v>5</v>
      </c>
      <c r="E1325" s="178" t="inlineStr">
        <is>
          <t>1405/05/21</t>
        </is>
      </c>
      <c r="F1325" s="134" t="inlineStr">
        <is>
          <t>1405/05</t>
        </is>
      </c>
      <c r="G1325" s="61" t="inlineStr">
        <is>
          <t>مرداد</t>
        </is>
      </c>
      <c r="H1325" s="134" t="inlineStr">
        <is>
          <t>تابستان</t>
        </is>
      </c>
      <c r="I1325" s="134" t="inlineStr">
        <is>
          <t>چهارشنبه</t>
        </is>
      </c>
      <c r="J1325" s="134" t="inlineStr">
        <is>
          <t>بله</t>
        </is>
      </c>
    </row>
    <row r="1326">
      <c r="A1326" s="173" t="n">
        <v>46247</v>
      </c>
      <c r="B1326" s="174" t="n">
        <v>46247</v>
      </c>
      <c r="C1326" s="174" t="n">
        <v>1405</v>
      </c>
      <c r="D1326" s="174" t="n">
        <v>5</v>
      </c>
      <c r="E1326" s="175" t="inlineStr">
        <is>
          <t>1405/05/22</t>
        </is>
      </c>
      <c r="F1326" s="128" t="inlineStr">
        <is>
          <t>1405/05</t>
        </is>
      </c>
      <c r="G1326" s="58" t="inlineStr">
        <is>
          <t>مرداد</t>
        </is>
      </c>
      <c r="H1326" s="128" t="inlineStr">
        <is>
          <t>تابستان</t>
        </is>
      </c>
      <c r="I1326" s="128" t="inlineStr">
        <is>
          <t>پنجشنبه</t>
        </is>
      </c>
      <c r="J1326" s="128" t="inlineStr">
        <is>
          <t>بله</t>
        </is>
      </c>
    </row>
    <row r="1327">
      <c r="A1327" s="176" t="n">
        <v>46248</v>
      </c>
      <c r="B1327" s="177" t="n">
        <v>46248</v>
      </c>
      <c r="C1327" s="177" t="n">
        <v>1405</v>
      </c>
      <c r="D1327" s="177" t="n">
        <v>5</v>
      </c>
      <c r="E1327" s="178" t="inlineStr">
        <is>
          <t>1405/05/23</t>
        </is>
      </c>
      <c r="F1327" s="134" t="inlineStr">
        <is>
          <t>1405/05</t>
        </is>
      </c>
      <c r="G1327" s="61" t="inlineStr">
        <is>
          <t>مرداد</t>
        </is>
      </c>
      <c r="H1327" s="134" t="inlineStr">
        <is>
          <t>تابستان</t>
        </is>
      </c>
      <c r="I1327" s="134" t="inlineStr">
        <is>
          <t>جمعه</t>
        </is>
      </c>
      <c r="J1327" s="134" t="inlineStr">
        <is>
          <t>بله</t>
        </is>
      </c>
    </row>
    <row r="1328">
      <c r="A1328" s="173" t="n">
        <v>46249</v>
      </c>
      <c r="B1328" s="174" t="n">
        <v>46249</v>
      </c>
      <c r="C1328" s="174" t="n">
        <v>1405</v>
      </c>
      <c r="D1328" s="174" t="n">
        <v>5</v>
      </c>
      <c r="E1328" s="175" t="inlineStr">
        <is>
          <t>1405/05/24</t>
        </is>
      </c>
      <c r="F1328" s="128" t="inlineStr">
        <is>
          <t>1405/05</t>
        </is>
      </c>
      <c r="G1328" s="58" t="inlineStr">
        <is>
          <t>مرداد</t>
        </is>
      </c>
      <c r="H1328" s="128" t="inlineStr">
        <is>
          <t>تابستان</t>
        </is>
      </c>
      <c r="I1328" s="128" t="inlineStr">
        <is>
          <t>شنبه</t>
        </is>
      </c>
      <c r="J1328" s="128" t="inlineStr">
        <is>
          <t>خیر</t>
        </is>
      </c>
    </row>
    <row r="1329">
      <c r="A1329" s="176" t="n">
        <v>46250</v>
      </c>
      <c r="B1329" s="177" t="n">
        <v>46250</v>
      </c>
      <c r="C1329" s="177" t="n">
        <v>1405</v>
      </c>
      <c r="D1329" s="177" t="n">
        <v>5</v>
      </c>
      <c r="E1329" s="178" t="inlineStr">
        <is>
          <t>1405/05/25</t>
        </is>
      </c>
      <c r="F1329" s="134" t="inlineStr">
        <is>
          <t>1405/05</t>
        </is>
      </c>
      <c r="G1329" s="61" t="inlineStr">
        <is>
          <t>مرداد</t>
        </is>
      </c>
      <c r="H1329" s="134" t="inlineStr">
        <is>
          <t>تابستان</t>
        </is>
      </c>
      <c r="I1329" s="134" t="inlineStr">
        <is>
          <t>یکشنبه</t>
        </is>
      </c>
      <c r="J1329" s="134" t="inlineStr">
        <is>
          <t>خیر</t>
        </is>
      </c>
    </row>
    <row r="1330">
      <c r="A1330" s="173" t="n">
        <v>46251</v>
      </c>
      <c r="B1330" s="174" t="n">
        <v>46251</v>
      </c>
      <c r="C1330" s="174" t="n">
        <v>1405</v>
      </c>
      <c r="D1330" s="174" t="n">
        <v>5</v>
      </c>
      <c r="E1330" s="175" t="inlineStr">
        <is>
          <t>1405/05/26</t>
        </is>
      </c>
      <c r="F1330" s="128" t="inlineStr">
        <is>
          <t>1405/05</t>
        </is>
      </c>
      <c r="G1330" s="58" t="inlineStr">
        <is>
          <t>مرداد</t>
        </is>
      </c>
      <c r="H1330" s="128" t="inlineStr">
        <is>
          <t>تابستان</t>
        </is>
      </c>
      <c r="I1330" s="128" t="inlineStr">
        <is>
          <t>دوشنبه</t>
        </is>
      </c>
      <c r="J1330" s="128" t="inlineStr">
        <is>
          <t>بله</t>
        </is>
      </c>
    </row>
    <row r="1331">
      <c r="A1331" s="176" t="n">
        <v>46252</v>
      </c>
      <c r="B1331" s="177" t="n">
        <v>46252</v>
      </c>
      <c r="C1331" s="177" t="n">
        <v>1405</v>
      </c>
      <c r="D1331" s="177" t="n">
        <v>5</v>
      </c>
      <c r="E1331" s="178" t="inlineStr">
        <is>
          <t>1405/05/27</t>
        </is>
      </c>
      <c r="F1331" s="134" t="inlineStr">
        <is>
          <t>1405/05</t>
        </is>
      </c>
      <c r="G1331" s="61" t="inlineStr">
        <is>
          <t>مرداد</t>
        </is>
      </c>
      <c r="H1331" s="134" t="inlineStr">
        <is>
          <t>تابستان</t>
        </is>
      </c>
      <c r="I1331" s="134" t="inlineStr">
        <is>
          <t>سه‌شنبه</t>
        </is>
      </c>
      <c r="J1331" s="134" t="inlineStr">
        <is>
          <t>بله</t>
        </is>
      </c>
    </row>
    <row r="1332">
      <c r="A1332" s="173" t="n">
        <v>46253</v>
      </c>
      <c r="B1332" s="174" t="n">
        <v>46253</v>
      </c>
      <c r="C1332" s="174" t="n">
        <v>1405</v>
      </c>
      <c r="D1332" s="174" t="n">
        <v>5</v>
      </c>
      <c r="E1332" s="175" t="inlineStr">
        <is>
          <t>1405/05/28</t>
        </is>
      </c>
      <c r="F1332" s="128" t="inlineStr">
        <is>
          <t>1405/05</t>
        </is>
      </c>
      <c r="G1332" s="58" t="inlineStr">
        <is>
          <t>مرداد</t>
        </is>
      </c>
      <c r="H1332" s="128" t="inlineStr">
        <is>
          <t>تابستان</t>
        </is>
      </c>
      <c r="I1332" s="128" t="inlineStr">
        <is>
          <t>چهارشنبه</t>
        </is>
      </c>
      <c r="J1332" s="128" t="inlineStr">
        <is>
          <t>بله</t>
        </is>
      </c>
    </row>
    <row r="1333">
      <c r="A1333" s="176" t="n">
        <v>46254</v>
      </c>
      <c r="B1333" s="177" t="n">
        <v>46254</v>
      </c>
      <c r="C1333" s="177" t="n">
        <v>1405</v>
      </c>
      <c r="D1333" s="177" t="n">
        <v>5</v>
      </c>
      <c r="E1333" s="178" t="inlineStr">
        <is>
          <t>1405/05/29</t>
        </is>
      </c>
      <c r="F1333" s="134" t="inlineStr">
        <is>
          <t>1405/05</t>
        </is>
      </c>
      <c r="G1333" s="61" t="inlineStr">
        <is>
          <t>مرداد</t>
        </is>
      </c>
      <c r="H1333" s="134" t="inlineStr">
        <is>
          <t>تابستان</t>
        </is>
      </c>
      <c r="I1333" s="134" t="inlineStr">
        <is>
          <t>پنجشنبه</t>
        </is>
      </c>
      <c r="J1333" s="134" t="inlineStr">
        <is>
          <t>بله</t>
        </is>
      </c>
    </row>
    <row r="1334">
      <c r="A1334" s="173" t="n">
        <v>46255</v>
      </c>
      <c r="B1334" s="174" t="n">
        <v>46255</v>
      </c>
      <c r="C1334" s="174" t="n">
        <v>1405</v>
      </c>
      <c r="D1334" s="174" t="n">
        <v>5</v>
      </c>
      <c r="E1334" s="175" t="inlineStr">
        <is>
          <t>1405/05/30</t>
        </is>
      </c>
      <c r="F1334" s="128" t="inlineStr">
        <is>
          <t>1405/05</t>
        </is>
      </c>
      <c r="G1334" s="58" t="inlineStr">
        <is>
          <t>مرداد</t>
        </is>
      </c>
      <c r="H1334" s="128" t="inlineStr">
        <is>
          <t>تابستان</t>
        </is>
      </c>
      <c r="I1334" s="128" t="inlineStr">
        <is>
          <t>جمعه</t>
        </is>
      </c>
      <c r="J1334" s="128" t="inlineStr">
        <is>
          <t>بله</t>
        </is>
      </c>
    </row>
    <row r="1335">
      <c r="A1335" s="176" t="n">
        <v>46256</v>
      </c>
      <c r="B1335" s="177" t="n">
        <v>46256</v>
      </c>
      <c r="C1335" s="177" t="n">
        <v>1405</v>
      </c>
      <c r="D1335" s="177" t="n">
        <v>5</v>
      </c>
      <c r="E1335" s="178" t="inlineStr">
        <is>
          <t>1405/05/31</t>
        </is>
      </c>
      <c r="F1335" s="134" t="inlineStr">
        <is>
          <t>1405/05</t>
        </is>
      </c>
      <c r="G1335" s="61" t="inlineStr">
        <is>
          <t>مرداد</t>
        </is>
      </c>
      <c r="H1335" s="134" t="inlineStr">
        <is>
          <t>تابستان</t>
        </is>
      </c>
      <c r="I1335" s="134" t="inlineStr">
        <is>
          <t>شنبه</t>
        </is>
      </c>
      <c r="J1335" s="134" t="inlineStr">
        <is>
          <t>خیر</t>
        </is>
      </c>
    </row>
    <row r="1336">
      <c r="A1336" s="173" t="n">
        <v>46257</v>
      </c>
      <c r="B1336" s="174" t="n">
        <v>46257</v>
      </c>
      <c r="C1336" s="174" t="n">
        <v>1405</v>
      </c>
      <c r="D1336" s="174" t="n">
        <v>6</v>
      </c>
      <c r="E1336" s="175" t="inlineStr">
        <is>
          <t>1405/06/01</t>
        </is>
      </c>
      <c r="F1336" s="128" t="inlineStr">
        <is>
          <t>1405/06</t>
        </is>
      </c>
      <c r="G1336" s="58" t="inlineStr">
        <is>
          <t>شهریور</t>
        </is>
      </c>
      <c r="H1336" s="128" t="inlineStr">
        <is>
          <t>تابستان</t>
        </is>
      </c>
      <c r="I1336" s="128" t="inlineStr">
        <is>
          <t>یکشنبه</t>
        </is>
      </c>
      <c r="J1336" s="128" t="inlineStr">
        <is>
          <t>خیر</t>
        </is>
      </c>
    </row>
    <row r="1337">
      <c r="A1337" s="176" t="n">
        <v>46258</v>
      </c>
      <c r="B1337" s="177" t="n">
        <v>46258</v>
      </c>
      <c r="C1337" s="177" t="n">
        <v>1405</v>
      </c>
      <c r="D1337" s="177" t="n">
        <v>6</v>
      </c>
      <c r="E1337" s="178" t="inlineStr">
        <is>
          <t>1405/06/02</t>
        </is>
      </c>
      <c r="F1337" s="134" t="inlineStr">
        <is>
          <t>1405/06</t>
        </is>
      </c>
      <c r="G1337" s="61" t="inlineStr">
        <is>
          <t>شهریور</t>
        </is>
      </c>
      <c r="H1337" s="134" t="inlineStr">
        <is>
          <t>تابستان</t>
        </is>
      </c>
      <c r="I1337" s="134" t="inlineStr">
        <is>
          <t>دوشنبه</t>
        </is>
      </c>
      <c r="J1337" s="134" t="inlineStr">
        <is>
          <t>بله</t>
        </is>
      </c>
    </row>
    <row r="1338">
      <c r="A1338" s="173" t="n">
        <v>46259</v>
      </c>
      <c r="B1338" s="174" t="n">
        <v>46259</v>
      </c>
      <c r="C1338" s="174" t="n">
        <v>1405</v>
      </c>
      <c r="D1338" s="174" t="n">
        <v>6</v>
      </c>
      <c r="E1338" s="175" t="inlineStr">
        <is>
          <t>1405/06/03</t>
        </is>
      </c>
      <c r="F1338" s="128" t="inlineStr">
        <is>
          <t>1405/06</t>
        </is>
      </c>
      <c r="G1338" s="58" t="inlineStr">
        <is>
          <t>شهریور</t>
        </is>
      </c>
      <c r="H1338" s="128" t="inlineStr">
        <is>
          <t>تابستان</t>
        </is>
      </c>
      <c r="I1338" s="128" t="inlineStr">
        <is>
          <t>سه‌شنبه</t>
        </is>
      </c>
      <c r="J1338" s="128" t="inlineStr">
        <is>
          <t>بله</t>
        </is>
      </c>
    </row>
    <row r="1339">
      <c r="A1339" s="176" t="n">
        <v>46260</v>
      </c>
      <c r="B1339" s="177" t="n">
        <v>46260</v>
      </c>
      <c r="C1339" s="177" t="n">
        <v>1405</v>
      </c>
      <c r="D1339" s="177" t="n">
        <v>6</v>
      </c>
      <c r="E1339" s="178" t="inlineStr">
        <is>
          <t>1405/06/04</t>
        </is>
      </c>
      <c r="F1339" s="134" t="inlineStr">
        <is>
          <t>1405/06</t>
        </is>
      </c>
      <c r="G1339" s="61" t="inlineStr">
        <is>
          <t>شهریور</t>
        </is>
      </c>
      <c r="H1339" s="134" t="inlineStr">
        <is>
          <t>تابستان</t>
        </is>
      </c>
      <c r="I1339" s="134" t="inlineStr">
        <is>
          <t>چهارشنبه</t>
        </is>
      </c>
      <c r="J1339" s="134" t="inlineStr">
        <is>
          <t>بله</t>
        </is>
      </c>
    </row>
    <row r="1340">
      <c r="A1340" s="173" t="n">
        <v>46261</v>
      </c>
      <c r="B1340" s="174" t="n">
        <v>46261</v>
      </c>
      <c r="C1340" s="174" t="n">
        <v>1405</v>
      </c>
      <c r="D1340" s="174" t="n">
        <v>6</v>
      </c>
      <c r="E1340" s="175" t="inlineStr">
        <is>
          <t>1405/06/05</t>
        </is>
      </c>
      <c r="F1340" s="128" t="inlineStr">
        <is>
          <t>1405/06</t>
        </is>
      </c>
      <c r="G1340" s="58" t="inlineStr">
        <is>
          <t>شهریور</t>
        </is>
      </c>
      <c r="H1340" s="128" t="inlineStr">
        <is>
          <t>تابستان</t>
        </is>
      </c>
      <c r="I1340" s="128" t="inlineStr">
        <is>
          <t>پنجشنبه</t>
        </is>
      </c>
      <c r="J1340" s="128" t="inlineStr">
        <is>
          <t>بله</t>
        </is>
      </c>
    </row>
    <row r="1341">
      <c r="A1341" s="176" t="n">
        <v>46262</v>
      </c>
      <c r="B1341" s="177" t="n">
        <v>46262</v>
      </c>
      <c r="C1341" s="177" t="n">
        <v>1405</v>
      </c>
      <c r="D1341" s="177" t="n">
        <v>6</v>
      </c>
      <c r="E1341" s="178" t="inlineStr">
        <is>
          <t>1405/06/06</t>
        </is>
      </c>
      <c r="F1341" s="134" t="inlineStr">
        <is>
          <t>1405/06</t>
        </is>
      </c>
      <c r="G1341" s="61" t="inlineStr">
        <is>
          <t>شهریور</t>
        </is>
      </c>
      <c r="H1341" s="134" t="inlineStr">
        <is>
          <t>تابستان</t>
        </is>
      </c>
      <c r="I1341" s="134" t="inlineStr">
        <is>
          <t>جمعه</t>
        </is>
      </c>
      <c r="J1341" s="134" t="inlineStr">
        <is>
          <t>بله</t>
        </is>
      </c>
    </row>
    <row r="1342">
      <c r="A1342" s="173" t="n">
        <v>46263</v>
      </c>
      <c r="B1342" s="174" t="n">
        <v>46263</v>
      </c>
      <c r="C1342" s="174" t="n">
        <v>1405</v>
      </c>
      <c r="D1342" s="174" t="n">
        <v>6</v>
      </c>
      <c r="E1342" s="175" t="inlineStr">
        <is>
          <t>1405/06/07</t>
        </is>
      </c>
      <c r="F1342" s="128" t="inlineStr">
        <is>
          <t>1405/06</t>
        </is>
      </c>
      <c r="G1342" s="58" t="inlineStr">
        <is>
          <t>شهریور</t>
        </is>
      </c>
      <c r="H1342" s="128" t="inlineStr">
        <is>
          <t>تابستان</t>
        </is>
      </c>
      <c r="I1342" s="128" t="inlineStr">
        <is>
          <t>شنبه</t>
        </is>
      </c>
      <c r="J1342" s="128" t="inlineStr">
        <is>
          <t>خیر</t>
        </is>
      </c>
    </row>
    <row r="1343">
      <c r="A1343" s="176" t="n">
        <v>46264</v>
      </c>
      <c r="B1343" s="177" t="n">
        <v>46264</v>
      </c>
      <c r="C1343" s="177" t="n">
        <v>1405</v>
      </c>
      <c r="D1343" s="177" t="n">
        <v>6</v>
      </c>
      <c r="E1343" s="178" t="inlineStr">
        <is>
          <t>1405/06/08</t>
        </is>
      </c>
      <c r="F1343" s="134" t="inlineStr">
        <is>
          <t>1405/06</t>
        </is>
      </c>
      <c r="G1343" s="61" t="inlineStr">
        <is>
          <t>شهریور</t>
        </is>
      </c>
      <c r="H1343" s="134" t="inlineStr">
        <is>
          <t>تابستان</t>
        </is>
      </c>
      <c r="I1343" s="134" t="inlineStr">
        <is>
          <t>یکشنبه</t>
        </is>
      </c>
      <c r="J1343" s="134" t="inlineStr">
        <is>
          <t>خیر</t>
        </is>
      </c>
    </row>
    <row r="1344">
      <c r="A1344" s="173" t="n">
        <v>46265</v>
      </c>
      <c r="B1344" s="174" t="n">
        <v>46265</v>
      </c>
      <c r="C1344" s="174" t="n">
        <v>1405</v>
      </c>
      <c r="D1344" s="174" t="n">
        <v>6</v>
      </c>
      <c r="E1344" s="175" t="inlineStr">
        <is>
          <t>1405/06/09</t>
        </is>
      </c>
      <c r="F1344" s="128" t="inlineStr">
        <is>
          <t>1405/06</t>
        </is>
      </c>
      <c r="G1344" s="58" t="inlineStr">
        <is>
          <t>شهریور</t>
        </is>
      </c>
      <c r="H1344" s="128" t="inlineStr">
        <is>
          <t>تابستان</t>
        </is>
      </c>
      <c r="I1344" s="128" t="inlineStr">
        <is>
          <t>دوشنبه</t>
        </is>
      </c>
      <c r="J1344" s="128" t="inlineStr">
        <is>
          <t>بله</t>
        </is>
      </c>
    </row>
    <row r="1345">
      <c r="A1345" s="176" t="n">
        <v>46266</v>
      </c>
      <c r="B1345" s="177" t="n">
        <v>46266</v>
      </c>
      <c r="C1345" s="177" t="n">
        <v>1405</v>
      </c>
      <c r="D1345" s="177" t="n">
        <v>6</v>
      </c>
      <c r="E1345" s="178" t="inlineStr">
        <is>
          <t>1405/06/10</t>
        </is>
      </c>
      <c r="F1345" s="134" t="inlineStr">
        <is>
          <t>1405/06</t>
        </is>
      </c>
      <c r="G1345" s="61" t="inlineStr">
        <is>
          <t>شهریور</t>
        </is>
      </c>
      <c r="H1345" s="134" t="inlineStr">
        <is>
          <t>تابستان</t>
        </is>
      </c>
      <c r="I1345" s="134" t="inlineStr">
        <is>
          <t>سه‌شنبه</t>
        </is>
      </c>
      <c r="J1345" s="134" t="inlineStr">
        <is>
          <t>بله</t>
        </is>
      </c>
    </row>
    <row r="1346">
      <c r="A1346" s="173" t="n">
        <v>46267</v>
      </c>
      <c r="B1346" s="174" t="n">
        <v>46267</v>
      </c>
      <c r="C1346" s="174" t="n">
        <v>1405</v>
      </c>
      <c r="D1346" s="174" t="n">
        <v>6</v>
      </c>
      <c r="E1346" s="175" t="inlineStr">
        <is>
          <t>1405/06/11</t>
        </is>
      </c>
      <c r="F1346" s="128" t="inlineStr">
        <is>
          <t>1405/06</t>
        </is>
      </c>
      <c r="G1346" s="58" t="inlineStr">
        <is>
          <t>شهریور</t>
        </is>
      </c>
      <c r="H1346" s="128" t="inlineStr">
        <is>
          <t>تابستان</t>
        </is>
      </c>
      <c r="I1346" s="128" t="inlineStr">
        <is>
          <t>چهارشنبه</t>
        </is>
      </c>
      <c r="J1346" s="128" t="inlineStr">
        <is>
          <t>بله</t>
        </is>
      </c>
    </row>
    <row r="1347">
      <c r="A1347" s="176" t="n">
        <v>46268</v>
      </c>
      <c r="B1347" s="177" t="n">
        <v>46268</v>
      </c>
      <c r="C1347" s="177" t="n">
        <v>1405</v>
      </c>
      <c r="D1347" s="177" t="n">
        <v>6</v>
      </c>
      <c r="E1347" s="178" t="inlineStr">
        <is>
          <t>1405/06/12</t>
        </is>
      </c>
      <c r="F1347" s="134" t="inlineStr">
        <is>
          <t>1405/06</t>
        </is>
      </c>
      <c r="G1347" s="61" t="inlineStr">
        <is>
          <t>شهریور</t>
        </is>
      </c>
      <c r="H1347" s="134" t="inlineStr">
        <is>
          <t>تابستان</t>
        </is>
      </c>
      <c r="I1347" s="134" t="inlineStr">
        <is>
          <t>پنجشنبه</t>
        </is>
      </c>
      <c r="J1347" s="134" t="inlineStr">
        <is>
          <t>بله</t>
        </is>
      </c>
    </row>
    <row r="1348">
      <c r="A1348" s="173" t="n">
        <v>46269</v>
      </c>
      <c r="B1348" s="174" t="n">
        <v>46269</v>
      </c>
      <c r="C1348" s="174" t="n">
        <v>1405</v>
      </c>
      <c r="D1348" s="174" t="n">
        <v>6</v>
      </c>
      <c r="E1348" s="175" t="inlineStr">
        <is>
          <t>1405/06/13</t>
        </is>
      </c>
      <c r="F1348" s="128" t="inlineStr">
        <is>
          <t>1405/06</t>
        </is>
      </c>
      <c r="G1348" s="58" t="inlineStr">
        <is>
          <t>شهریور</t>
        </is>
      </c>
      <c r="H1348" s="128" t="inlineStr">
        <is>
          <t>تابستان</t>
        </is>
      </c>
      <c r="I1348" s="128" t="inlineStr">
        <is>
          <t>جمعه</t>
        </is>
      </c>
      <c r="J1348" s="128" t="inlineStr">
        <is>
          <t>بله</t>
        </is>
      </c>
    </row>
    <row r="1349">
      <c r="A1349" s="176" t="n">
        <v>46270</v>
      </c>
      <c r="B1349" s="177" t="n">
        <v>46270</v>
      </c>
      <c r="C1349" s="177" t="n">
        <v>1405</v>
      </c>
      <c r="D1349" s="177" t="n">
        <v>6</v>
      </c>
      <c r="E1349" s="178" t="inlineStr">
        <is>
          <t>1405/06/14</t>
        </is>
      </c>
      <c r="F1349" s="134" t="inlineStr">
        <is>
          <t>1405/06</t>
        </is>
      </c>
      <c r="G1349" s="61" t="inlineStr">
        <is>
          <t>شهریور</t>
        </is>
      </c>
      <c r="H1349" s="134" t="inlineStr">
        <is>
          <t>تابستان</t>
        </is>
      </c>
      <c r="I1349" s="134" t="inlineStr">
        <is>
          <t>شنبه</t>
        </is>
      </c>
      <c r="J1349" s="134" t="inlineStr">
        <is>
          <t>خیر</t>
        </is>
      </c>
    </row>
    <row r="1350">
      <c r="A1350" s="173" t="n">
        <v>46271</v>
      </c>
      <c r="B1350" s="174" t="n">
        <v>46271</v>
      </c>
      <c r="C1350" s="174" t="n">
        <v>1405</v>
      </c>
      <c r="D1350" s="174" t="n">
        <v>6</v>
      </c>
      <c r="E1350" s="175" t="inlineStr">
        <is>
          <t>1405/06/15</t>
        </is>
      </c>
      <c r="F1350" s="128" t="inlineStr">
        <is>
          <t>1405/06</t>
        </is>
      </c>
      <c r="G1350" s="58" t="inlineStr">
        <is>
          <t>شهریور</t>
        </is>
      </c>
      <c r="H1350" s="128" t="inlineStr">
        <is>
          <t>تابستان</t>
        </is>
      </c>
      <c r="I1350" s="128" t="inlineStr">
        <is>
          <t>یکشنبه</t>
        </is>
      </c>
      <c r="J1350" s="128" t="inlineStr">
        <is>
          <t>خیر</t>
        </is>
      </c>
    </row>
    <row r="1351">
      <c r="A1351" s="176" t="n">
        <v>46272</v>
      </c>
      <c r="B1351" s="177" t="n">
        <v>46272</v>
      </c>
      <c r="C1351" s="177" t="n">
        <v>1405</v>
      </c>
      <c r="D1351" s="177" t="n">
        <v>6</v>
      </c>
      <c r="E1351" s="178" t="inlineStr">
        <is>
          <t>1405/06/16</t>
        </is>
      </c>
      <c r="F1351" s="134" t="inlineStr">
        <is>
          <t>1405/06</t>
        </is>
      </c>
      <c r="G1351" s="61" t="inlineStr">
        <is>
          <t>شهریور</t>
        </is>
      </c>
      <c r="H1351" s="134" t="inlineStr">
        <is>
          <t>تابستان</t>
        </is>
      </c>
      <c r="I1351" s="134" t="inlineStr">
        <is>
          <t>دوشنبه</t>
        </is>
      </c>
      <c r="J1351" s="134" t="inlineStr">
        <is>
          <t>بله</t>
        </is>
      </c>
    </row>
    <row r="1352">
      <c r="A1352" s="173" t="n">
        <v>46273</v>
      </c>
      <c r="B1352" s="174" t="n">
        <v>46273</v>
      </c>
      <c r="C1352" s="174" t="n">
        <v>1405</v>
      </c>
      <c r="D1352" s="174" t="n">
        <v>6</v>
      </c>
      <c r="E1352" s="175" t="inlineStr">
        <is>
          <t>1405/06/17</t>
        </is>
      </c>
      <c r="F1352" s="128" t="inlineStr">
        <is>
          <t>1405/06</t>
        </is>
      </c>
      <c r="G1352" s="58" t="inlineStr">
        <is>
          <t>شهریور</t>
        </is>
      </c>
      <c r="H1352" s="128" t="inlineStr">
        <is>
          <t>تابستان</t>
        </is>
      </c>
      <c r="I1352" s="128" t="inlineStr">
        <is>
          <t>سه‌شنبه</t>
        </is>
      </c>
      <c r="J1352" s="128" t="inlineStr">
        <is>
          <t>بله</t>
        </is>
      </c>
    </row>
    <row r="1353">
      <c r="A1353" s="176" t="n">
        <v>46274</v>
      </c>
      <c r="B1353" s="177" t="n">
        <v>46274</v>
      </c>
      <c r="C1353" s="177" t="n">
        <v>1405</v>
      </c>
      <c r="D1353" s="177" t="n">
        <v>6</v>
      </c>
      <c r="E1353" s="178" t="inlineStr">
        <is>
          <t>1405/06/18</t>
        </is>
      </c>
      <c r="F1353" s="134" t="inlineStr">
        <is>
          <t>1405/06</t>
        </is>
      </c>
      <c r="G1353" s="61" t="inlineStr">
        <is>
          <t>شهریور</t>
        </is>
      </c>
      <c r="H1353" s="134" t="inlineStr">
        <is>
          <t>تابستان</t>
        </is>
      </c>
      <c r="I1353" s="134" t="inlineStr">
        <is>
          <t>چهارشنبه</t>
        </is>
      </c>
      <c r="J1353" s="134" t="inlineStr">
        <is>
          <t>بله</t>
        </is>
      </c>
    </row>
    <row r="1354">
      <c r="A1354" s="173" t="n">
        <v>46275</v>
      </c>
      <c r="B1354" s="174" t="n">
        <v>46275</v>
      </c>
      <c r="C1354" s="174" t="n">
        <v>1405</v>
      </c>
      <c r="D1354" s="174" t="n">
        <v>6</v>
      </c>
      <c r="E1354" s="175" t="inlineStr">
        <is>
          <t>1405/06/19</t>
        </is>
      </c>
      <c r="F1354" s="128" t="inlineStr">
        <is>
          <t>1405/06</t>
        </is>
      </c>
      <c r="G1354" s="58" t="inlineStr">
        <is>
          <t>شهریور</t>
        </is>
      </c>
      <c r="H1354" s="128" t="inlineStr">
        <is>
          <t>تابستان</t>
        </is>
      </c>
      <c r="I1354" s="128" t="inlineStr">
        <is>
          <t>پنجشنبه</t>
        </is>
      </c>
      <c r="J1354" s="128" t="inlineStr">
        <is>
          <t>بله</t>
        </is>
      </c>
    </row>
    <row r="1355">
      <c r="A1355" s="176" t="n">
        <v>46276</v>
      </c>
      <c r="B1355" s="177" t="n">
        <v>46276</v>
      </c>
      <c r="C1355" s="177" t="n">
        <v>1405</v>
      </c>
      <c r="D1355" s="177" t="n">
        <v>6</v>
      </c>
      <c r="E1355" s="178" t="inlineStr">
        <is>
          <t>1405/06/20</t>
        </is>
      </c>
      <c r="F1355" s="134" t="inlineStr">
        <is>
          <t>1405/06</t>
        </is>
      </c>
      <c r="G1355" s="61" t="inlineStr">
        <is>
          <t>شهریور</t>
        </is>
      </c>
      <c r="H1355" s="134" t="inlineStr">
        <is>
          <t>تابستان</t>
        </is>
      </c>
      <c r="I1355" s="134" t="inlineStr">
        <is>
          <t>جمعه</t>
        </is>
      </c>
      <c r="J1355" s="134" t="inlineStr">
        <is>
          <t>بله</t>
        </is>
      </c>
    </row>
    <row r="1356">
      <c r="A1356" s="173" t="n">
        <v>46277</v>
      </c>
      <c r="B1356" s="174" t="n">
        <v>46277</v>
      </c>
      <c r="C1356" s="174" t="n">
        <v>1405</v>
      </c>
      <c r="D1356" s="174" t="n">
        <v>6</v>
      </c>
      <c r="E1356" s="175" t="inlineStr">
        <is>
          <t>1405/06/21</t>
        </is>
      </c>
      <c r="F1356" s="128" t="inlineStr">
        <is>
          <t>1405/06</t>
        </is>
      </c>
      <c r="G1356" s="58" t="inlineStr">
        <is>
          <t>شهریور</t>
        </is>
      </c>
      <c r="H1356" s="128" t="inlineStr">
        <is>
          <t>تابستان</t>
        </is>
      </c>
      <c r="I1356" s="128" t="inlineStr">
        <is>
          <t>شنبه</t>
        </is>
      </c>
      <c r="J1356" s="128" t="inlineStr">
        <is>
          <t>خیر</t>
        </is>
      </c>
    </row>
    <row r="1357">
      <c r="A1357" s="176" t="n">
        <v>46278</v>
      </c>
      <c r="B1357" s="177" t="n">
        <v>46278</v>
      </c>
      <c r="C1357" s="177" t="n">
        <v>1405</v>
      </c>
      <c r="D1357" s="177" t="n">
        <v>6</v>
      </c>
      <c r="E1357" s="178" t="inlineStr">
        <is>
          <t>1405/06/22</t>
        </is>
      </c>
      <c r="F1357" s="134" t="inlineStr">
        <is>
          <t>1405/06</t>
        </is>
      </c>
      <c r="G1357" s="61" t="inlineStr">
        <is>
          <t>شهریور</t>
        </is>
      </c>
      <c r="H1357" s="134" t="inlineStr">
        <is>
          <t>تابستان</t>
        </is>
      </c>
      <c r="I1357" s="134" t="inlineStr">
        <is>
          <t>یکشنبه</t>
        </is>
      </c>
      <c r="J1357" s="134" t="inlineStr">
        <is>
          <t>خیر</t>
        </is>
      </c>
    </row>
    <row r="1358">
      <c r="A1358" s="173" t="n">
        <v>46279</v>
      </c>
      <c r="B1358" s="174" t="n">
        <v>46279</v>
      </c>
      <c r="C1358" s="174" t="n">
        <v>1405</v>
      </c>
      <c r="D1358" s="174" t="n">
        <v>6</v>
      </c>
      <c r="E1358" s="175" t="inlineStr">
        <is>
          <t>1405/06/23</t>
        </is>
      </c>
      <c r="F1358" s="128" t="inlineStr">
        <is>
          <t>1405/06</t>
        </is>
      </c>
      <c r="G1358" s="58" t="inlineStr">
        <is>
          <t>شهریور</t>
        </is>
      </c>
      <c r="H1358" s="128" t="inlineStr">
        <is>
          <t>تابستان</t>
        </is>
      </c>
      <c r="I1358" s="128" t="inlineStr">
        <is>
          <t>دوشنبه</t>
        </is>
      </c>
      <c r="J1358" s="128" t="inlineStr">
        <is>
          <t>بله</t>
        </is>
      </c>
    </row>
    <row r="1359">
      <c r="A1359" s="176" t="n">
        <v>46280</v>
      </c>
      <c r="B1359" s="177" t="n">
        <v>46280</v>
      </c>
      <c r="C1359" s="177" t="n">
        <v>1405</v>
      </c>
      <c r="D1359" s="177" t="n">
        <v>6</v>
      </c>
      <c r="E1359" s="178" t="inlineStr">
        <is>
          <t>1405/06/24</t>
        </is>
      </c>
      <c r="F1359" s="134" t="inlineStr">
        <is>
          <t>1405/06</t>
        </is>
      </c>
      <c r="G1359" s="61" t="inlineStr">
        <is>
          <t>شهریور</t>
        </is>
      </c>
      <c r="H1359" s="134" t="inlineStr">
        <is>
          <t>تابستان</t>
        </is>
      </c>
      <c r="I1359" s="134" t="inlineStr">
        <is>
          <t>سه‌شنبه</t>
        </is>
      </c>
      <c r="J1359" s="134" t="inlineStr">
        <is>
          <t>بله</t>
        </is>
      </c>
    </row>
    <row r="1360">
      <c r="A1360" s="173" t="n">
        <v>46281</v>
      </c>
      <c r="B1360" s="174" t="n">
        <v>46281</v>
      </c>
      <c r="C1360" s="174" t="n">
        <v>1405</v>
      </c>
      <c r="D1360" s="174" t="n">
        <v>6</v>
      </c>
      <c r="E1360" s="175" t="inlineStr">
        <is>
          <t>1405/06/25</t>
        </is>
      </c>
      <c r="F1360" s="128" t="inlineStr">
        <is>
          <t>1405/06</t>
        </is>
      </c>
      <c r="G1360" s="58" t="inlineStr">
        <is>
          <t>شهریور</t>
        </is>
      </c>
      <c r="H1360" s="128" t="inlineStr">
        <is>
          <t>تابستان</t>
        </is>
      </c>
      <c r="I1360" s="128" t="inlineStr">
        <is>
          <t>چهارشنبه</t>
        </is>
      </c>
      <c r="J1360" s="128" t="inlineStr">
        <is>
          <t>بله</t>
        </is>
      </c>
    </row>
    <row r="1361">
      <c r="A1361" s="176" t="n">
        <v>46282</v>
      </c>
      <c r="B1361" s="177" t="n">
        <v>46282</v>
      </c>
      <c r="C1361" s="177" t="n">
        <v>1405</v>
      </c>
      <c r="D1361" s="177" t="n">
        <v>6</v>
      </c>
      <c r="E1361" s="178" t="inlineStr">
        <is>
          <t>1405/06/26</t>
        </is>
      </c>
      <c r="F1361" s="134" t="inlineStr">
        <is>
          <t>1405/06</t>
        </is>
      </c>
      <c r="G1361" s="61" t="inlineStr">
        <is>
          <t>شهریور</t>
        </is>
      </c>
      <c r="H1361" s="134" t="inlineStr">
        <is>
          <t>تابستان</t>
        </is>
      </c>
      <c r="I1361" s="134" t="inlineStr">
        <is>
          <t>پنجشنبه</t>
        </is>
      </c>
      <c r="J1361" s="134" t="inlineStr">
        <is>
          <t>بله</t>
        </is>
      </c>
    </row>
    <row r="1362">
      <c r="A1362" s="173" t="n">
        <v>46283</v>
      </c>
      <c r="B1362" s="174" t="n">
        <v>46283</v>
      </c>
      <c r="C1362" s="174" t="n">
        <v>1405</v>
      </c>
      <c r="D1362" s="174" t="n">
        <v>6</v>
      </c>
      <c r="E1362" s="175" t="inlineStr">
        <is>
          <t>1405/06/27</t>
        </is>
      </c>
      <c r="F1362" s="128" t="inlineStr">
        <is>
          <t>1405/06</t>
        </is>
      </c>
      <c r="G1362" s="58" t="inlineStr">
        <is>
          <t>شهریور</t>
        </is>
      </c>
      <c r="H1362" s="128" t="inlineStr">
        <is>
          <t>تابستان</t>
        </is>
      </c>
      <c r="I1362" s="128" t="inlineStr">
        <is>
          <t>جمعه</t>
        </is>
      </c>
      <c r="J1362" s="128" t="inlineStr">
        <is>
          <t>بله</t>
        </is>
      </c>
    </row>
    <row r="1363">
      <c r="A1363" s="176" t="n">
        <v>46284</v>
      </c>
      <c r="B1363" s="177" t="n">
        <v>46284</v>
      </c>
      <c r="C1363" s="177" t="n">
        <v>1405</v>
      </c>
      <c r="D1363" s="177" t="n">
        <v>6</v>
      </c>
      <c r="E1363" s="178" t="inlineStr">
        <is>
          <t>1405/06/28</t>
        </is>
      </c>
      <c r="F1363" s="134" t="inlineStr">
        <is>
          <t>1405/06</t>
        </is>
      </c>
      <c r="G1363" s="61" t="inlineStr">
        <is>
          <t>شهریور</t>
        </is>
      </c>
      <c r="H1363" s="134" t="inlineStr">
        <is>
          <t>تابستان</t>
        </is>
      </c>
      <c r="I1363" s="134" t="inlineStr">
        <is>
          <t>شنبه</t>
        </is>
      </c>
      <c r="J1363" s="134" t="inlineStr">
        <is>
          <t>خیر</t>
        </is>
      </c>
    </row>
    <row r="1364">
      <c r="A1364" s="173" t="n">
        <v>46285</v>
      </c>
      <c r="B1364" s="174" t="n">
        <v>46285</v>
      </c>
      <c r="C1364" s="174" t="n">
        <v>1405</v>
      </c>
      <c r="D1364" s="174" t="n">
        <v>6</v>
      </c>
      <c r="E1364" s="175" t="inlineStr">
        <is>
          <t>1405/06/29</t>
        </is>
      </c>
      <c r="F1364" s="128" t="inlineStr">
        <is>
          <t>1405/06</t>
        </is>
      </c>
      <c r="G1364" s="58" t="inlineStr">
        <is>
          <t>شهریور</t>
        </is>
      </c>
      <c r="H1364" s="128" t="inlineStr">
        <is>
          <t>تابستان</t>
        </is>
      </c>
      <c r="I1364" s="128" t="inlineStr">
        <is>
          <t>یکشنبه</t>
        </is>
      </c>
      <c r="J1364" s="128" t="inlineStr">
        <is>
          <t>خیر</t>
        </is>
      </c>
    </row>
    <row r="1365">
      <c r="A1365" s="176" t="n">
        <v>46286</v>
      </c>
      <c r="B1365" s="177" t="n">
        <v>46286</v>
      </c>
      <c r="C1365" s="177" t="n">
        <v>1405</v>
      </c>
      <c r="D1365" s="177" t="n">
        <v>6</v>
      </c>
      <c r="E1365" s="178" t="inlineStr">
        <is>
          <t>1405/06/30</t>
        </is>
      </c>
      <c r="F1365" s="134" t="inlineStr">
        <is>
          <t>1405/06</t>
        </is>
      </c>
      <c r="G1365" s="61" t="inlineStr">
        <is>
          <t>شهریور</t>
        </is>
      </c>
      <c r="H1365" s="134" t="inlineStr">
        <is>
          <t>تابستان</t>
        </is>
      </c>
      <c r="I1365" s="134" t="inlineStr">
        <is>
          <t>دوشنبه</t>
        </is>
      </c>
      <c r="J1365" s="134" t="inlineStr">
        <is>
          <t>بله</t>
        </is>
      </c>
    </row>
    <row r="1366">
      <c r="A1366" s="173" t="n">
        <v>46287</v>
      </c>
      <c r="B1366" s="174" t="n">
        <v>46287</v>
      </c>
      <c r="C1366" s="174" t="n">
        <v>1405</v>
      </c>
      <c r="D1366" s="174" t="n">
        <v>6</v>
      </c>
      <c r="E1366" s="175" t="inlineStr">
        <is>
          <t>1405/06/31</t>
        </is>
      </c>
      <c r="F1366" s="128" t="inlineStr">
        <is>
          <t>1405/06</t>
        </is>
      </c>
      <c r="G1366" s="58" t="inlineStr">
        <is>
          <t>شهریور</t>
        </is>
      </c>
      <c r="H1366" s="128" t="inlineStr">
        <is>
          <t>تابستان</t>
        </is>
      </c>
      <c r="I1366" s="128" t="inlineStr">
        <is>
          <t>سه‌شنبه</t>
        </is>
      </c>
      <c r="J1366" s="128" t="inlineStr">
        <is>
          <t>بله</t>
        </is>
      </c>
    </row>
    <row r="1367">
      <c r="A1367" s="176" t="n">
        <v>46288</v>
      </c>
      <c r="B1367" s="177" t="n">
        <v>46288</v>
      </c>
      <c r="C1367" s="177" t="n">
        <v>1405</v>
      </c>
      <c r="D1367" s="177" t="n">
        <v>7</v>
      </c>
      <c r="E1367" s="178" t="inlineStr">
        <is>
          <t>1405/07/01</t>
        </is>
      </c>
      <c r="F1367" s="134" t="inlineStr">
        <is>
          <t>1405/07</t>
        </is>
      </c>
      <c r="G1367" s="61" t="inlineStr">
        <is>
          <t>مهر</t>
        </is>
      </c>
      <c r="H1367" s="134" t="inlineStr">
        <is>
          <t>پاییز</t>
        </is>
      </c>
      <c r="I1367" s="134" t="inlineStr">
        <is>
          <t>چهارشنبه</t>
        </is>
      </c>
      <c r="J1367" s="134" t="inlineStr">
        <is>
          <t>بله</t>
        </is>
      </c>
    </row>
    <row r="1368">
      <c r="A1368" s="173" t="n">
        <v>46289</v>
      </c>
      <c r="B1368" s="174" t="n">
        <v>46289</v>
      </c>
      <c r="C1368" s="174" t="n">
        <v>1405</v>
      </c>
      <c r="D1368" s="174" t="n">
        <v>7</v>
      </c>
      <c r="E1368" s="175" t="inlineStr">
        <is>
          <t>1405/07/02</t>
        </is>
      </c>
      <c r="F1368" s="128" t="inlineStr">
        <is>
          <t>1405/07</t>
        </is>
      </c>
      <c r="G1368" s="58" t="inlineStr">
        <is>
          <t>مهر</t>
        </is>
      </c>
      <c r="H1368" s="128" t="inlineStr">
        <is>
          <t>پاییز</t>
        </is>
      </c>
      <c r="I1368" s="128" t="inlineStr">
        <is>
          <t>پنجشنبه</t>
        </is>
      </c>
      <c r="J1368" s="128" t="inlineStr">
        <is>
          <t>بله</t>
        </is>
      </c>
    </row>
    <row r="1369">
      <c r="A1369" s="176" t="n">
        <v>46290</v>
      </c>
      <c r="B1369" s="177" t="n">
        <v>46290</v>
      </c>
      <c r="C1369" s="177" t="n">
        <v>1405</v>
      </c>
      <c r="D1369" s="177" t="n">
        <v>7</v>
      </c>
      <c r="E1369" s="178" t="inlineStr">
        <is>
          <t>1405/07/03</t>
        </is>
      </c>
      <c r="F1369" s="134" t="inlineStr">
        <is>
          <t>1405/07</t>
        </is>
      </c>
      <c r="G1369" s="61" t="inlineStr">
        <is>
          <t>مهر</t>
        </is>
      </c>
      <c r="H1369" s="134" t="inlineStr">
        <is>
          <t>پاییز</t>
        </is>
      </c>
      <c r="I1369" s="134" t="inlineStr">
        <is>
          <t>جمعه</t>
        </is>
      </c>
      <c r="J1369" s="134" t="inlineStr">
        <is>
          <t>بله</t>
        </is>
      </c>
    </row>
    <row r="1370">
      <c r="A1370" s="173" t="n">
        <v>46291</v>
      </c>
      <c r="B1370" s="174" t="n">
        <v>46291</v>
      </c>
      <c r="C1370" s="174" t="n">
        <v>1405</v>
      </c>
      <c r="D1370" s="174" t="n">
        <v>7</v>
      </c>
      <c r="E1370" s="175" t="inlineStr">
        <is>
          <t>1405/07/04</t>
        </is>
      </c>
      <c r="F1370" s="128" t="inlineStr">
        <is>
          <t>1405/07</t>
        </is>
      </c>
      <c r="G1370" s="58" t="inlineStr">
        <is>
          <t>مهر</t>
        </is>
      </c>
      <c r="H1370" s="128" t="inlineStr">
        <is>
          <t>پاییز</t>
        </is>
      </c>
      <c r="I1370" s="128" t="inlineStr">
        <is>
          <t>شنبه</t>
        </is>
      </c>
      <c r="J1370" s="128" t="inlineStr">
        <is>
          <t>خیر</t>
        </is>
      </c>
    </row>
    <row r="1371">
      <c r="A1371" s="176" t="n">
        <v>46292</v>
      </c>
      <c r="B1371" s="177" t="n">
        <v>46292</v>
      </c>
      <c r="C1371" s="177" t="n">
        <v>1405</v>
      </c>
      <c r="D1371" s="177" t="n">
        <v>7</v>
      </c>
      <c r="E1371" s="178" t="inlineStr">
        <is>
          <t>1405/07/05</t>
        </is>
      </c>
      <c r="F1371" s="134" t="inlineStr">
        <is>
          <t>1405/07</t>
        </is>
      </c>
      <c r="G1371" s="61" t="inlineStr">
        <is>
          <t>مهر</t>
        </is>
      </c>
      <c r="H1371" s="134" t="inlineStr">
        <is>
          <t>پاییز</t>
        </is>
      </c>
      <c r="I1371" s="134" t="inlineStr">
        <is>
          <t>یکشنبه</t>
        </is>
      </c>
      <c r="J1371" s="134" t="inlineStr">
        <is>
          <t>خیر</t>
        </is>
      </c>
    </row>
    <row r="1372">
      <c r="A1372" s="173" t="n">
        <v>46293</v>
      </c>
      <c r="B1372" s="174" t="n">
        <v>46293</v>
      </c>
      <c r="C1372" s="174" t="n">
        <v>1405</v>
      </c>
      <c r="D1372" s="174" t="n">
        <v>7</v>
      </c>
      <c r="E1372" s="175" t="inlineStr">
        <is>
          <t>1405/07/06</t>
        </is>
      </c>
      <c r="F1372" s="128" t="inlineStr">
        <is>
          <t>1405/07</t>
        </is>
      </c>
      <c r="G1372" s="58" t="inlineStr">
        <is>
          <t>مهر</t>
        </is>
      </c>
      <c r="H1372" s="128" t="inlineStr">
        <is>
          <t>پاییز</t>
        </is>
      </c>
      <c r="I1372" s="128" t="inlineStr">
        <is>
          <t>دوشنبه</t>
        </is>
      </c>
      <c r="J1372" s="128" t="inlineStr">
        <is>
          <t>بله</t>
        </is>
      </c>
    </row>
    <row r="1373">
      <c r="A1373" s="176" t="n">
        <v>46294</v>
      </c>
      <c r="B1373" s="177" t="n">
        <v>46294</v>
      </c>
      <c r="C1373" s="177" t="n">
        <v>1405</v>
      </c>
      <c r="D1373" s="177" t="n">
        <v>7</v>
      </c>
      <c r="E1373" s="178" t="inlineStr">
        <is>
          <t>1405/07/07</t>
        </is>
      </c>
      <c r="F1373" s="134" t="inlineStr">
        <is>
          <t>1405/07</t>
        </is>
      </c>
      <c r="G1373" s="61" t="inlineStr">
        <is>
          <t>مهر</t>
        </is>
      </c>
      <c r="H1373" s="134" t="inlineStr">
        <is>
          <t>پاییز</t>
        </is>
      </c>
      <c r="I1373" s="134" t="inlineStr">
        <is>
          <t>سه‌شنبه</t>
        </is>
      </c>
      <c r="J1373" s="134" t="inlineStr">
        <is>
          <t>بله</t>
        </is>
      </c>
    </row>
    <row r="1374">
      <c r="A1374" s="173" t="n">
        <v>46295</v>
      </c>
      <c r="B1374" s="174" t="n">
        <v>46295</v>
      </c>
      <c r="C1374" s="174" t="n">
        <v>1405</v>
      </c>
      <c r="D1374" s="174" t="n">
        <v>7</v>
      </c>
      <c r="E1374" s="175" t="inlineStr">
        <is>
          <t>1405/07/08</t>
        </is>
      </c>
      <c r="F1374" s="128" t="inlineStr">
        <is>
          <t>1405/07</t>
        </is>
      </c>
      <c r="G1374" s="58" t="inlineStr">
        <is>
          <t>مهر</t>
        </is>
      </c>
      <c r="H1374" s="128" t="inlineStr">
        <is>
          <t>پاییز</t>
        </is>
      </c>
      <c r="I1374" s="128" t="inlineStr">
        <is>
          <t>چهارشنبه</t>
        </is>
      </c>
      <c r="J1374" s="128" t="inlineStr">
        <is>
          <t>بله</t>
        </is>
      </c>
    </row>
    <row r="1375">
      <c r="A1375" s="176" t="n">
        <v>46296</v>
      </c>
      <c r="B1375" s="177" t="n">
        <v>46296</v>
      </c>
      <c r="C1375" s="177" t="n">
        <v>1405</v>
      </c>
      <c r="D1375" s="177" t="n">
        <v>7</v>
      </c>
      <c r="E1375" s="178" t="inlineStr">
        <is>
          <t>1405/07/09</t>
        </is>
      </c>
      <c r="F1375" s="134" t="inlineStr">
        <is>
          <t>1405/07</t>
        </is>
      </c>
      <c r="G1375" s="61" t="inlineStr">
        <is>
          <t>مهر</t>
        </is>
      </c>
      <c r="H1375" s="134" t="inlineStr">
        <is>
          <t>پاییز</t>
        </is>
      </c>
      <c r="I1375" s="134" t="inlineStr">
        <is>
          <t>پنجشنبه</t>
        </is>
      </c>
      <c r="J1375" s="134" t="inlineStr">
        <is>
          <t>بله</t>
        </is>
      </c>
    </row>
    <row r="1376">
      <c r="A1376" s="173" t="n">
        <v>46297</v>
      </c>
      <c r="B1376" s="174" t="n">
        <v>46297</v>
      </c>
      <c r="C1376" s="174" t="n">
        <v>1405</v>
      </c>
      <c r="D1376" s="174" t="n">
        <v>7</v>
      </c>
      <c r="E1376" s="175" t="inlineStr">
        <is>
          <t>1405/07/10</t>
        </is>
      </c>
      <c r="F1376" s="128" t="inlineStr">
        <is>
          <t>1405/07</t>
        </is>
      </c>
      <c r="G1376" s="58" t="inlineStr">
        <is>
          <t>مهر</t>
        </is>
      </c>
      <c r="H1376" s="128" t="inlineStr">
        <is>
          <t>پاییز</t>
        </is>
      </c>
      <c r="I1376" s="128" t="inlineStr">
        <is>
          <t>جمعه</t>
        </is>
      </c>
      <c r="J1376" s="128" t="inlineStr">
        <is>
          <t>بله</t>
        </is>
      </c>
    </row>
    <row r="1377">
      <c r="A1377" s="176" t="n">
        <v>46298</v>
      </c>
      <c r="B1377" s="177" t="n">
        <v>46298</v>
      </c>
      <c r="C1377" s="177" t="n">
        <v>1405</v>
      </c>
      <c r="D1377" s="177" t="n">
        <v>7</v>
      </c>
      <c r="E1377" s="178" t="inlineStr">
        <is>
          <t>1405/07/11</t>
        </is>
      </c>
      <c r="F1377" s="134" t="inlineStr">
        <is>
          <t>1405/07</t>
        </is>
      </c>
      <c r="G1377" s="61" t="inlineStr">
        <is>
          <t>مهر</t>
        </is>
      </c>
      <c r="H1377" s="134" t="inlineStr">
        <is>
          <t>پاییز</t>
        </is>
      </c>
      <c r="I1377" s="134" t="inlineStr">
        <is>
          <t>شنبه</t>
        </is>
      </c>
      <c r="J1377" s="134" t="inlineStr">
        <is>
          <t>خیر</t>
        </is>
      </c>
    </row>
    <row r="1378">
      <c r="A1378" s="173" t="n">
        <v>46299</v>
      </c>
      <c r="B1378" s="174" t="n">
        <v>46299</v>
      </c>
      <c r="C1378" s="174" t="n">
        <v>1405</v>
      </c>
      <c r="D1378" s="174" t="n">
        <v>7</v>
      </c>
      <c r="E1378" s="175" t="inlineStr">
        <is>
          <t>1405/07/12</t>
        </is>
      </c>
      <c r="F1378" s="128" t="inlineStr">
        <is>
          <t>1405/07</t>
        </is>
      </c>
      <c r="G1378" s="58" t="inlineStr">
        <is>
          <t>مهر</t>
        </is>
      </c>
      <c r="H1378" s="128" t="inlineStr">
        <is>
          <t>پاییز</t>
        </is>
      </c>
      <c r="I1378" s="128" t="inlineStr">
        <is>
          <t>یکشنبه</t>
        </is>
      </c>
      <c r="J1378" s="128" t="inlineStr">
        <is>
          <t>خیر</t>
        </is>
      </c>
    </row>
    <row r="1379">
      <c r="A1379" s="176" t="n">
        <v>46300</v>
      </c>
      <c r="B1379" s="177" t="n">
        <v>46300</v>
      </c>
      <c r="C1379" s="177" t="n">
        <v>1405</v>
      </c>
      <c r="D1379" s="177" t="n">
        <v>7</v>
      </c>
      <c r="E1379" s="178" t="inlineStr">
        <is>
          <t>1405/07/13</t>
        </is>
      </c>
      <c r="F1379" s="134" t="inlineStr">
        <is>
          <t>1405/07</t>
        </is>
      </c>
      <c r="G1379" s="61" t="inlineStr">
        <is>
          <t>مهر</t>
        </is>
      </c>
      <c r="H1379" s="134" t="inlineStr">
        <is>
          <t>پاییز</t>
        </is>
      </c>
      <c r="I1379" s="134" t="inlineStr">
        <is>
          <t>دوشنبه</t>
        </is>
      </c>
      <c r="J1379" s="134" t="inlineStr">
        <is>
          <t>بله</t>
        </is>
      </c>
    </row>
    <row r="1380">
      <c r="A1380" s="173" t="n">
        <v>46301</v>
      </c>
      <c r="B1380" s="174" t="n">
        <v>46301</v>
      </c>
      <c r="C1380" s="174" t="n">
        <v>1405</v>
      </c>
      <c r="D1380" s="174" t="n">
        <v>7</v>
      </c>
      <c r="E1380" s="175" t="inlineStr">
        <is>
          <t>1405/07/14</t>
        </is>
      </c>
      <c r="F1380" s="128" t="inlineStr">
        <is>
          <t>1405/07</t>
        </is>
      </c>
      <c r="G1380" s="58" t="inlineStr">
        <is>
          <t>مهر</t>
        </is>
      </c>
      <c r="H1380" s="128" t="inlineStr">
        <is>
          <t>پاییز</t>
        </is>
      </c>
      <c r="I1380" s="128" t="inlineStr">
        <is>
          <t>سه‌شنبه</t>
        </is>
      </c>
      <c r="J1380" s="128" t="inlineStr">
        <is>
          <t>بله</t>
        </is>
      </c>
    </row>
    <row r="1381">
      <c r="A1381" s="176" t="n">
        <v>46302</v>
      </c>
      <c r="B1381" s="177" t="n">
        <v>46302</v>
      </c>
      <c r="C1381" s="177" t="n">
        <v>1405</v>
      </c>
      <c r="D1381" s="177" t="n">
        <v>7</v>
      </c>
      <c r="E1381" s="178" t="inlineStr">
        <is>
          <t>1405/07/15</t>
        </is>
      </c>
      <c r="F1381" s="134" t="inlineStr">
        <is>
          <t>1405/07</t>
        </is>
      </c>
      <c r="G1381" s="61" t="inlineStr">
        <is>
          <t>مهر</t>
        </is>
      </c>
      <c r="H1381" s="134" t="inlineStr">
        <is>
          <t>پاییز</t>
        </is>
      </c>
      <c r="I1381" s="134" t="inlineStr">
        <is>
          <t>چهارشنبه</t>
        </is>
      </c>
      <c r="J1381" s="134" t="inlineStr">
        <is>
          <t>بله</t>
        </is>
      </c>
    </row>
    <row r="1382">
      <c r="A1382" s="173" t="n">
        <v>46303</v>
      </c>
      <c r="B1382" s="174" t="n">
        <v>46303</v>
      </c>
      <c r="C1382" s="174" t="n">
        <v>1405</v>
      </c>
      <c r="D1382" s="174" t="n">
        <v>7</v>
      </c>
      <c r="E1382" s="175" t="inlineStr">
        <is>
          <t>1405/07/16</t>
        </is>
      </c>
      <c r="F1382" s="128" t="inlineStr">
        <is>
          <t>1405/07</t>
        </is>
      </c>
      <c r="G1382" s="58" t="inlineStr">
        <is>
          <t>مهر</t>
        </is>
      </c>
      <c r="H1382" s="128" t="inlineStr">
        <is>
          <t>پاییز</t>
        </is>
      </c>
      <c r="I1382" s="128" t="inlineStr">
        <is>
          <t>پنجشنبه</t>
        </is>
      </c>
      <c r="J1382" s="128" t="inlineStr">
        <is>
          <t>بله</t>
        </is>
      </c>
    </row>
    <row r="1383">
      <c r="A1383" s="176" t="n">
        <v>46304</v>
      </c>
      <c r="B1383" s="177" t="n">
        <v>46304</v>
      </c>
      <c r="C1383" s="177" t="n">
        <v>1405</v>
      </c>
      <c r="D1383" s="177" t="n">
        <v>7</v>
      </c>
      <c r="E1383" s="178" t="inlineStr">
        <is>
          <t>1405/07/17</t>
        </is>
      </c>
      <c r="F1383" s="134" t="inlineStr">
        <is>
          <t>1405/07</t>
        </is>
      </c>
      <c r="G1383" s="61" t="inlineStr">
        <is>
          <t>مهر</t>
        </is>
      </c>
      <c r="H1383" s="134" t="inlineStr">
        <is>
          <t>پاییز</t>
        </is>
      </c>
      <c r="I1383" s="134" t="inlineStr">
        <is>
          <t>جمعه</t>
        </is>
      </c>
      <c r="J1383" s="134" t="inlineStr">
        <is>
          <t>بله</t>
        </is>
      </c>
    </row>
    <row r="1384">
      <c r="A1384" s="173" t="n">
        <v>46305</v>
      </c>
      <c r="B1384" s="174" t="n">
        <v>46305</v>
      </c>
      <c r="C1384" s="174" t="n">
        <v>1405</v>
      </c>
      <c r="D1384" s="174" t="n">
        <v>7</v>
      </c>
      <c r="E1384" s="175" t="inlineStr">
        <is>
          <t>1405/07/18</t>
        </is>
      </c>
      <c r="F1384" s="128" t="inlineStr">
        <is>
          <t>1405/07</t>
        </is>
      </c>
      <c r="G1384" s="58" t="inlineStr">
        <is>
          <t>مهر</t>
        </is>
      </c>
      <c r="H1384" s="128" t="inlineStr">
        <is>
          <t>پاییز</t>
        </is>
      </c>
      <c r="I1384" s="128" t="inlineStr">
        <is>
          <t>شنبه</t>
        </is>
      </c>
      <c r="J1384" s="128" t="inlineStr">
        <is>
          <t>خیر</t>
        </is>
      </c>
    </row>
    <row r="1385">
      <c r="A1385" s="176" t="n">
        <v>46306</v>
      </c>
      <c r="B1385" s="177" t="n">
        <v>46306</v>
      </c>
      <c r="C1385" s="177" t="n">
        <v>1405</v>
      </c>
      <c r="D1385" s="177" t="n">
        <v>7</v>
      </c>
      <c r="E1385" s="178" t="inlineStr">
        <is>
          <t>1405/07/19</t>
        </is>
      </c>
      <c r="F1385" s="134" t="inlineStr">
        <is>
          <t>1405/07</t>
        </is>
      </c>
      <c r="G1385" s="61" t="inlineStr">
        <is>
          <t>مهر</t>
        </is>
      </c>
      <c r="H1385" s="134" t="inlineStr">
        <is>
          <t>پاییز</t>
        </is>
      </c>
      <c r="I1385" s="134" t="inlineStr">
        <is>
          <t>یکشنبه</t>
        </is>
      </c>
      <c r="J1385" s="134" t="inlineStr">
        <is>
          <t>خیر</t>
        </is>
      </c>
    </row>
    <row r="1386">
      <c r="A1386" s="173" t="n">
        <v>46307</v>
      </c>
      <c r="B1386" s="174" t="n">
        <v>46307</v>
      </c>
      <c r="C1386" s="174" t="n">
        <v>1405</v>
      </c>
      <c r="D1386" s="174" t="n">
        <v>7</v>
      </c>
      <c r="E1386" s="175" t="inlineStr">
        <is>
          <t>1405/07/20</t>
        </is>
      </c>
      <c r="F1386" s="128" t="inlineStr">
        <is>
          <t>1405/07</t>
        </is>
      </c>
      <c r="G1386" s="58" t="inlineStr">
        <is>
          <t>مهر</t>
        </is>
      </c>
      <c r="H1386" s="128" t="inlineStr">
        <is>
          <t>پاییز</t>
        </is>
      </c>
      <c r="I1386" s="128" t="inlineStr">
        <is>
          <t>دوشنبه</t>
        </is>
      </c>
      <c r="J1386" s="128" t="inlineStr">
        <is>
          <t>بله</t>
        </is>
      </c>
    </row>
    <row r="1387">
      <c r="A1387" s="176" t="n">
        <v>46308</v>
      </c>
      <c r="B1387" s="177" t="n">
        <v>46308</v>
      </c>
      <c r="C1387" s="177" t="n">
        <v>1405</v>
      </c>
      <c r="D1387" s="177" t="n">
        <v>7</v>
      </c>
      <c r="E1387" s="178" t="inlineStr">
        <is>
          <t>1405/07/21</t>
        </is>
      </c>
      <c r="F1387" s="134" t="inlineStr">
        <is>
          <t>1405/07</t>
        </is>
      </c>
      <c r="G1387" s="61" t="inlineStr">
        <is>
          <t>مهر</t>
        </is>
      </c>
      <c r="H1387" s="134" t="inlineStr">
        <is>
          <t>پاییز</t>
        </is>
      </c>
      <c r="I1387" s="134" t="inlineStr">
        <is>
          <t>سه‌شنبه</t>
        </is>
      </c>
      <c r="J1387" s="134" t="inlineStr">
        <is>
          <t>بله</t>
        </is>
      </c>
    </row>
    <row r="1388">
      <c r="A1388" s="173" t="n">
        <v>46309</v>
      </c>
      <c r="B1388" s="174" t="n">
        <v>46309</v>
      </c>
      <c r="C1388" s="174" t="n">
        <v>1405</v>
      </c>
      <c r="D1388" s="174" t="n">
        <v>7</v>
      </c>
      <c r="E1388" s="175" t="inlineStr">
        <is>
          <t>1405/07/22</t>
        </is>
      </c>
      <c r="F1388" s="128" t="inlineStr">
        <is>
          <t>1405/07</t>
        </is>
      </c>
      <c r="G1388" s="58" t="inlineStr">
        <is>
          <t>مهر</t>
        </is>
      </c>
      <c r="H1388" s="128" t="inlineStr">
        <is>
          <t>پاییز</t>
        </is>
      </c>
      <c r="I1388" s="128" t="inlineStr">
        <is>
          <t>چهارشنبه</t>
        </is>
      </c>
      <c r="J1388" s="128" t="inlineStr">
        <is>
          <t>بله</t>
        </is>
      </c>
    </row>
    <row r="1389">
      <c r="A1389" s="176" t="n">
        <v>46310</v>
      </c>
      <c r="B1389" s="177" t="n">
        <v>46310</v>
      </c>
      <c r="C1389" s="177" t="n">
        <v>1405</v>
      </c>
      <c r="D1389" s="177" t="n">
        <v>7</v>
      </c>
      <c r="E1389" s="178" t="inlineStr">
        <is>
          <t>1405/07/23</t>
        </is>
      </c>
      <c r="F1389" s="134" t="inlineStr">
        <is>
          <t>1405/07</t>
        </is>
      </c>
      <c r="G1389" s="61" t="inlineStr">
        <is>
          <t>مهر</t>
        </is>
      </c>
      <c r="H1389" s="134" t="inlineStr">
        <is>
          <t>پاییز</t>
        </is>
      </c>
      <c r="I1389" s="134" t="inlineStr">
        <is>
          <t>پنجشنبه</t>
        </is>
      </c>
      <c r="J1389" s="134" t="inlineStr">
        <is>
          <t>بله</t>
        </is>
      </c>
    </row>
    <row r="1390">
      <c r="A1390" s="173" t="n">
        <v>46311</v>
      </c>
      <c r="B1390" s="174" t="n">
        <v>46311</v>
      </c>
      <c r="C1390" s="174" t="n">
        <v>1405</v>
      </c>
      <c r="D1390" s="174" t="n">
        <v>7</v>
      </c>
      <c r="E1390" s="175" t="inlineStr">
        <is>
          <t>1405/07/24</t>
        </is>
      </c>
      <c r="F1390" s="128" t="inlineStr">
        <is>
          <t>1405/07</t>
        </is>
      </c>
      <c r="G1390" s="58" t="inlineStr">
        <is>
          <t>مهر</t>
        </is>
      </c>
      <c r="H1390" s="128" t="inlineStr">
        <is>
          <t>پاییز</t>
        </is>
      </c>
      <c r="I1390" s="128" t="inlineStr">
        <is>
          <t>جمعه</t>
        </is>
      </c>
      <c r="J1390" s="128" t="inlineStr">
        <is>
          <t>بله</t>
        </is>
      </c>
    </row>
    <row r="1391">
      <c r="A1391" s="176" t="n">
        <v>46312</v>
      </c>
      <c r="B1391" s="177" t="n">
        <v>46312</v>
      </c>
      <c r="C1391" s="177" t="n">
        <v>1405</v>
      </c>
      <c r="D1391" s="177" t="n">
        <v>7</v>
      </c>
      <c r="E1391" s="178" t="inlineStr">
        <is>
          <t>1405/07/25</t>
        </is>
      </c>
      <c r="F1391" s="134" t="inlineStr">
        <is>
          <t>1405/07</t>
        </is>
      </c>
      <c r="G1391" s="61" t="inlineStr">
        <is>
          <t>مهر</t>
        </is>
      </c>
      <c r="H1391" s="134" t="inlineStr">
        <is>
          <t>پاییز</t>
        </is>
      </c>
      <c r="I1391" s="134" t="inlineStr">
        <is>
          <t>شنبه</t>
        </is>
      </c>
      <c r="J1391" s="134" t="inlineStr">
        <is>
          <t>خیر</t>
        </is>
      </c>
    </row>
    <row r="1392">
      <c r="A1392" s="173" t="n">
        <v>46313</v>
      </c>
      <c r="B1392" s="174" t="n">
        <v>46313</v>
      </c>
      <c r="C1392" s="174" t="n">
        <v>1405</v>
      </c>
      <c r="D1392" s="174" t="n">
        <v>7</v>
      </c>
      <c r="E1392" s="175" t="inlineStr">
        <is>
          <t>1405/07/26</t>
        </is>
      </c>
      <c r="F1392" s="128" t="inlineStr">
        <is>
          <t>1405/07</t>
        </is>
      </c>
      <c r="G1392" s="58" t="inlineStr">
        <is>
          <t>مهر</t>
        </is>
      </c>
      <c r="H1392" s="128" t="inlineStr">
        <is>
          <t>پاییز</t>
        </is>
      </c>
      <c r="I1392" s="128" t="inlineStr">
        <is>
          <t>یکشنبه</t>
        </is>
      </c>
      <c r="J1392" s="128" t="inlineStr">
        <is>
          <t>خیر</t>
        </is>
      </c>
    </row>
    <row r="1393">
      <c r="A1393" s="176" t="n">
        <v>46314</v>
      </c>
      <c r="B1393" s="177" t="n">
        <v>46314</v>
      </c>
      <c r="C1393" s="177" t="n">
        <v>1405</v>
      </c>
      <c r="D1393" s="177" t="n">
        <v>7</v>
      </c>
      <c r="E1393" s="178" t="inlineStr">
        <is>
          <t>1405/07/27</t>
        </is>
      </c>
      <c r="F1393" s="134" t="inlineStr">
        <is>
          <t>1405/07</t>
        </is>
      </c>
      <c r="G1393" s="61" t="inlineStr">
        <is>
          <t>مهر</t>
        </is>
      </c>
      <c r="H1393" s="134" t="inlineStr">
        <is>
          <t>پاییز</t>
        </is>
      </c>
      <c r="I1393" s="134" t="inlineStr">
        <is>
          <t>دوشنبه</t>
        </is>
      </c>
      <c r="J1393" s="134" t="inlineStr">
        <is>
          <t>بله</t>
        </is>
      </c>
    </row>
    <row r="1394">
      <c r="A1394" s="173" t="n">
        <v>46315</v>
      </c>
      <c r="B1394" s="174" t="n">
        <v>46315</v>
      </c>
      <c r="C1394" s="174" t="n">
        <v>1405</v>
      </c>
      <c r="D1394" s="174" t="n">
        <v>7</v>
      </c>
      <c r="E1394" s="175" t="inlineStr">
        <is>
          <t>1405/07/28</t>
        </is>
      </c>
      <c r="F1394" s="128" t="inlineStr">
        <is>
          <t>1405/07</t>
        </is>
      </c>
      <c r="G1394" s="58" t="inlineStr">
        <is>
          <t>مهر</t>
        </is>
      </c>
      <c r="H1394" s="128" t="inlineStr">
        <is>
          <t>پاییز</t>
        </is>
      </c>
      <c r="I1394" s="128" t="inlineStr">
        <is>
          <t>سه‌شنبه</t>
        </is>
      </c>
      <c r="J1394" s="128" t="inlineStr">
        <is>
          <t>بله</t>
        </is>
      </c>
    </row>
    <row r="1395">
      <c r="A1395" s="176" t="n">
        <v>46316</v>
      </c>
      <c r="B1395" s="177" t="n">
        <v>46316</v>
      </c>
      <c r="C1395" s="177" t="n">
        <v>1405</v>
      </c>
      <c r="D1395" s="177" t="n">
        <v>7</v>
      </c>
      <c r="E1395" s="178" t="inlineStr">
        <is>
          <t>1405/07/29</t>
        </is>
      </c>
      <c r="F1395" s="134" t="inlineStr">
        <is>
          <t>1405/07</t>
        </is>
      </c>
      <c r="G1395" s="61" t="inlineStr">
        <is>
          <t>مهر</t>
        </is>
      </c>
      <c r="H1395" s="134" t="inlineStr">
        <is>
          <t>پاییز</t>
        </is>
      </c>
      <c r="I1395" s="134" t="inlineStr">
        <is>
          <t>چهارشنبه</t>
        </is>
      </c>
      <c r="J1395" s="134" t="inlineStr">
        <is>
          <t>بله</t>
        </is>
      </c>
    </row>
    <row r="1396">
      <c r="A1396" s="173" t="n">
        <v>46317</v>
      </c>
      <c r="B1396" s="174" t="n">
        <v>46317</v>
      </c>
      <c r="C1396" s="174" t="n">
        <v>1405</v>
      </c>
      <c r="D1396" s="174" t="n">
        <v>7</v>
      </c>
      <c r="E1396" s="175" t="inlineStr">
        <is>
          <t>1405/07/30</t>
        </is>
      </c>
      <c r="F1396" s="128" t="inlineStr">
        <is>
          <t>1405/07</t>
        </is>
      </c>
      <c r="G1396" s="58" t="inlineStr">
        <is>
          <t>مهر</t>
        </is>
      </c>
      <c r="H1396" s="128" t="inlineStr">
        <is>
          <t>پاییز</t>
        </is>
      </c>
      <c r="I1396" s="128" t="inlineStr">
        <is>
          <t>پنجشنبه</t>
        </is>
      </c>
      <c r="J1396" s="128" t="inlineStr">
        <is>
          <t>بله</t>
        </is>
      </c>
    </row>
    <row r="1397">
      <c r="A1397" s="176" t="n">
        <v>46318</v>
      </c>
      <c r="B1397" s="177" t="n">
        <v>46318</v>
      </c>
      <c r="C1397" s="177" t="n">
        <v>1405</v>
      </c>
      <c r="D1397" s="177" t="n">
        <v>8</v>
      </c>
      <c r="E1397" s="178" t="inlineStr">
        <is>
          <t>1405/08/01</t>
        </is>
      </c>
      <c r="F1397" s="134" t="inlineStr">
        <is>
          <t>1405/08</t>
        </is>
      </c>
      <c r="G1397" s="61" t="inlineStr">
        <is>
          <t>آبان</t>
        </is>
      </c>
      <c r="H1397" s="134" t="inlineStr">
        <is>
          <t>پاییز</t>
        </is>
      </c>
      <c r="I1397" s="134" t="inlineStr">
        <is>
          <t>جمعه</t>
        </is>
      </c>
      <c r="J1397" s="134" t="inlineStr">
        <is>
          <t>بله</t>
        </is>
      </c>
    </row>
    <row r="1398">
      <c r="A1398" s="173" t="n">
        <v>46319</v>
      </c>
      <c r="B1398" s="174" t="n">
        <v>46319</v>
      </c>
      <c r="C1398" s="174" t="n">
        <v>1405</v>
      </c>
      <c r="D1398" s="174" t="n">
        <v>8</v>
      </c>
      <c r="E1398" s="175" t="inlineStr">
        <is>
          <t>1405/08/02</t>
        </is>
      </c>
      <c r="F1398" s="128" t="inlineStr">
        <is>
          <t>1405/08</t>
        </is>
      </c>
      <c r="G1398" s="58" t="inlineStr">
        <is>
          <t>آبان</t>
        </is>
      </c>
      <c r="H1398" s="128" t="inlineStr">
        <is>
          <t>پاییز</t>
        </is>
      </c>
      <c r="I1398" s="128" t="inlineStr">
        <is>
          <t>شنبه</t>
        </is>
      </c>
      <c r="J1398" s="128" t="inlineStr">
        <is>
          <t>خیر</t>
        </is>
      </c>
    </row>
    <row r="1399">
      <c r="A1399" s="176" t="n">
        <v>46320</v>
      </c>
      <c r="B1399" s="177" t="n">
        <v>46320</v>
      </c>
      <c r="C1399" s="177" t="n">
        <v>1405</v>
      </c>
      <c r="D1399" s="177" t="n">
        <v>8</v>
      </c>
      <c r="E1399" s="178" t="inlineStr">
        <is>
          <t>1405/08/03</t>
        </is>
      </c>
      <c r="F1399" s="134" t="inlineStr">
        <is>
          <t>1405/08</t>
        </is>
      </c>
      <c r="G1399" s="61" t="inlineStr">
        <is>
          <t>آبان</t>
        </is>
      </c>
      <c r="H1399" s="134" t="inlineStr">
        <is>
          <t>پاییز</t>
        </is>
      </c>
      <c r="I1399" s="134" t="inlineStr">
        <is>
          <t>یکشنبه</t>
        </is>
      </c>
      <c r="J1399" s="134" t="inlineStr">
        <is>
          <t>خیر</t>
        </is>
      </c>
    </row>
    <row r="1400">
      <c r="A1400" s="173" t="n">
        <v>46321</v>
      </c>
      <c r="B1400" s="174" t="n">
        <v>46321</v>
      </c>
      <c r="C1400" s="174" t="n">
        <v>1405</v>
      </c>
      <c r="D1400" s="174" t="n">
        <v>8</v>
      </c>
      <c r="E1400" s="175" t="inlineStr">
        <is>
          <t>1405/08/04</t>
        </is>
      </c>
      <c r="F1400" s="128" t="inlineStr">
        <is>
          <t>1405/08</t>
        </is>
      </c>
      <c r="G1400" s="58" t="inlineStr">
        <is>
          <t>آبان</t>
        </is>
      </c>
      <c r="H1400" s="128" t="inlineStr">
        <is>
          <t>پاییز</t>
        </is>
      </c>
      <c r="I1400" s="128" t="inlineStr">
        <is>
          <t>دوشنبه</t>
        </is>
      </c>
      <c r="J1400" s="128" t="inlineStr">
        <is>
          <t>بله</t>
        </is>
      </c>
    </row>
    <row r="1401">
      <c r="A1401" s="176" t="n">
        <v>46322</v>
      </c>
      <c r="B1401" s="177" t="n">
        <v>46322</v>
      </c>
      <c r="C1401" s="177" t="n">
        <v>1405</v>
      </c>
      <c r="D1401" s="177" t="n">
        <v>8</v>
      </c>
      <c r="E1401" s="178" t="inlineStr">
        <is>
          <t>1405/08/05</t>
        </is>
      </c>
      <c r="F1401" s="134" t="inlineStr">
        <is>
          <t>1405/08</t>
        </is>
      </c>
      <c r="G1401" s="61" t="inlineStr">
        <is>
          <t>آبان</t>
        </is>
      </c>
      <c r="H1401" s="134" t="inlineStr">
        <is>
          <t>پاییز</t>
        </is>
      </c>
      <c r="I1401" s="134" t="inlineStr">
        <is>
          <t>سه‌شنبه</t>
        </is>
      </c>
      <c r="J1401" s="134" t="inlineStr">
        <is>
          <t>بله</t>
        </is>
      </c>
    </row>
    <row r="1402">
      <c r="A1402" s="173" t="n">
        <v>46323</v>
      </c>
      <c r="B1402" s="174" t="n">
        <v>46323</v>
      </c>
      <c r="C1402" s="174" t="n">
        <v>1405</v>
      </c>
      <c r="D1402" s="174" t="n">
        <v>8</v>
      </c>
      <c r="E1402" s="175" t="inlineStr">
        <is>
          <t>1405/08/06</t>
        </is>
      </c>
      <c r="F1402" s="128" t="inlineStr">
        <is>
          <t>1405/08</t>
        </is>
      </c>
      <c r="G1402" s="58" t="inlineStr">
        <is>
          <t>آبان</t>
        </is>
      </c>
      <c r="H1402" s="128" t="inlineStr">
        <is>
          <t>پاییز</t>
        </is>
      </c>
      <c r="I1402" s="128" t="inlineStr">
        <is>
          <t>چهارشنبه</t>
        </is>
      </c>
      <c r="J1402" s="128" t="inlineStr">
        <is>
          <t>بله</t>
        </is>
      </c>
    </row>
    <row r="1403">
      <c r="A1403" s="176" t="n">
        <v>46324</v>
      </c>
      <c r="B1403" s="177" t="n">
        <v>46324</v>
      </c>
      <c r="C1403" s="177" t="n">
        <v>1405</v>
      </c>
      <c r="D1403" s="177" t="n">
        <v>8</v>
      </c>
      <c r="E1403" s="178" t="inlineStr">
        <is>
          <t>1405/08/07</t>
        </is>
      </c>
      <c r="F1403" s="134" t="inlineStr">
        <is>
          <t>1405/08</t>
        </is>
      </c>
      <c r="G1403" s="61" t="inlineStr">
        <is>
          <t>آبان</t>
        </is>
      </c>
      <c r="H1403" s="134" t="inlineStr">
        <is>
          <t>پاییز</t>
        </is>
      </c>
      <c r="I1403" s="134" t="inlineStr">
        <is>
          <t>پنجشنبه</t>
        </is>
      </c>
      <c r="J1403" s="134" t="inlineStr">
        <is>
          <t>بله</t>
        </is>
      </c>
    </row>
    <row r="1404">
      <c r="A1404" s="173" t="n">
        <v>46325</v>
      </c>
      <c r="B1404" s="174" t="n">
        <v>46325</v>
      </c>
      <c r="C1404" s="174" t="n">
        <v>1405</v>
      </c>
      <c r="D1404" s="174" t="n">
        <v>8</v>
      </c>
      <c r="E1404" s="175" t="inlineStr">
        <is>
          <t>1405/08/08</t>
        </is>
      </c>
      <c r="F1404" s="128" t="inlineStr">
        <is>
          <t>1405/08</t>
        </is>
      </c>
      <c r="G1404" s="58" t="inlineStr">
        <is>
          <t>آبان</t>
        </is>
      </c>
      <c r="H1404" s="128" t="inlineStr">
        <is>
          <t>پاییز</t>
        </is>
      </c>
      <c r="I1404" s="128" t="inlineStr">
        <is>
          <t>جمعه</t>
        </is>
      </c>
      <c r="J1404" s="128" t="inlineStr">
        <is>
          <t>بله</t>
        </is>
      </c>
    </row>
    <row r="1405">
      <c r="A1405" s="176" t="n">
        <v>46326</v>
      </c>
      <c r="B1405" s="177" t="n">
        <v>46326</v>
      </c>
      <c r="C1405" s="177" t="n">
        <v>1405</v>
      </c>
      <c r="D1405" s="177" t="n">
        <v>8</v>
      </c>
      <c r="E1405" s="178" t="inlineStr">
        <is>
          <t>1405/08/09</t>
        </is>
      </c>
      <c r="F1405" s="134" t="inlineStr">
        <is>
          <t>1405/08</t>
        </is>
      </c>
      <c r="G1405" s="61" t="inlineStr">
        <is>
          <t>آبان</t>
        </is>
      </c>
      <c r="H1405" s="134" t="inlineStr">
        <is>
          <t>پاییز</t>
        </is>
      </c>
      <c r="I1405" s="134" t="inlineStr">
        <is>
          <t>شنبه</t>
        </is>
      </c>
      <c r="J1405" s="134" t="inlineStr">
        <is>
          <t>خیر</t>
        </is>
      </c>
    </row>
    <row r="1406">
      <c r="A1406" s="173" t="n">
        <v>46327</v>
      </c>
      <c r="B1406" s="174" t="n">
        <v>46327</v>
      </c>
      <c r="C1406" s="174" t="n">
        <v>1405</v>
      </c>
      <c r="D1406" s="174" t="n">
        <v>8</v>
      </c>
      <c r="E1406" s="175" t="inlineStr">
        <is>
          <t>1405/08/10</t>
        </is>
      </c>
      <c r="F1406" s="128" t="inlineStr">
        <is>
          <t>1405/08</t>
        </is>
      </c>
      <c r="G1406" s="58" t="inlineStr">
        <is>
          <t>آبان</t>
        </is>
      </c>
      <c r="H1406" s="128" t="inlineStr">
        <is>
          <t>پاییز</t>
        </is>
      </c>
      <c r="I1406" s="128" t="inlineStr">
        <is>
          <t>یکشنبه</t>
        </is>
      </c>
      <c r="J1406" s="128" t="inlineStr">
        <is>
          <t>خیر</t>
        </is>
      </c>
    </row>
    <row r="1407">
      <c r="A1407" s="176" t="n">
        <v>46328</v>
      </c>
      <c r="B1407" s="177" t="n">
        <v>46328</v>
      </c>
      <c r="C1407" s="177" t="n">
        <v>1405</v>
      </c>
      <c r="D1407" s="177" t="n">
        <v>8</v>
      </c>
      <c r="E1407" s="178" t="inlineStr">
        <is>
          <t>1405/08/11</t>
        </is>
      </c>
      <c r="F1407" s="134" t="inlineStr">
        <is>
          <t>1405/08</t>
        </is>
      </c>
      <c r="G1407" s="61" t="inlineStr">
        <is>
          <t>آبان</t>
        </is>
      </c>
      <c r="H1407" s="134" t="inlineStr">
        <is>
          <t>پاییز</t>
        </is>
      </c>
      <c r="I1407" s="134" t="inlineStr">
        <is>
          <t>دوشنبه</t>
        </is>
      </c>
      <c r="J1407" s="134" t="inlineStr">
        <is>
          <t>بله</t>
        </is>
      </c>
    </row>
    <row r="1408">
      <c r="A1408" s="173" t="n">
        <v>46329</v>
      </c>
      <c r="B1408" s="174" t="n">
        <v>46329</v>
      </c>
      <c r="C1408" s="174" t="n">
        <v>1405</v>
      </c>
      <c r="D1408" s="174" t="n">
        <v>8</v>
      </c>
      <c r="E1408" s="175" t="inlineStr">
        <is>
          <t>1405/08/12</t>
        </is>
      </c>
      <c r="F1408" s="128" t="inlineStr">
        <is>
          <t>1405/08</t>
        </is>
      </c>
      <c r="G1408" s="58" t="inlineStr">
        <is>
          <t>آبان</t>
        </is>
      </c>
      <c r="H1408" s="128" t="inlineStr">
        <is>
          <t>پاییز</t>
        </is>
      </c>
      <c r="I1408" s="128" t="inlineStr">
        <is>
          <t>سه‌شنبه</t>
        </is>
      </c>
      <c r="J1408" s="128" t="inlineStr">
        <is>
          <t>بله</t>
        </is>
      </c>
    </row>
    <row r="1409">
      <c r="A1409" s="176" t="n">
        <v>46330</v>
      </c>
      <c r="B1409" s="177" t="n">
        <v>46330</v>
      </c>
      <c r="C1409" s="177" t="n">
        <v>1405</v>
      </c>
      <c r="D1409" s="177" t="n">
        <v>8</v>
      </c>
      <c r="E1409" s="178" t="inlineStr">
        <is>
          <t>1405/08/13</t>
        </is>
      </c>
      <c r="F1409" s="134" t="inlineStr">
        <is>
          <t>1405/08</t>
        </is>
      </c>
      <c r="G1409" s="61" t="inlineStr">
        <is>
          <t>آبان</t>
        </is>
      </c>
      <c r="H1409" s="134" t="inlineStr">
        <is>
          <t>پاییز</t>
        </is>
      </c>
      <c r="I1409" s="134" t="inlineStr">
        <is>
          <t>چهارشنبه</t>
        </is>
      </c>
      <c r="J1409" s="134" t="inlineStr">
        <is>
          <t>بله</t>
        </is>
      </c>
    </row>
    <row r="1410">
      <c r="A1410" s="173" t="n">
        <v>46331</v>
      </c>
      <c r="B1410" s="174" t="n">
        <v>46331</v>
      </c>
      <c r="C1410" s="174" t="n">
        <v>1405</v>
      </c>
      <c r="D1410" s="174" t="n">
        <v>8</v>
      </c>
      <c r="E1410" s="175" t="inlineStr">
        <is>
          <t>1405/08/14</t>
        </is>
      </c>
      <c r="F1410" s="128" t="inlineStr">
        <is>
          <t>1405/08</t>
        </is>
      </c>
      <c r="G1410" s="58" t="inlineStr">
        <is>
          <t>آبان</t>
        </is>
      </c>
      <c r="H1410" s="128" t="inlineStr">
        <is>
          <t>پاییز</t>
        </is>
      </c>
      <c r="I1410" s="128" t="inlineStr">
        <is>
          <t>پنجشنبه</t>
        </is>
      </c>
      <c r="J1410" s="128" t="inlineStr">
        <is>
          <t>بله</t>
        </is>
      </c>
    </row>
    <row r="1411">
      <c r="A1411" s="176" t="n">
        <v>46332</v>
      </c>
      <c r="B1411" s="177" t="n">
        <v>46332</v>
      </c>
      <c r="C1411" s="177" t="n">
        <v>1405</v>
      </c>
      <c r="D1411" s="177" t="n">
        <v>8</v>
      </c>
      <c r="E1411" s="178" t="inlineStr">
        <is>
          <t>1405/08/15</t>
        </is>
      </c>
      <c r="F1411" s="134" t="inlineStr">
        <is>
          <t>1405/08</t>
        </is>
      </c>
      <c r="G1411" s="61" t="inlineStr">
        <is>
          <t>آبان</t>
        </is>
      </c>
      <c r="H1411" s="134" t="inlineStr">
        <is>
          <t>پاییز</t>
        </is>
      </c>
      <c r="I1411" s="134" t="inlineStr">
        <is>
          <t>جمعه</t>
        </is>
      </c>
      <c r="J1411" s="134" t="inlineStr">
        <is>
          <t>بله</t>
        </is>
      </c>
    </row>
    <row r="1412">
      <c r="A1412" s="173" t="n">
        <v>46333</v>
      </c>
      <c r="B1412" s="174" t="n">
        <v>46333</v>
      </c>
      <c r="C1412" s="174" t="n">
        <v>1405</v>
      </c>
      <c r="D1412" s="174" t="n">
        <v>8</v>
      </c>
      <c r="E1412" s="175" t="inlineStr">
        <is>
          <t>1405/08/16</t>
        </is>
      </c>
      <c r="F1412" s="128" t="inlineStr">
        <is>
          <t>1405/08</t>
        </is>
      </c>
      <c r="G1412" s="58" t="inlineStr">
        <is>
          <t>آبان</t>
        </is>
      </c>
      <c r="H1412" s="128" t="inlineStr">
        <is>
          <t>پاییز</t>
        </is>
      </c>
      <c r="I1412" s="128" t="inlineStr">
        <is>
          <t>شنبه</t>
        </is>
      </c>
      <c r="J1412" s="128" t="inlineStr">
        <is>
          <t>خیر</t>
        </is>
      </c>
    </row>
    <row r="1413">
      <c r="A1413" s="176" t="n">
        <v>46334</v>
      </c>
      <c r="B1413" s="177" t="n">
        <v>46334</v>
      </c>
      <c r="C1413" s="177" t="n">
        <v>1405</v>
      </c>
      <c r="D1413" s="177" t="n">
        <v>8</v>
      </c>
      <c r="E1413" s="178" t="inlineStr">
        <is>
          <t>1405/08/17</t>
        </is>
      </c>
      <c r="F1413" s="134" t="inlineStr">
        <is>
          <t>1405/08</t>
        </is>
      </c>
      <c r="G1413" s="61" t="inlineStr">
        <is>
          <t>آبان</t>
        </is>
      </c>
      <c r="H1413" s="134" t="inlineStr">
        <is>
          <t>پاییز</t>
        </is>
      </c>
      <c r="I1413" s="134" t="inlineStr">
        <is>
          <t>یکشنبه</t>
        </is>
      </c>
      <c r="J1413" s="134" t="inlineStr">
        <is>
          <t>خیر</t>
        </is>
      </c>
    </row>
    <row r="1414">
      <c r="A1414" s="173" t="n">
        <v>46335</v>
      </c>
      <c r="B1414" s="174" t="n">
        <v>46335</v>
      </c>
      <c r="C1414" s="174" t="n">
        <v>1405</v>
      </c>
      <c r="D1414" s="174" t="n">
        <v>8</v>
      </c>
      <c r="E1414" s="175" t="inlineStr">
        <is>
          <t>1405/08/18</t>
        </is>
      </c>
      <c r="F1414" s="128" t="inlineStr">
        <is>
          <t>1405/08</t>
        </is>
      </c>
      <c r="G1414" s="58" t="inlineStr">
        <is>
          <t>آبان</t>
        </is>
      </c>
      <c r="H1414" s="128" t="inlineStr">
        <is>
          <t>پاییز</t>
        </is>
      </c>
      <c r="I1414" s="128" t="inlineStr">
        <is>
          <t>دوشنبه</t>
        </is>
      </c>
      <c r="J1414" s="128" t="inlineStr">
        <is>
          <t>بله</t>
        </is>
      </c>
    </row>
    <row r="1415">
      <c r="A1415" s="176" t="n">
        <v>46336</v>
      </c>
      <c r="B1415" s="177" t="n">
        <v>46336</v>
      </c>
      <c r="C1415" s="177" t="n">
        <v>1405</v>
      </c>
      <c r="D1415" s="177" t="n">
        <v>8</v>
      </c>
      <c r="E1415" s="178" t="inlineStr">
        <is>
          <t>1405/08/19</t>
        </is>
      </c>
      <c r="F1415" s="134" t="inlineStr">
        <is>
          <t>1405/08</t>
        </is>
      </c>
      <c r="G1415" s="61" t="inlineStr">
        <is>
          <t>آبان</t>
        </is>
      </c>
      <c r="H1415" s="134" t="inlineStr">
        <is>
          <t>پاییز</t>
        </is>
      </c>
      <c r="I1415" s="134" t="inlineStr">
        <is>
          <t>سه‌شنبه</t>
        </is>
      </c>
      <c r="J1415" s="134" t="inlineStr">
        <is>
          <t>بله</t>
        </is>
      </c>
    </row>
    <row r="1416">
      <c r="A1416" s="173" t="n">
        <v>46337</v>
      </c>
      <c r="B1416" s="174" t="n">
        <v>46337</v>
      </c>
      <c r="C1416" s="174" t="n">
        <v>1405</v>
      </c>
      <c r="D1416" s="174" t="n">
        <v>8</v>
      </c>
      <c r="E1416" s="175" t="inlineStr">
        <is>
          <t>1405/08/20</t>
        </is>
      </c>
      <c r="F1416" s="128" t="inlineStr">
        <is>
          <t>1405/08</t>
        </is>
      </c>
      <c r="G1416" s="58" t="inlineStr">
        <is>
          <t>آبان</t>
        </is>
      </c>
      <c r="H1416" s="128" t="inlineStr">
        <is>
          <t>پاییز</t>
        </is>
      </c>
      <c r="I1416" s="128" t="inlineStr">
        <is>
          <t>چهارشنبه</t>
        </is>
      </c>
      <c r="J1416" s="128" t="inlineStr">
        <is>
          <t>بله</t>
        </is>
      </c>
    </row>
    <row r="1417">
      <c r="A1417" s="176" t="n">
        <v>46338</v>
      </c>
      <c r="B1417" s="177" t="n">
        <v>46338</v>
      </c>
      <c r="C1417" s="177" t="n">
        <v>1405</v>
      </c>
      <c r="D1417" s="177" t="n">
        <v>8</v>
      </c>
      <c r="E1417" s="178" t="inlineStr">
        <is>
          <t>1405/08/21</t>
        </is>
      </c>
      <c r="F1417" s="134" t="inlineStr">
        <is>
          <t>1405/08</t>
        </is>
      </c>
      <c r="G1417" s="61" t="inlineStr">
        <is>
          <t>آبان</t>
        </is>
      </c>
      <c r="H1417" s="134" t="inlineStr">
        <is>
          <t>پاییز</t>
        </is>
      </c>
      <c r="I1417" s="134" t="inlineStr">
        <is>
          <t>پنجشنبه</t>
        </is>
      </c>
      <c r="J1417" s="134" t="inlineStr">
        <is>
          <t>بله</t>
        </is>
      </c>
    </row>
    <row r="1418">
      <c r="A1418" s="173" t="n">
        <v>46339</v>
      </c>
      <c r="B1418" s="174" t="n">
        <v>46339</v>
      </c>
      <c r="C1418" s="174" t="n">
        <v>1405</v>
      </c>
      <c r="D1418" s="174" t="n">
        <v>8</v>
      </c>
      <c r="E1418" s="175" t="inlineStr">
        <is>
          <t>1405/08/22</t>
        </is>
      </c>
      <c r="F1418" s="128" t="inlineStr">
        <is>
          <t>1405/08</t>
        </is>
      </c>
      <c r="G1418" s="58" t="inlineStr">
        <is>
          <t>آبان</t>
        </is>
      </c>
      <c r="H1418" s="128" t="inlineStr">
        <is>
          <t>پاییز</t>
        </is>
      </c>
      <c r="I1418" s="128" t="inlineStr">
        <is>
          <t>جمعه</t>
        </is>
      </c>
      <c r="J1418" s="128" t="inlineStr">
        <is>
          <t>بله</t>
        </is>
      </c>
    </row>
    <row r="1419">
      <c r="A1419" s="176" t="n">
        <v>46340</v>
      </c>
      <c r="B1419" s="177" t="n">
        <v>46340</v>
      </c>
      <c r="C1419" s="177" t="n">
        <v>1405</v>
      </c>
      <c r="D1419" s="177" t="n">
        <v>8</v>
      </c>
      <c r="E1419" s="178" t="inlineStr">
        <is>
          <t>1405/08/23</t>
        </is>
      </c>
      <c r="F1419" s="134" t="inlineStr">
        <is>
          <t>1405/08</t>
        </is>
      </c>
      <c r="G1419" s="61" t="inlineStr">
        <is>
          <t>آبان</t>
        </is>
      </c>
      <c r="H1419" s="134" t="inlineStr">
        <is>
          <t>پاییز</t>
        </is>
      </c>
      <c r="I1419" s="134" t="inlineStr">
        <is>
          <t>شنبه</t>
        </is>
      </c>
      <c r="J1419" s="134" t="inlineStr">
        <is>
          <t>خیر</t>
        </is>
      </c>
    </row>
    <row r="1420">
      <c r="A1420" s="173" t="n">
        <v>46341</v>
      </c>
      <c r="B1420" s="174" t="n">
        <v>46341</v>
      </c>
      <c r="C1420" s="174" t="n">
        <v>1405</v>
      </c>
      <c r="D1420" s="174" t="n">
        <v>8</v>
      </c>
      <c r="E1420" s="175" t="inlineStr">
        <is>
          <t>1405/08/24</t>
        </is>
      </c>
      <c r="F1420" s="128" t="inlineStr">
        <is>
          <t>1405/08</t>
        </is>
      </c>
      <c r="G1420" s="58" t="inlineStr">
        <is>
          <t>آبان</t>
        </is>
      </c>
      <c r="H1420" s="128" t="inlineStr">
        <is>
          <t>پاییز</t>
        </is>
      </c>
      <c r="I1420" s="128" t="inlineStr">
        <is>
          <t>یکشنبه</t>
        </is>
      </c>
      <c r="J1420" s="128" t="inlineStr">
        <is>
          <t>خیر</t>
        </is>
      </c>
    </row>
    <row r="1421">
      <c r="A1421" s="176" t="n">
        <v>46342</v>
      </c>
      <c r="B1421" s="177" t="n">
        <v>46342</v>
      </c>
      <c r="C1421" s="177" t="n">
        <v>1405</v>
      </c>
      <c r="D1421" s="177" t="n">
        <v>8</v>
      </c>
      <c r="E1421" s="178" t="inlineStr">
        <is>
          <t>1405/08/25</t>
        </is>
      </c>
      <c r="F1421" s="134" t="inlineStr">
        <is>
          <t>1405/08</t>
        </is>
      </c>
      <c r="G1421" s="61" t="inlineStr">
        <is>
          <t>آبان</t>
        </is>
      </c>
      <c r="H1421" s="134" t="inlineStr">
        <is>
          <t>پاییز</t>
        </is>
      </c>
      <c r="I1421" s="134" t="inlineStr">
        <is>
          <t>دوشنبه</t>
        </is>
      </c>
      <c r="J1421" s="134" t="inlineStr">
        <is>
          <t>بله</t>
        </is>
      </c>
    </row>
    <row r="1422">
      <c r="A1422" s="173" t="n">
        <v>46343</v>
      </c>
      <c r="B1422" s="174" t="n">
        <v>46343</v>
      </c>
      <c r="C1422" s="174" t="n">
        <v>1405</v>
      </c>
      <c r="D1422" s="174" t="n">
        <v>8</v>
      </c>
      <c r="E1422" s="175" t="inlineStr">
        <is>
          <t>1405/08/26</t>
        </is>
      </c>
      <c r="F1422" s="128" t="inlineStr">
        <is>
          <t>1405/08</t>
        </is>
      </c>
      <c r="G1422" s="58" t="inlineStr">
        <is>
          <t>آبان</t>
        </is>
      </c>
      <c r="H1422" s="128" t="inlineStr">
        <is>
          <t>پاییز</t>
        </is>
      </c>
      <c r="I1422" s="128" t="inlineStr">
        <is>
          <t>سه‌شنبه</t>
        </is>
      </c>
      <c r="J1422" s="128" t="inlineStr">
        <is>
          <t>بله</t>
        </is>
      </c>
    </row>
    <row r="1423">
      <c r="A1423" s="176" t="n">
        <v>46344</v>
      </c>
      <c r="B1423" s="177" t="n">
        <v>46344</v>
      </c>
      <c r="C1423" s="177" t="n">
        <v>1405</v>
      </c>
      <c r="D1423" s="177" t="n">
        <v>8</v>
      </c>
      <c r="E1423" s="178" t="inlineStr">
        <is>
          <t>1405/08/27</t>
        </is>
      </c>
      <c r="F1423" s="134" t="inlineStr">
        <is>
          <t>1405/08</t>
        </is>
      </c>
      <c r="G1423" s="61" t="inlineStr">
        <is>
          <t>آبان</t>
        </is>
      </c>
      <c r="H1423" s="134" t="inlineStr">
        <is>
          <t>پاییز</t>
        </is>
      </c>
      <c r="I1423" s="134" t="inlineStr">
        <is>
          <t>چهارشنبه</t>
        </is>
      </c>
      <c r="J1423" s="134" t="inlineStr">
        <is>
          <t>بله</t>
        </is>
      </c>
    </row>
    <row r="1424">
      <c r="A1424" s="173" t="n">
        <v>46345</v>
      </c>
      <c r="B1424" s="174" t="n">
        <v>46345</v>
      </c>
      <c r="C1424" s="174" t="n">
        <v>1405</v>
      </c>
      <c r="D1424" s="174" t="n">
        <v>8</v>
      </c>
      <c r="E1424" s="175" t="inlineStr">
        <is>
          <t>1405/08/28</t>
        </is>
      </c>
      <c r="F1424" s="128" t="inlineStr">
        <is>
          <t>1405/08</t>
        </is>
      </c>
      <c r="G1424" s="58" t="inlineStr">
        <is>
          <t>آبان</t>
        </is>
      </c>
      <c r="H1424" s="128" t="inlineStr">
        <is>
          <t>پاییز</t>
        </is>
      </c>
      <c r="I1424" s="128" t="inlineStr">
        <is>
          <t>پنجشنبه</t>
        </is>
      </c>
      <c r="J1424" s="128" t="inlineStr">
        <is>
          <t>بله</t>
        </is>
      </c>
    </row>
    <row r="1425">
      <c r="A1425" s="176" t="n">
        <v>46346</v>
      </c>
      <c r="B1425" s="177" t="n">
        <v>46346</v>
      </c>
      <c r="C1425" s="177" t="n">
        <v>1405</v>
      </c>
      <c r="D1425" s="177" t="n">
        <v>8</v>
      </c>
      <c r="E1425" s="178" t="inlineStr">
        <is>
          <t>1405/08/29</t>
        </is>
      </c>
      <c r="F1425" s="134" t="inlineStr">
        <is>
          <t>1405/08</t>
        </is>
      </c>
      <c r="G1425" s="61" t="inlineStr">
        <is>
          <t>آبان</t>
        </is>
      </c>
      <c r="H1425" s="134" t="inlineStr">
        <is>
          <t>پاییز</t>
        </is>
      </c>
      <c r="I1425" s="134" t="inlineStr">
        <is>
          <t>جمعه</t>
        </is>
      </c>
      <c r="J1425" s="134" t="inlineStr">
        <is>
          <t>بله</t>
        </is>
      </c>
    </row>
    <row r="1426">
      <c r="A1426" s="173" t="n">
        <v>46347</v>
      </c>
      <c r="B1426" s="174" t="n">
        <v>46347</v>
      </c>
      <c r="C1426" s="174" t="n">
        <v>1405</v>
      </c>
      <c r="D1426" s="174" t="n">
        <v>8</v>
      </c>
      <c r="E1426" s="175" t="inlineStr">
        <is>
          <t>1405/08/30</t>
        </is>
      </c>
      <c r="F1426" s="128" t="inlineStr">
        <is>
          <t>1405/08</t>
        </is>
      </c>
      <c r="G1426" s="58" t="inlineStr">
        <is>
          <t>آبان</t>
        </is>
      </c>
      <c r="H1426" s="128" t="inlineStr">
        <is>
          <t>پاییز</t>
        </is>
      </c>
      <c r="I1426" s="128" t="inlineStr">
        <is>
          <t>شنبه</t>
        </is>
      </c>
      <c r="J1426" s="128" t="inlineStr">
        <is>
          <t>خیر</t>
        </is>
      </c>
    </row>
    <row r="1427">
      <c r="A1427" s="176" t="n">
        <v>46348</v>
      </c>
      <c r="B1427" s="177" t="n">
        <v>46348</v>
      </c>
      <c r="C1427" s="177" t="n">
        <v>1405</v>
      </c>
      <c r="D1427" s="177" t="n">
        <v>9</v>
      </c>
      <c r="E1427" s="178" t="inlineStr">
        <is>
          <t>1405/09/01</t>
        </is>
      </c>
      <c r="F1427" s="134" t="inlineStr">
        <is>
          <t>1405/09</t>
        </is>
      </c>
      <c r="G1427" s="61" t="inlineStr">
        <is>
          <t>آذر</t>
        </is>
      </c>
      <c r="H1427" s="134" t="inlineStr">
        <is>
          <t>پاییز</t>
        </is>
      </c>
      <c r="I1427" s="134" t="inlineStr">
        <is>
          <t>یکشنبه</t>
        </is>
      </c>
      <c r="J1427" s="134" t="inlineStr">
        <is>
          <t>خیر</t>
        </is>
      </c>
    </row>
    <row r="1428">
      <c r="A1428" s="173" t="n">
        <v>46349</v>
      </c>
      <c r="B1428" s="174" t="n">
        <v>46349</v>
      </c>
      <c r="C1428" s="174" t="n">
        <v>1405</v>
      </c>
      <c r="D1428" s="174" t="n">
        <v>9</v>
      </c>
      <c r="E1428" s="175" t="inlineStr">
        <is>
          <t>1405/09/02</t>
        </is>
      </c>
      <c r="F1428" s="128" t="inlineStr">
        <is>
          <t>1405/09</t>
        </is>
      </c>
      <c r="G1428" s="58" t="inlineStr">
        <is>
          <t>آذر</t>
        </is>
      </c>
      <c r="H1428" s="128" t="inlineStr">
        <is>
          <t>پاییز</t>
        </is>
      </c>
      <c r="I1428" s="128" t="inlineStr">
        <is>
          <t>دوشنبه</t>
        </is>
      </c>
      <c r="J1428" s="128" t="inlineStr">
        <is>
          <t>بله</t>
        </is>
      </c>
    </row>
    <row r="1429">
      <c r="A1429" s="176" t="n">
        <v>46350</v>
      </c>
      <c r="B1429" s="177" t="n">
        <v>46350</v>
      </c>
      <c r="C1429" s="177" t="n">
        <v>1405</v>
      </c>
      <c r="D1429" s="177" t="n">
        <v>9</v>
      </c>
      <c r="E1429" s="178" t="inlineStr">
        <is>
          <t>1405/09/03</t>
        </is>
      </c>
      <c r="F1429" s="134" t="inlineStr">
        <is>
          <t>1405/09</t>
        </is>
      </c>
      <c r="G1429" s="61" t="inlineStr">
        <is>
          <t>آذر</t>
        </is>
      </c>
      <c r="H1429" s="134" t="inlineStr">
        <is>
          <t>پاییز</t>
        </is>
      </c>
      <c r="I1429" s="134" t="inlineStr">
        <is>
          <t>سه‌شنبه</t>
        </is>
      </c>
      <c r="J1429" s="134" t="inlineStr">
        <is>
          <t>بله</t>
        </is>
      </c>
    </row>
    <row r="1430">
      <c r="A1430" s="173" t="n">
        <v>46351</v>
      </c>
      <c r="B1430" s="174" t="n">
        <v>46351</v>
      </c>
      <c r="C1430" s="174" t="n">
        <v>1405</v>
      </c>
      <c r="D1430" s="174" t="n">
        <v>9</v>
      </c>
      <c r="E1430" s="175" t="inlineStr">
        <is>
          <t>1405/09/04</t>
        </is>
      </c>
      <c r="F1430" s="128" t="inlineStr">
        <is>
          <t>1405/09</t>
        </is>
      </c>
      <c r="G1430" s="58" t="inlineStr">
        <is>
          <t>آذر</t>
        </is>
      </c>
      <c r="H1430" s="128" t="inlineStr">
        <is>
          <t>پاییز</t>
        </is>
      </c>
      <c r="I1430" s="128" t="inlineStr">
        <is>
          <t>چهارشنبه</t>
        </is>
      </c>
      <c r="J1430" s="128" t="inlineStr">
        <is>
          <t>بله</t>
        </is>
      </c>
    </row>
    <row r="1431">
      <c r="A1431" s="176" t="n">
        <v>46352</v>
      </c>
      <c r="B1431" s="177" t="n">
        <v>46352</v>
      </c>
      <c r="C1431" s="177" t="n">
        <v>1405</v>
      </c>
      <c r="D1431" s="177" t="n">
        <v>9</v>
      </c>
      <c r="E1431" s="178" t="inlineStr">
        <is>
          <t>1405/09/05</t>
        </is>
      </c>
      <c r="F1431" s="134" t="inlineStr">
        <is>
          <t>1405/09</t>
        </is>
      </c>
      <c r="G1431" s="61" t="inlineStr">
        <is>
          <t>آذر</t>
        </is>
      </c>
      <c r="H1431" s="134" t="inlineStr">
        <is>
          <t>پاییز</t>
        </is>
      </c>
      <c r="I1431" s="134" t="inlineStr">
        <is>
          <t>پنجشنبه</t>
        </is>
      </c>
      <c r="J1431" s="134" t="inlineStr">
        <is>
          <t>بله</t>
        </is>
      </c>
    </row>
    <row r="1432">
      <c r="A1432" s="173" t="n">
        <v>46353</v>
      </c>
      <c r="B1432" s="174" t="n">
        <v>46353</v>
      </c>
      <c r="C1432" s="174" t="n">
        <v>1405</v>
      </c>
      <c r="D1432" s="174" t="n">
        <v>9</v>
      </c>
      <c r="E1432" s="175" t="inlineStr">
        <is>
          <t>1405/09/06</t>
        </is>
      </c>
      <c r="F1432" s="128" t="inlineStr">
        <is>
          <t>1405/09</t>
        </is>
      </c>
      <c r="G1432" s="58" t="inlineStr">
        <is>
          <t>آذر</t>
        </is>
      </c>
      <c r="H1432" s="128" t="inlineStr">
        <is>
          <t>پاییز</t>
        </is>
      </c>
      <c r="I1432" s="128" t="inlineStr">
        <is>
          <t>جمعه</t>
        </is>
      </c>
      <c r="J1432" s="128" t="inlineStr">
        <is>
          <t>بله</t>
        </is>
      </c>
    </row>
    <row r="1433">
      <c r="A1433" s="176" t="n">
        <v>46354</v>
      </c>
      <c r="B1433" s="177" t="n">
        <v>46354</v>
      </c>
      <c r="C1433" s="177" t="n">
        <v>1405</v>
      </c>
      <c r="D1433" s="177" t="n">
        <v>9</v>
      </c>
      <c r="E1433" s="178" t="inlineStr">
        <is>
          <t>1405/09/07</t>
        </is>
      </c>
      <c r="F1433" s="134" t="inlineStr">
        <is>
          <t>1405/09</t>
        </is>
      </c>
      <c r="G1433" s="61" t="inlineStr">
        <is>
          <t>آذر</t>
        </is>
      </c>
      <c r="H1433" s="134" t="inlineStr">
        <is>
          <t>پاییز</t>
        </is>
      </c>
      <c r="I1433" s="134" t="inlineStr">
        <is>
          <t>شنبه</t>
        </is>
      </c>
      <c r="J1433" s="134" t="inlineStr">
        <is>
          <t>خیر</t>
        </is>
      </c>
    </row>
    <row r="1434">
      <c r="A1434" s="173" t="n">
        <v>46355</v>
      </c>
      <c r="B1434" s="174" t="n">
        <v>46355</v>
      </c>
      <c r="C1434" s="174" t="n">
        <v>1405</v>
      </c>
      <c r="D1434" s="174" t="n">
        <v>9</v>
      </c>
      <c r="E1434" s="175" t="inlineStr">
        <is>
          <t>1405/09/08</t>
        </is>
      </c>
      <c r="F1434" s="128" t="inlineStr">
        <is>
          <t>1405/09</t>
        </is>
      </c>
      <c r="G1434" s="58" t="inlineStr">
        <is>
          <t>آذر</t>
        </is>
      </c>
      <c r="H1434" s="128" t="inlineStr">
        <is>
          <t>پاییز</t>
        </is>
      </c>
      <c r="I1434" s="128" t="inlineStr">
        <is>
          <t>یکشنبه</t>
        </is>
      </c>
      <c r="J1434" s="128" t="inlineStr">
        <is>
          <t>خیر</t>
        </is>
      </c>
    </row>
    <row r="1435">
      <c r="A1435" s="176" t="n">
        <v>46356</v>
      </c>
      <c r="B1435" s="177" t="n">
        <v>46356</v>
      </c>
      <c r="C1435" s="177" t="n">
        <v>1405</v>
      </c>
      <c r="D1435" s="177" t="n">
        <v>9</v>
      </c>
      <c r="E1435" s="178" t="inlineStr">
        <is>
          <t>1405/09/09</t>
        </is>
      </c>
      <c r="F1435" s="134" t="inlineStr">
        <is>
          <t>1405/09</t>
        </is>
      </c>
      <c r="G1435" s="61" t="inlineStr">
        <is>
          <t>آذر</t>
        </is>
      </c>
      <c r="H1435" s="134" t="inlineStr">
        <is>
          <t>پاییز</t>
        </is>
      </c>
      <c r="I1435" s="134" t="inlineStr">
        <is>
          <t>دوشنبه</t>
        </is>
      </c>
      <c r="J1435" s="134" t="inlineStr">
        <is>
          <t>بله</t>
        </is>
      </c>
    </row>
    <row r="1436">
      <c r="A1436" s="173" t="n">
        <v>46357</v>
      </c>
      <c r="B1436" s="174" t="n">
        <v>46357</v>
      </c>
      <c r="C1436" s="174" t="n">
        <v>1405</v>
      </c>
      <c r="D1436" s="174" t="n">
        <v>9</v>
      </c>
      <c r="E1436" s="175" t="inlineStr">
        <is>
          <t>1405/09/10</t>
        </is>
      </c>
      <c r="F1436" s="128" t="inlineStr">
        <is>
          <t>1405/09</t>
        </is>
      </c>
      <c r="G1436" s="58" t="inlineStr">
        <is>
          <t>آذر</t>
        </is>
      </c>
      <c r="H1436" s="128" t="inlineStr">
        <is>
          <t>پاییز</t>
        </is>
      </c>
      <c r="I1436" s="128" t="inlineStr">
        <is>
          <t>سه‌شنبه</t>
        </is>
      </c>
      <c r="J1436" s="128" t="inlineStr">
        <is>
          <t>بله</t>
        </is>
      </c>
    </row>
    <row r="1437">
      <c r="A1437" s="176" t="n">
        <v>46358</v>
      </c>
      <c r="B1437" s="177" t="n">
        <v>46358</v>
      </c>
      <c r="C1437" s="177" t="n">
        <v>1405</v>
      </c>
      <c r="D1437" s="177" t="n">
        <v>9</v>
      </c>
      <c r="E1437" s="178" t="inlineStr">
        <is>
          <t>1405/09/11</t>
        </is>
      </c>
      <c r="F1437" s="134" t="inlineStr">
        <is>
          <t>1405/09</t>
        </is>
      </c>
      <c r="G1437" s="61" t="inlineStr">
        <is>
          <t>آذر</t>
        </is>
      </c>
      <c r="H1437" s="134" t="inlineStr">
        <is>
          <t>پاییز</t>
        </is>
      </c>
      <c r="I1437" s="134" t="inlineStr">
        <is>
          <t>چهارشنبه</t>
        </is>
      </c>
      <c r="J1437" s="134" t="inlineStr">
        <is>
          <t>بله</t>
        </is>
      </c>
    </row>
    <row r="1438">
      <c r="A1438" s="173" t="n">
        <v>46359</v>
      </c>
      <c r="B1438" s="174" t="n">
        <v>46359</v>
      </c>
      <c r="C1438" s="174" t="n">
        <v>1405</v>
      </c>
      <c r="D1438" s="174" t="n">
        <v>9</v>
      </c>
      <c r="E1438" s="175" t="inlineStr">
        <is>
          <t>1405/09/12</t>
        </is>
      </c>
      <c r="F1438" s="128" t="inlineStr">
        <is>
          <t>1405/09</t>
        </is>
      </c>
      <c r="G1438" s="58" t="inlineStr">
        <is>
          <t>آذر</t>
        </is>
      </c>
      <c r="H1438" s="128" t="inlineStr">
        <is>
          <t>پاییز</t>
        </is>
      </c>
      <c r="I1438" s="128" t="inlineStr">
        <is>
          <t>پنجشنبه</t>
        </is>
      </c>
      <c r="J1438" s="128" t="inlineStr">
        <is>
          <t>بله</t>
        </is>
      </c>
    </row>
    <row r="1439">
      <c r="A1439" s="176" t="n">
        <v>46360</v>
      </c>
      <c r="B1439" s="177" t="n">
        <v>46360</v>
      </c>
      <c r="C1439" s="177" t="n">
        <v>1405</v>
      </c>
      <c r="D1439" s="177" t="n">
        <v>9</v>
      </c>
      <c r="E1439" s="178" t="inlineStr">
        <is>
          <t>1405/09/13</t>
        </is>
      </c>
      <c r="F1439" s="134" t="inlineStr">
        <is>
          <t>1405/09</t>
        </is>
      </c>
      <c r="G1439" s="61" t="inlineStr">
        <is>
          <t>آذر</t>
        </is>
      </c>
      <c r="H1439" s="134" t="inlineStr">
        <is>
          <t>پاییز</t>
        </is>
      </c>
      <c r="I1439" s="134" t="inlineStr">
        <is>
          <t>جمعه</t>
        </is>
      </c>
      <c r="J1439" s="134" t="inlineStr">
        <is>
          <t>بله</t>
        </is>
      </c>
    </row>
    <row r="1440">
      <c r="A1440" s="173" t="n">
        <v>46361</v>
      </c>
      <c r="B1440" s="174" t="n">
        <v>46361</v>
      </c>
      <c r="C1440" s="174" t="n">
        <v>1405</v>
      </c>
      <c r="D1440" s="174" t="n">
        <v>9</v>
      </c>
      <c r="E1440" s="175" t="inlineStr">
        <is>
          <t>1405/09/14</t>
        </is>
      </c>
      <c r="F1440" s="128" t="inlineStr">
        <is>
          <t>1405/09</t>
        </is>
      </c>
      <c r="G1440" s="58" t="inlineStr">
        <is>
          <t>آذر</t>
        </is>
      </c>
      <c r="H1440" s="128" t="inlineStr">
        <is>
          <t>پاییز</t>
        </is>
      </c>
      <c r="I1440" s="128" t="inlineStr">
        <is>
          <t>شنبه</t>
        </is>
      </c>
      <c r="J1440" s="128" t="inlineStr">
        <is>
          <t>خیر</t>
        </is>
      </c>
    </row>
    <row r="1441">
      <c r="A1441" s="176" t="n">
        <v>46362</v>
      </c>
      <c r="B1441" s="177" t="n">
        <v>46362</v>
      </c>
      <c r="C1441" s="177" t="n">
        <v>1405</v>
      </c>
      <c r="D1441" s="177" t="n">
        <v>9</v>
      </c>
      <c r="E1441" s="178" t="inlineStr">
        <is>
          <t>1405/09/15</t>
        </is>
      </c>
      <c r="F1441" s="134" t="inlineStr">
        <is>
          <t>1405/09</t>
        </is>
      </c>
      <c r="G1441" s="61" t="inlineStr">
        <is>
          <t>آذر</t>
        </is>
      </c>
      <c r="H1441" s="134" t="inlineStr">
        <is>
          <t>پاییز</t>
        </is>
      </c>
      <c r="I1441" s="134" t="inlineStr">
        <is>
          <t>یکشنبه</t>
        </is>
      </c>
      <c r="J1441" s="134" t="inlineStr">
        <is>
          <t>خیر</t>
        </is>
      </c>
    </row>
    <row r="1442">
      <c r="A1442" s="173" t="n">
        <v>46363</v>
      </c>
      <c r="B1442" s="174" t="n">
        <v>46363</v>
      </c>
      <c r="C1442" s="174" t="n">
        <v>1405</v>
      </c>
      <c r="D1442" s="174" t="n">
        <v>9</v>
      </c>
      <c r="E1442" s="175" t="inlineStr">
        <is>
          <t>1405/09/16</t>
        </is>
      </c>
      <c r="F1442" s="128" t="inlineStr">
        <is>
          <t>1405/09</t>
        </is>
      </c>
      <c r="G1442" s="58" t="inlineStr">
        <is>
          <t>آذر</t>
        </is>
      </c>
      <c r="H1442" s="128" t="inlineStr">
        <is>
          <t>پاییز</t>
        </is>
      </c>
      <c r="I1442" s="128" t="inlineStr">
        <is>
          <t>دوشنبه</t>
        </is>
      </c>
      <c r="J1442" s="128" t="inlineStr">
        <is>
          <t>بله</t>
        </is>
      </c>
    </row>
    <row r="1443">
      <c r="A1443" s="176" t="n">
        <v>46364</v>
      </c>
      <c r="B1443" s="177" t="n">
        <v>46364</v>
      </c>
      <c r="C1443" s="177" t="n">
        <v>1405</v>
      </c>
      <c r="D1443" s="177" t="n">
        <v>9</v>
      </c>
      <c r="E1443" s="178" t="inlineStr">
        <is>
          <t>1405/09/17</t>
        </is>
      </c>
      <c r="F1443" s="134" t="inlineStr">
        <is>
          <t>1405/09</t>
        </is>
      </c>
      <c r="G1443" s="61" t="inlineStr">
        <is>
          <t>آذر</t>
        </is>
      </c>
      <c r="H1443" s="134" t="inlineStr">
        <is>
          <t>پاییز</t>
        </is>
      </c>
      <c r="I1443" s="134" t="inlineStr">
        <is>
          <t>سه‌شنبه</t>
        </is>
      </c>
      <c r="J1443" s="134" t="inlineStr">
        <is>
          <t>بله</t>
        </is>
      </c>
    </row>
    <row r="1444">
      <c r="A1444" s="173" t="n">
        <v>46365</v>
      </c>
      <c r="B1444" s="174" t="n">
        <v>46365</v>
      </c>
      <c r="C1444" s="174" t="n">
        <v>1405</v>
      </c>
      <c r="D1444" s="174" t="n">
        <v>9</v>
      </c>
      <c r="E1444" s="175" t="inlineStr">
        <is>
          <t>1405/09/18</t>
        </is>
      </c>
      <c r="F1444" s="128" t="inlineStr">
        <is>
          <t>1405/09</t>
        </is>
      </c>
      <c r="G1444" s="58" t="inlineStr">
        <is>
          <t>آذر</t>
        </is>
      </c>
      <c r="H1444" s="128" t="inlineStr">
        <is>
          <t>پاییز</t>
        </is>
      </c>
      <c r="I1444" s="128" t="inlineStr">
        <is>
          <t>چهارشنبه</t>
        </is>
      </c>
      <c r="J1444" s="128" t="inlineStr">
        <is>
          <t>بله</t>
        </is>
      </c>
    </row>
    <row r="1445">
      <c r="A1445" s="176" t="n">
        <v>46366</v>
      </c>
      <c r="B1445" s="177" t="n">
        <v>46366</v>
      </c>
      <c r="C1445" s="177" t="n">
        <v>1405</v>
      </c>
      <c r="D1445" s="177" t="n">
        <v>9</v>
      </c>
      <c r="E1445" s="178" t="inlineStr">
        <is>
          <t>1405/09/19</t>
        </is>
      </c>
      <c r="F1445" s="134" t="inlineStr">
        <is>
          <t>1405/09</t>
        </is>
      </c>
      <c r="G1445" s="61" t="inlineStr">
        <is>
          <t>آذر</t>
        </is>
      </c>
      <c r="H1445" s="134" t="inlineStr">
        <is>
          <t>پاییز</t>
        </is>
      </c>
      <c r="I1445" s="134" t="inlineStr">
        <is>
          <t>پنجشنبه</t>
        </is>
      </c>
      <c r="J1445" s="134" t="inlineStr">
        <is>
          <t>بله</t>
        </is>
      </c>
    </row>
    <row r="1446">
      <c r="A1446" s="173" t="n">
        <v>46367</v>
      </c>
      <c r="B1446" s="174" t="n">
        <v>46367</v>
      </c>
      <c r="C1446" s="174" t="n">
        <v>1405</v>
      </c>
      <c r="D1446" s="174" t="n">
        <v>9</v>
      </c>
      <c r="E1446" s="175" t="inlineStr">
        <is>
          <t>1405/09/20</t>
        </is>
      </c>
      <c r="F1446" s="128" t="inlineStr">
        <is>
          <t>1405/09</t>
        </is>
      </c>
      <c r="G1446" s="58" t="inlineStr">
        <is>
          <t>آذر</t>
        </is>
      </c>
      <c r="H1446" s="128" t="inlineStr">
        <is>
          <t>پاییز</t>
        </is>
      </c>
      <c r="I1446" s="128" t="inlineStr">
        <is>
          <t>جمعه</t>
        </is>
      </c>
      <c r="J1446" s="128" t="inlineStr">
        <is>
          <t>بله</t>
        </is>
      </c>
    </row>
    <row r="1447">
      <c r="A1447" s="176" t="n">
        <v>46368</v>
      </c>
      <c r="B1447" s="177" t="n">
        <v>46368</v>
      </c>
      <c r="C1447" s="177" t="n">
        <v>1405</v>
      </c>
      <c r="D1447" s="177" t="n">
        <v>9</v>
      </c>
      <c r="E1447" s="178" t="inlineStr">
        <is>
          <t>1405/09/21</t>
        </is>
      </c>
      <c r="F1447" s="134" t="inlineStr">
        <is>
          <t>1405/09</t>
        </is>
      </c>
      <c r="G1447" s="61" t="inlineStr">
        <is>
          <t>آذر</t>
        </is>
      </c>
      <c r="H1447" s="134" t="inlineStr">
        <is>
          <t>پاییز</t>
        </is>
      </c>
      <c r="I1447" s="134" t="inlineStr">
        <is>
          <t>شنبه</t>
        </is>
      </c>
      <c r="J1447" s="134" t="inlineStr">
        <is>
          <t>خیر</t>
        </is>
      </c>
    </row>
    <row r="1448">
      <c r="A1448" s="173" t="n">
        <v>46369</v>
      </c>
      <c r="B1448" s="174" t="n">
        <v>46369</v>
      </c>
      <c r="C1448" s="174" t="n">
        <v>1405</v>
      </c>
      <c r="D1448" s="174" t="n">
        <v>9</v>
      </c>
      <c r="E1448" s="175" t="inlineStr">
        <is>
          <t>1405/09/22</t>
        </is>
      </c>
      <c r="F1448" s="128" t="inlineStr">
        <is>
          <t>1405/09</t>
        </is>
      </c>
      <c r="G1448" s="58" t="inlineStr">
        <is>
          <t>آذر</t>
        </is>
      </c>
      <c r="H1448" s="128" t="inlineStr">
        <is>
          <t>پاییز</t>
        </is>
      </c>
      <c r="I1448" s="128" t="inlineStr">
        <is>
          <t>یکشنبه</t>
        </is>
      </c>
      <c r="J1448" s="128" t="inlineStr">
        <is>
          <t>خیر</t>
        </is>
      </c>
    </row>
    <row r="1449">
      <c r="A1449" s="176" t="n">
        <v>46370</v>
      </c>
      <c r="B1449" s="177" t="n">
        <v>46370</v>
      </c>
      <c r="C1449" s="177" t="n">
        <v>1405</v>
      </c>
      <c r="D1449" s="177" t="n">
        <v>9</v>
      </c>
      <c r="E1449" s="178" t="inlineStr">
        <is>
          <t>1405/09/23</t>
        </is>
      </c>
      <c r="F1449" s="134" t="inlineStr">
        <is>
          <t>1405/09</t>
        </is>
      </c>
      <c r="G1449" s="61" t="inlineStr">
        <is>
          <t>آذر</t>
        </is>
      </c>
      <c r="H1449" s="134" t="inlineStr">
        <is>
          <t>پاییز</t>
        </is>
      </c>
      <c r="I1449" s="134" t="inlineStr">
        <is>
          <t>دوشنبه</t>
        </is>
      </c>
      <c r="J1449" s="134" t="inlineStr">
        <is>
          <t>بله</t>
        </is>
      </c>
    </row>
    <row r="1450">
      <c r="A1450" s="173" t="n">
        <v>46371</v>
      </c>
      <c r="B1450" s="174" t="n">
        <v>46371</v>
      </c>
      <c r="C1450" s="174" t="n">
        <v>1405</v>
      </c>
      <c r="D1450" s="174" t="n">
        <v>9</v>
      </c>
      <c r="E1450" s="175" t="inlineStr">
        <is>
          <t>1405/09/24</t>
        </is>
      </c>
      <c r="F1450" s="128" t="inlineStr">
        <is>
          <t>1405/09</t>
        </is>
      </c>
      <c r="G1450" s="58" t="inlineStr">
        <is>
          <t>آذر</t>
        </is>
      </c>
      <c r="H1450" s="128" t="inlineStr">
        <is>
          <t>پاییز</t>
        </is>
      </c>
      <c r="I1450" s="128" t="inlineStr">
        <is>
          <t>سه‌شنبه</t>
        </is>
      </c>
      <c r="J1450" s="128" t="inlineStr">
        <is>
          <t>بله</t>
        </is>
      </c>
    </row>
    <row r="1451">
      <c r="A1451" s="176" t="n">
        <v>46372</v>
      </c>
      <c r="B1451" s="177" t="n">
        <v>46372</v>
      </c>
      <c r="C1451" s="177" t="n">
        <v>1405</v>
      </c>
      <c r="D1451" s="177" t="n">
        <v>9</v>
      </c>
      <c r="E1451" s="178" t="inlineStr">
        <is>
          <t>1405/09/25</t>
        </is>
      </c>
      <c r="F1451" s="134" t="inlineStr">
        <is>
          <t>1405/09</t>
        </is>
      </c>
      <c r="G1451" s="61" t="inlineStr">
        <is>
          <t>آذر</t>
        </is>
      </c>
      <c r="H1451" s="134" t="inlineStr">
        <is>
          <t>پاییز</t>
        </is>
      </c>
      <c r="I1451" s="134" t="inlineStr">
        <is>
          <t>چهارشنبه</t>
        </is>
      </c>
      <c r="J1451" s="134" t="inlineStr">
        <is>
          <t>بله</t>
        </is>
      </c>
    </row>
    <row r="1452">
      <c r="A1452" s="173" t="n">
        <v>46373</v>
      </c>
      <c r="B1452" s="174" t="n">
        <v>46373</v>
      </c>
      <c r="C1452" s="174" t="n">
        <v>1405</v>
      </c>
      <c r="D1452" s="174" t="n">
        <v>9</v>
      </c>
      <c r="E1452" s="175" t="inlineStr">
        <is>
          <t>1405/09/26</t>
        </is>
      </c>
      <c r="F1452" s="128" t="inlineStr">
        <is>
          <t>1405/09</t>
        </is>
      </c>
      <c r="G1452" s="58" t="inlineStr">
        <is>
          <t>آذر</t>
        </is>
      </c>
      <c r="H1452" s="128" t="inlineStr">
        <is>
          <t>پاییز</t>
        </is>
      </c>
      <c r="I1452" s="128" t="inlineStr">
        <is>
          <t>پنجشنبه</t>
        </is>
      </c>
      <c r="J1452" s="128" t="inlineStr">
        <is>
          <t>بله</t>
        </is>
      </c>
    </row>
    <row r="1453">
      <c r="A1453" s="176" t="n">
        <v>46374</v>
      </c>
      <c r="B1453" s="177" t="n">
        <v>46374</v>
      </c>
      <c r="C1453" s="177" t="n">
        <v>1405</v>
      </c>
      <c r="D1453" s="177" t="n">
        <v>9</v>
      </c>
      <c r="E1453" s="178" t="inlineStr">
        <is>
          <t>1405/09/27</t>
        </is>
      </c>
      <c r="F1453" s="134" t="inlineStr">
        <is>
          <t>1405/09</t>
        </is>
      </c>
      <c r="G1453" s="61" t="inlineStr">
        <is>
          <t>آذر</t>
        </is>
      </c>
      <c r="H1453" s="134" t="inlineStr">
        <is>
          <t>پاییز</t>
        </is>
      </c>
      <c r="I1453" s="134" t="inlineStr">
        <is>
          <t>جمعه</t>
        </is>
      </c>
      <c r="J1453" s="134" t="inlineStr">
        <is>
          <t>بله</t>
        </is>
      </c>
    </row>
    <row r="1454">
      <c r="A1454" s="173" t="n">
        <v>46375</v>
      </c>
      <c r="B1454" s="174" t="n">
        <v>46375</v>
      </c>
      <c r="C1454" s="174" t="n">
        <v>1405</v>
      </c>
      <c r="D1454" s="174" t="n">
        <v>9</v>
      </c>
      <c r="E1454" s="175" t="inlineStr">
        <is>
          <t>1405/09/28</t>
        </is>
      </c>
      <c r="F1454" s="128" t="inlineStr">
        <is>
          <t>1405/09</t>
        </is>
      </c>
      <c r="G1454" s="58" t="inlineStr">
        <is>
          <t>آذر</t>
        </is>
      </c>
      <c r="H1454" s="128" t="inlineStr">
        <is>
          <t>پاییز</t>
        </is>
      </c>
      <c r="I1454" s="128" t="inlineStr">
        <is>
          <t>شنبه</t>
        </is>
      </c>
      <c r="J1454" s="128" t="inlineStr">
        <is>
          <t>خیر</t>
        </is>
      </c>
    </row>
    <row r="1455">
      <c r="A1455" s="176" t="n">
        <v>46376</v>
      </c>
      <c r="B1455" s="177" t="n">
        <v>46376</v>
      </c>
      <c r="C1455" s="177" t="n">
        <v>1405</v>
      </c>
      <c r="D1455" s="177" t="n">
        <v>9</v>
      </c>
      <c r="E1455" s="178" t="inlineStr">
        <is>
          <t>1405/09/29</t>
        </is>
      </c>
      <c r="F1455" s="134" t="inlineStr">
        <is>
          <t>1405/09</t>
        </is>
      </c>
      <c r="G1455" s="61" t="inlineStr">
        <is>
          <t>آذر</t>
        </is>
      </c>
      <c r="H1455" s="134" t="inlineStr">
        <is>
          <t>پاییز</t>
        </is>
      </c>
      <c r="I1455" s="134" t="inlineStr">
        <is>
          <t>یکشنبه</t>
        </is>
      </c>
      <c r="J1455" s="134" t="inlineStr">
        <is>
          <t>خیر</t>
        </is>
      </c>
    </row>
    <row r="1456">
      <c r="A1456" s="173" t="n">
        <v>46377</v>
      </c>
      <c r="B1456" s="174" t="n">
        <v>46377</v>
      </c>
      <c r="C1456" s="174" t="n">
        <v>1405</v>
      </c>
      <c r="D1456" s="174" t="n">
        <v>9</v>
      </c>
      <c r="E1456" s="175" t="inlineStr">
        <is>
          <t>1405/09/30</t>
        </is>
      </c>
      <c r="F1456" s="128" t="inlineStr">
        <is>
          <t>1405/09</t>
        </is>
      </c>
      <c r="G1456" s="58" t="inlineStr">
        <is>
          <t>آذر</t>
        </is>
      </c>
      <c r="H1456" s="128" t="inlineStr">
        <is>
          <t>پاییز</t>
        </is>
      </c>
      <c r="I1456" s="128" t="inlineStr">
        <is>
          <t>دوشنبه</t>
        </is>
      </c>
      <c r="J1456" s="128" t="inlineStr">
        <is>
          <t>بله</t>
        </is>
      </c>
    </row>
    <row r="1457">
      <c r="A1457" s="176" t="n">
        <v>46378</v>
      </c>
      <c r="B1457" s="177" t="n">
        <v>46378</v>
      </c>
      <c r="C1457" s="177" t="n">
        <v>1405</v>
      </c>
      <c r="D1457" s="177" t="n">
        <v>10</v>
      </c>
      <c r="E1457" s="178" t="inlineStr">
        <is>
          <t>1405/10/01</t>
        </is>
      </c>
      <c r="F1457" s="134" t="inlineStr">
        <is>
          <t>1405/10</t>
        </is>
      </c>
      <c r="G1457" s="61" t="inlineStr">
        <is>
          <t>دی</t>
        </is>
      </c>
      <c r="H1457" s="134" t="inlineStr">
        <is>
          <t>زمستان</t>
        </is>
      </c>
      <c r="I1457" s="134" t="inlineStr">
        <is>
          <t>سه‌شنبه</t>
        </is>
      </c>
      <c r="J1457" s="134" t="inlineStr">
        <is>
          <t>بله</t>
        </is>
      </c>
    </row>
    <row r="1458">
      <c r="A1458" s="173" t="n">
        <v>46379</v>
      </c>
      <c r="B1458" s="174" t="n">
        <v>46379</v>
      </c>
      <c r="C1458" s="174" t="n">
        <v>1405</v>
      </c>
      <c r="D1458" s="174" t="n">
        <v>10</v>
      </c>
      <c r="E1458" s="175" t="inlineStr">
        <is>
          <t>1405/10/02</t>
        </is>
      </c>
      <c r="F1458" s="128" t="inlineStr">
        <is>
          <t>1405/10</t>
        </is>
      </c>
      <c r="G1458" s="58" t="inlineStr">
        <is>
          <t>دی</t>
        </is>
      </c>
      <c r="H1458" s="128" t="inlineStr">
        <is>
          <t>زمستان</t>
        </is>
      </c>
      <c r="I1458" s="128" t="inlineStr">
        <is>
          <t>چهارشنبه</t>
        </is>
      </c>
      <c r="J1458" s="128" t="inlineStr">
        <is>
          <t>بله</t>
        </is>
      </c>
    </row>
    <row r="1459">
      <c r="A1459" s="176" t="n">
        <v>46380</v>
      </c>
      <c r="B1459" s="177" t="n">
        <v>46380</v>
      </c>
      <c r="C1459" s="177" t="n">
        <v>1405</v>
      </c>
      <c r="D1459" s="177" t="n">
        <v>10</v>
      </c>
      <c r="E1459" s="178" t="inlineStr">
        <is>
          <t>1405/10/03</t>
        </is>
      </c>
      <c r="F1459" s="134" t="inlineStr">
        <is>
          <t>1405/10</t>
        </is>
      </c>
      <c r="G1459" s="61" t="inlineStr">
        <is>
          <t>دی</t>
        </is>
      </c>
      <c r="H1459" s="134" t="inlineStr">
        <is>
          <t>زمستان</t>
        </is>
      </c>
      <c r="I1459" s="134" t="inlineStr">
        <is>
          <t>پنجشنبه</t>
        </is>
      </c>
      <c r="J1459" s="134" t="inlineStr">
        <is>
          <t>بله</t>
        </is>
      </c>
    </row>
    <row r="1460">
      <c r="A1460" s="173" t="n">
        <v>46381</v>
      </c>
      <c r="B1460" s="174" t="n">
        <v>46381</v>
      </c>
      <c r="C1460" s="174" t="n">
        <v>1405</v>
      </c>
      <c r="D1460" s="174" t="n">
        <v>10</v>
      </c>
      <c r="E1460" s="175" t="inlineStr">
        <is>
          <t>1405/10/04</t>
        </is>
      </c>
      <c r="F1460" s="128" t="inlineStr">
        <is>
          <t>1405/10</t>
        </is>
      </c>
      <c r="G1460" s="58" t="inlineStr">
        <is>
          <t>دی</t>
        </is>
      </c>
      <c r="H1460" s="128" t="inlineStr">
        <is>
          <t>زمستان</t>
        </is>
      </c>
      <c r="I1460" s="128" t="inlineStr">
        <is>
          <t>جمعه</t>
        </is>
      </c>
      <c r="J1460" s="128" t="inlineStr">
        <is>
          <t>بله</t>
        </is>
      </c>
    </row>
    <row r="1461">
      <c r="A1461" s="176" t="n">
        <v>46382</v>
      </c>
      <c r="B1461" s="177" t="n">
        <v>46382</v>
      </c>
      <c r="C1461" s="177" t="n">
        <v>1405</v>
      </c>
      <c r="D1461" s="177" t="n">
        <v>10</v>
      </c>
      <c r="E1461" s="178" t="inlineStr">
        <is>
          <t>1405/10/05</t>
        </is>
      </c>
      <c r="F1461" s="134" t="inlineStr">
        <is>
          <t>1405/10</t>
        </is>
      </c>
      <c r="G1461" s="61" t="inlineStr">
        <is>
          <t>دی</t>
        </is>
      </c>
      <c r="H1461" s="134" t="inlineStr">
        <is>
          <t>زمستان</t>
        </is>
      </c>
      <c r="I1461" s="134" t="inlineStr">
        <is>
          <t>شنبه</t>
        </is>
      </c>
      <c r="J1461" s="134" t="inlineStr">
        <is>
          <t>خیر</t>
        </is>
      </c>
    </row>
    <row r="1462">
      <c r="A1462" s="173" t="n">
        <v>46383</v>
      </c>
      <c r="B1462" s="174" t="n">
        <v>46383</v>
      </c>
      <c r="C1462" s="174" t="n">
        <v>1405</v>
      </c>
      <c r="D1462" s="174" t="n">
        <v>10</v>
      </c>
      <c r="E1462" s="175" t="inlineStr">
        <is>
          <t>1405/10/06</t>
        </is>
      </c>
      <c r="F1462" s="128" t="inlineStr">
        <is>
          <t>1405/10</t>
        </is>
      </c>
      <c r="G1462" s="58" t="inlineStr">
        <is>
          <t>دی</t>
        </is>
      </c>
      <c r="H1462" s="128" t="inlineStr">
        <is>
          <t>زمستان</t>
        </is>
      </c>
      <c r="I1462" s="128" t="inlineStr">
        <is>
          <t>یکشنبه</t>
        </is>
      </c>
      <c r="J1462" s="128" t="inlineStr">
        <is>
          <t>خیر</t>
        </is>
      </c>
    </row>
    <row r="1463">
      <c r="A1463" s="176" t="n">
        <v>46384</v>
      </c>
      <c r="B1463" s="177" t="n">
        <v>46384</v>
      </c>
      <c r="C1463" s="177" t="n">
        <v>1405</v>
      </c>
      <c r="D1463" s="177" t="n">
        <v>10</v>
      </c>
      <c r="E1463" s="178" t="inlineStr">
        <is>
          <t>1405/10/07</t>
        </is>
      </c>
      <c r="F1463" s="134" t="inlineStr">
        <is>
          <t>1405/10</t>
        </is>
      </c>
      <c r="G1463" s="61" t="inlineStr">
        <is>
          <t>دی</t>
        </is>
      </c>
      <c r="H1463" s="134" t="inlineStr">
        <is>
          <t>زمستان</t>
        </is>
      </c>
      <c r="I1463" s="134" t="inlineStr">
        <is>
          <t>دوشنبه</t>
        </is>
      </c>
      <c r="J1463" s="134" t="inlineStr">
        <is>
          <t>بله</t>
        </is>
      </c>
    </row>
    <row r="1464">
      <c r="A1464" s="173" t="n">
        <v>46385</v>
      </c>
      <c r="B1464" s="174" t="n">
        <v>46385</v>
      </c>
      <c r="C1464" s="174" t="n">
        <v>1405</v>
      </c>
      <c r="D1464" s="174" t="n">
        <v>10</v>
      </c>
      <c r="E1464" s="175" t="inlineStr">
        <is>
          <t>1405/10/08</t>
        </is>
      </c>
      <c r="F1464" s="128" t="inlineStr">
        <is>
          <t>1405/10</t>
        </is>
      </c>
      <c r="G1464" s="58" t="inlineStr">
        <is>
          <t>دی</t>
        </is>
      </c>
      <c r="H1464" s="128" t="inlineStr">
        <is>
          <t>زمستان</t>
        </is>
      </c>
      <c r="I1464" s="128" t="inlineStr">
        <is>
          <t>سه‌شنبه</t>
        </is>
      </c>
      <c r="J1464" s="128" t="inlineStr">
        <is>
          <t>بله</t>
        </is>
      </c>
    </row>
    <row r="1465">
      <c r="A1465" s="176" t="n">
        <v>46386</v>
      </c>
      <c r="B1465" s="177" t="n">
        <v>46386</v>
      </c>
      <c r="C1465" s="177" t="n">
        <v>1405</v>
      </c>
      <c r="D1465" s="177" t="n">
        <v>10</v>
      </c>
      <c r="E1465" s="178" t="inlineStr">
        <is>
          <t>1405/10/09</t>
        </is>
      </c>
      <c r="F1465" s="134" t="inlineStr">
        <is>
          <t>1405/10</t>
        </is>
      </c>
      <c r="G1465" s="61" t="inlineStr">
        <is>
          <t>دی</t>
        </is>
      </c>
      <c r="H1465" s="134" t="inlineStr">
        <is>
          <t>زمستان</t>
        </is>
      </c>
      <c r="I1465" s="134" t="inlineStr">
        <is>
          <t>چهارشنبه</t>
        </is>
      </c>
      <c r="J1465" s="134" t="inlineStr">
        <is>
          <t>بله</t>
        </is>
      </c>
    </row>
    <row r="1466">
      <c r="A1466" s="173" t="n">
        <v>46387</v>
      </c>
      <c r="B1466" s="174" t="n">
        <v>46387</v>
      </c>
      <c r="C1466" s="174" t="n">
        <v>1405</v>
      </c>
      <c r="D1466" s="174" t="n">
        <v>10</v>
      </c>
      <c r="E1466" s="175" t="inlineStr">
        <is>
          <t>1405/10/10</t>
        </is>
      </c>
      <c r="F1466" s="128" t="inlineStr">
        <is>
          <t>1405/10</t>
        </is>
      </c>
      <c r="G1466" s="58" t="inlineStr">
        <is>
          <t>دی</t>
        </is>
      </c>
      <c r="H1466" s="128" t="inlineStr">
        <is>
          <t>زمستان</t>
        </is>
      </c>
      <c r="I1466" s="128" t="inlineStr">
        <is>
          <t>پنجشنبه</t>
        </is>
      </c>
      <c r="J1466" s="128" t="inlineStr">
        <is>
          <t>بله</t>
        </is>
      </c>
    </row>
    <row r="1467">
      <c r="A1467" s="176" t="n">
        <v>46388</v>
      </c>
      <c r="B1467" s="177" t="n">
        <v>46388</v>
      </c>
      <c r="C1467" s="177" t="n">
        <v>1405</v>
      </c>
      <c r="D1467" s="177" t="n">
        <v>10</v>
      </c>
      <c r="E1467" s="178" t="inlineStr">
        <is>
          <t>1405/10/11</t>
        </is>
      </c>
      <c r="F1467" s="134" t="inlineStr">
        <is>
          <t>1405/10</t>
        </is>
      </c>
      <c r="G1467" s="61" t="inlineStr">
        <is>
          <t>دی</t>
        </is>
      </c>
      <c r="H1467" s="134" t="inlineStr">
        <is>
          <t>زمستان</t>
        </is>
      </c>
      <c r="I1467" s="134" t="inlineStr">
        <is>
          <t>جمعه</t>
        </is>
      </c>
      <c r="J1467" s="134" t="inlineStr">
        <is>
          <t>بله</t>
        </is>
      </c>
    </row>
    <row r="1468">
      <c r="A1468" s="173" t="n">
        <v>46389</v>
      </c>
      <c r="B1468" s="174" t="n">
        <v>46389</v>
      </c>
      <c r="C1468" s="174" t="n">
        <v>1405</v>
      </c>
      <c r="D1468" s="174" t="n">
        <v>10</v>
      </c>
      <c r="E1468" s="175" t="inlineStr">
        <is>
          <t>1405/10/12</t>
        </is>
      </c>
      <c r="F1468" s="128" t="inlineStr">
        <is>
          <t>1405/10</t>
        </is>
      </c>
      <c r="G1468" s="58" t="inlineStr">
        <is>
          <t>دی</t>
        </is>
      </c>
      <c r="H1468" s="128" t="inlineStr">
        <is>
          <t>زمستان</t>
        </is>
      </c>
      <c r="I1468" s="128" t="inlineStr">
        <is>
          <t>شنبه</t>
        </is>
      </c>
      <c r="J1468" s="128" t="inlineStr">
        <is>
          <t>خیر</t>
        </is>
      </c>
    </row>
    <row r="1469">
      <c r="A1469" s="176" t="n">
        <v>46390</v>
      </c>
      <c r="B1469" s="177" t="n">
        <v>46390</v>
      </c>
      <c r="C1469" s="177" t="n">
        <v>1405</v>
      </c>
      <c r="D1469" s="177" t="n">
        <v>10</v>
      </c>
      <c r="E1469" s="178" t="inlineStr">
        <is>
          <t>1405/10/13</t>
        </is>
      </c>
      <c r="F1469" s="134" t="inlineStr">
        <is>
          <t>1405/10</t>
        </is>
      </c>
      <c r="G1469" s="61" t="inlineStr">
        <is>
          <t>دی</t>
        </is>
      </c>
      <c r="H1469" s="134" t="inlineStr">
        <is>
          <t>زمستان</t>
        </is>
      </c>
      <c r="I1469" s="134" t="inlineStr">
        <is>
          <t>یکشنبه</t>
        </is>
      </c>
      <c r="J1469" s="134" t="inlineStr">
        <is>
          <t>خیر</t>
        </is>
      </c>
    </row>
    <row r="1470">
      <c r="A1470" s="173" t="n">
        <v>46391</v>
      </c>
      <c r="B1470" s="174" t="n">
        <v>46391</v>
      </c>
      <c r="C1470" s="174" t="n">
        <v>1405</v>
      </c>
      <c r="D1470" s="174" t="n">
        <v>10</v>
      </c>
      <c r="E1470" s="175" t="inlineStr">
        <is>
          <t>1405/10/14</t>
        </is>
      </c>
      <c r="F1470" s="128" t="inlineStr">
        <is>
          <t>1405/10</t>
        </is>
      </c>
      <c r="G1470" s="58" t="inlineStr">
        <is>
          <t>دی</t>
        </is>
      </c>
      <c r="H1470" s="128" t="inlineStr">
        <is>
          <t>زمستان</t>
        </is>
      </c>
      <c r="I1470" s="128" t="inlineStr">
        <is>
          <t>دوشنبه</t>
        </is>
      </c>
      <c r="J1470" s="128" t="inlineStr">
        <is>
          <t>بله</t>
        </is>
      </c>
    </row>
    <row r="1471">
      <c r="A1471" s="176" t="n">
        <v>46392</v>
      </c>
      <c r="B1471" s="177" t="n">
        <v>46392</v>
      </c>
      <c r="C1471" s="177" t="n">
        <v>1405</v>
      </c>
      <c r="D1471" s="177" t="n">
        <v>10</v>
      </c>
      <c r="E1471" s="178" t="inlineStr">
        <is>
          <t>1405/10/15</t>
        </is>
      </c>
      <c r="F1471" s="134" t="inlineStr">
        <is>
          <t>1405/10</t>
        </is>
      </c>
      <c r="G1471" s="61" t="inlineStr">
        <is>
          <t>دی</t>
        </is>
      </c>
      <c r="H1471" s="134" t="inlineStr">
        <is>
          <t>زمستان</t>
        </is>
      </c>
      <c r="I1471" s="134" t="inlineStr">
        <is>
          <t>سه‌شنبه</t>
        </is>
      </c>
      <c r="J1471" s="134" t="inlineStr">
        <is>
          <t>بله</t>
        </is>
      </c>
    </row>
    <row r="1472">
      <c r="A1472" s="173" t="n">
        <v>46393</v>
      </c>
      <c r="B1472" s="174" t="n">
        <v>46393</v>
      </c>
      <c r="C1472" s="174" t="n">
        <v>1405</v>
      </c>
      <c r="D1472" s="174" t="n">
        <v>10</v>
      </c>
      <c r="E1472" s="175" t="inlineStr">
        <is>
          <t>1405/10/16</t>
        </is>
      </c>
      <c r="F1472" s="128" t="inlineStr">
        <is>
          <t>1405/10</t>
        </is>
      </c>
      <c r="G1472" s="58" t="inlineStr">
        <is>
          <t>دی</t>
        </is>
      </c>
      <c r="H1472" s="128" t="inlineStr">
        <is>
          <t>زمستان</t>
        </is>
      </c>
      <c r="I1472" s="128" t="inlineStr">
        <is>
          <t>چهارشنبه</t>
        </is>
      </c>
      <c r="J1472" s="128" t="inlineStr">
        <is>
          <t>بله</t>
        </is>
      </c>
    </row>
    <row r="1473">
      <c r="A1473" s="176" t="n">
        <v>46394</v>
      </c>
      <c r="B1473" s="177" t="n">
        <v>46394</v>
      </c>
      <c r="C1473" s="177" t="n">
        <v>1405</v>
      </c>
      <c r="D1473" s="177" t="n">
        <v>10</v>
      </c>
      <c r="E1473" s="178" t="inlineStr">
        <is>
          <t>1405/10/17</t>
        </is>
      </c>
      <c r="F1473" s="134" t="inlineStr">
        <is>
          <t>1405/10</t>
        </is>
      </c>
      <c r="G1473" s="61" t="inlineStr">
        <is>
          <t>دی</t>
        </is>
      </c>
      <c r="H1473" s="134" t="inlineStr">
        <is>
          <t>زمستان</t>
        </is>
      </c>
      <c r="I1473" s="134" t="inlineStr">
        <is>
          <t>پنجشنبه</t>
        </is>
      </c>
      <c r="J1473" s="134" t="inlineStr">
        <is>
          <t>بله</t>
        </is>
      </c>
    </row>
    <row r="1474">
      <c r="A1474" s="173" t="n">
        <v>46395</v>
      </c>
      <c r="B1474" s="174" t="n">
        <v>46395</v>
      </c>
      <c r="C1474" s="174" t="n">
        <v>1405</v>
      </c>
      <c r="D1474" s="174" t="n">
        <v>10</v>
      </c>
      <c r="E1474" s="175" t="inlineStr">
        <is>
          <t>1405/10/18</t>
        </is>
      </c>
      <c r="F1474" s="128" t="inlineStr">
        <is>
          <t>1405/10</t>
        </is>
      </c>
      <c r="G1474" s="58" t="inlineStr">
        <is>
          <t>دی</t>
        </is>
      </c>
      <c r="H1474" s="128" t="inlineStr">
        <is>
          <t>زمستان</t>
        </is>
      </c>
      <c r="I1474" s="128" t="inlineStr">
        <is>
          <t>جمعه</t>
        </is>
      </c>
      <c r="J1474" s="128" t="inlineStr">
        <is>
          <t>بله</t>
        </is>
      </c>
    </row>
    <row r="1475">
      <c r="A1475" s="176" t="n">
        <v>46396</v>
      </c>
      <c r="B1475" s="177" t="n">
        <v>46396</v>
      </c>
      <c r="C1475" s="177" t="n">
        <v>1405</v>
      </c>
      <c r="D1475" s="177" t="n">
        <v>10</v>
      </c>
      <c r="E1475" s="178" t="inlineStr">
        <is>
          <t>1405/10/19</t>
        </is>
      </c>
      <c r="F1475" s="134" t="inlineStr">
        <is>
          <t>1405/10</t>
        </is>
      </c>
      <c r="G1475" s="61" t="inlineStr">
        <is>
          <t>دی</t>
        </is>
      </c>
      <c r="H1475" s="134" t="inlineStr">
        <is>
          <t>زمستان</t>
        </is>
      </c>
      <c r="I1475" s="134" t="inlineStr">
        <is>
          <t>شنبه</t>
        </is>
      </c>
      <c r="J1475" s="134" t="inlineStr">
        <is>
          <t>خیر</t>
        </is>
      </c>
    </row>
    <row r="1476">
      <c r="A1476" s="173" t="n">
        <v>46397</v>
      </c>
      <c r="B1476" s="174" t="n">
        <v>46397</v>
      </c>
      <c r="C1476" s="174" t="n">
        <v>1405</v>
      </c>
      <c r="D1476" s="174" t="n">
        <v>10</v>
      </c>
      <c r="E1476" s="175" t="inlineStr">
        <is>
          <t>1405/10/20</t>
        </is>
      </c>
      <c r="F1476" s="128" t="inlineStr">
        <is>
          <t>1405/10</t>
        </is>
      </c>
      <c r="G1476" s="58" t="inlineStr">
        <is>
          <t>دی</t>
        </is>
      </c>
      <c r="H1476" s="128" t="inlineStr">
        <is>
          <t>زمستان</t>
        </is>
      </c>
      <c r="I1476" s="128" t="inlineStr">
        <is>
          <t>یکشنبه</t>
        </is>
      </c>
      <c r="J1476" s="128" t="inlineStr">
        <is>
          <t>خیر</t>
        </is>
      </c>
    </row>
    <row r="1477">
      <c r="A1477" s="176" t="n">
        <v>46398</v>
      </c>
      <c r="B1477" s="177" t="n">
        <v>46398</v>
      </c>
      <c r="C1477" s="177" t="n">
        <v>1405</v>
      </c>
      <c r="D1477" s="177" t="n">
        <v>10</v>
      </c>
      <c r="E1477" s="178" t="inlineStr">
        <is>
          <t>1405/10/21</t>
        </is>
      </c>
      <c r="F1477" s="134" t="inlineStr">
        <is>
          <t>1405/10</t>
        </is>
      </c>
      <c r="G1477" s="61" t="inlineStr">
        <is>
          <t>دی</t>
        </is>
      </c>
      <c r="H1477" s="134" t="inlineStr">
        <is>
          <t>زمستان</t>
        </is>
      </c>
      <c r="I1477" s="134" t="inlineStr">
        <is>
          <t>دوشنبه</t>
        </is>
      </c>
      <c r="J1477" s="134" t="inlineStr">
        <is>
          <t>بله</t>
        </is>
      </c>
    </row>
    <row r="1478">
      <c r="A1478" s="173" t="n">
        <v>46399</v>
      </c>
      <c r="B1478" s="174" t="n">
        <v>46399</v>
      </c>
      <c r="C1478" s="174" t="n">
        <v>1405</v>
      </c>
      <c r="D1478" s="174" t="n">
        <v>10</v>
      </c>
      <c r="E1478" s="175" t="inlineStr">
        <is>
          <t>1405/10/22</t>
        </is>
      </c>
      <c r="F1478" s="128" t="inlineStr">
        <is>
          <t>1405/10</t>
        </is>
      </c>
      <c r="G1478" s="58" t="inlineStr">
        <is>
          <t>دی</t>
        </is>
      </c>
      <c r="H1478" s="128" t="inlineStr">
        <is>
          <t>زمستان</t>
        </is>
      </c>
      <c r="I1478" s="128" t="inlineStr">
        <is>
          <t>سه‌شنبه</t>
        </is>
      </c>
      <c r="J1478" s="128" t="inlineStr">
        <is>
          <t>بله</t>
        </is>
      </c>
    </row>
    <row r="1479">
      <c r="A1479" s="176" t="n">
        <v>46400</v>
      </c>
      <c r="B1479" s="177" t="n">
        <v>46400</v>
      </c>
      <c r="C1479" s="177" t="n">
        <v>1405</v>
      </c>
      <c r="D1479" s="177" t="n">
        <v>10</v>
      </c>
      <c r="E1479" s="178" t="inlineStr">
        <is>
          <t>1405/10/23</t>
        </is>
      </c>
      <c r="F1479" s="134" t="inlineStr">
        <is>
          <t>1405/10</t>
        </is>
      </c>
      <c r="G1479" s="61" t="inlineStr">
        <is>
          <t>دی</t>
        </is>
      </c>
      <c r="H1479" s="134" t="inlineStr">
        <is>
          <t>زمستان</t>
        </is>
      </c>
      <c r="I1479" s="134" t="inlineStr">
        <is>
          <t>چهارشنبه</t>
        </is>
      </c>
      <c r="J1479" s="134" t="inlineStr">
        <is>
          <t>بله</t>
        </is>
      </c>
    </row>
    <row r="1480">
      <c r="A1480" s="173" t="n">
        <v>46401</v>
      </c>
      <c r="B1480" s="174" t="n">
        <v>46401</v>
      </c>
      <c r="C1480" s="174" t="n">
        <v>1405</v>
      </c>
      <c r="D1480" s="174" t="n">
        <v>10</v>
      </c>
      <c r="E1480" s="175" t="inlineStr">
        <is>
          <t>1405/10/24</t>
        </is>
      </c>
      <c r="F1480" s="128" t="inlineStr">
        <is>
          <t>1405/10</t>
        </is>
      </c>
      <c r="G1480" s="58" t="inlineStr">
        <is>
          <t>دی</t>
        </is>
      </c>
      <c r="H1480" s="128" t="inlineStr">
        <is>
          <t>زمستان</t>
        </is>
      </c>
      <c r="I1480" s="128" t="inlineStr">
        <is>
          <t>پنجشنبه</t>
        </is>
      </c>
      <c r="J1480" s="128" t="inlineStr">
        <is>
          <t>بله</t>
        </is>
      </c>
    </row>
    <row r="1481">
      <c r="A1481" s="176" t="n">
        <v>46402</v>
      </c>
      <c r="B1481" s="177" t="n">
        <v>46402</v>
      </c>
      <c r="C1481" s="177" t="n">
        <v>1405</v>
      </c>
      <c r="D1481" s="177" t="n">
        <v>10</v>
      </c>
      <c r="E1481" s="178" t="inlineStr">
        <is>
          <t>1405/10/25</t>
        </is>
      </c>
      <c r="F1481" s="134" t="inlineStr">
        <is>
          <t>1405/10</t>
        </is>
      </c>
      <c r="G1481" s="61" t="inlineStr">
        <is>
          <t>دی</t>
        </is>
      </c>
      <c r="H1481" s="134" t="inlineStr">
        <is>
          <t>زمستان</t>
        </is>
      </c>
      <c r="I1481" s="134" t="inlineStr">
        <is>
          <t>جمعه</t>
        </is>
      </c>
      <c r="J1481" s="134" t="inlineStr">
        <is>
          <t>بله</t>
        </is>
      </c>
    </row>
    <row r="1482">
      <c r="A1482" s="173" t="n">
        <v>46403</v>
      </c>
      <c r="B1482" s="174" t="n">
        <v>46403</v>
      </c>
      <c r="C1482" s="174" t="n">
        <v>1405</v>
      </c>
      <c r="D1482" s="174" t="n">
        <v>10</v>
      </c>
      <c r="E1482" s="175" t="inlineStr">
        <is>
          <t>1405/10/26</t>
        </is>
      </c>
      <c r="F1482" s="128" t="inlineStr">
        <is>
          <t>1405/10</t>
        </is>
      </c>
      <c r="G1482" s="58" t="inlineStr">
        <is>
          <t>دی</t>
        </is>
      </c>
      <c r="H1482" s="128" t="inlineStr">
        <is>
          <t>زمستان</t>
        </is>
      </c>
      <c r="I1482" s="128" t="inlineStr">
        <is>
          <t>شنبه</t>
        </is>
      </c>
      <c r="J1482" s="128" t="inlineStr">
        <is>
          <t>خیر</t>
        </is>
      </c>
    </row>
    <row r="1483">
      <c r="A1483" s="176" t="n">
        <v>46404</v>
      </c>
      <c r="B1483" s="177" t="n">
        <v>46404</v>
      </c>
      <c r="C1483" s="177" t="n">
        <v>1405</v>
      </c>
      <c r="D1483" s="177" t="n">
        <v>10</v>
      </c>
      <c r="E1483" s="178" t="inlineStr">
        <is>
          <t>1405/10/27</t>
        </is>
      </c>
      <c r="F1483" s="134" t="inlineStr">
        <is>
          <t>1405/10</t>
        </is>
      </c>
      <c r="G1483" s="61" t="inlineStr">
        <is>
          <t>دی</t>
        </is>
      </c>
      <c r="H1483" s="134" t="inlineStr">
        <is>
          <t>زمستان</t>
        </is>
      </c>
      <c r="I1483" s="134" t="inlineStr">
        <is>
          <t>یکشنبه</t>
        </is>
      </c>
      <c r="J1483" s="134" t="inlineStr">
        <is>
          <t>خیر</t>
        </is>
      </c>
    </row>
    <row r="1484">
      <c r="A1484" s="173" t="n">
        <v>46405</v>
      </c>
      <c r="B1484" s="174" t="n">
        <v>46405</v>
      </c>
      <c r="C1484" s="174" t="n">
        <v>1405</v>
      </c>
      <c r="D1484" s="174" t="n">
        <v>10</v>
      </c>
      <c r="E1484" s="175" t="inlineStr">
        <is>
          <t>1405/10/28</t>
        </is>
      </c>
      <c r="F1484" s="128" t="inlineStr">
        <is>
          <t>1405/10</t>
        </is>
      </c>
      <c r="G1484" s="58" t="inlineStr">
        <is>
          <t>دی</t>
        </is>
      </c>
      <c r="H1484" s="128" t="inlineStr">
        <is>
          <t>زمستان</t>
        </is>
      </c>
      <c r="I1484" s="128" t="inlineStr">
        <is>
          <t>دوشنبه</t>
        </is>
      </c>
      <c r="J1484" s="128" t="inlineStr">
        <is>
          <t>بله</t>
        </is>
      </c>
    </row>
    <row r="1485">
      <c r="A1485" s="176" t="n">
        <v>46406</v>
      </c>
      <c r="B1485" s="177" t="n">
        <v>46406</v>
      </c>
      <c r="C1485" s="177" t="n">
        <v>1405</v>
      </c>
      <c r="D1485" s="177" t="n">
        <v>10</v>
      </c>
      <c r="E1485" s="178" t="inlineStr">
        <is>
          <t>1405/10/29</t>
        </is>
      </c>
      <c r="F1485" s="134" t="inlineStr">
        <is>
          <t>1405/10</t>
        </is>
      </c>
      <c r="G1485" s="61" t="inlineStr">
        <is>
          <t>دی</t>
        </is>
      </c>
      <c r="H1485" s="134" t="inlineStr">
        <is>
          <t>زمستان</t>
        </is>
      </c>
      <c r="I1485" s="134" t="inlineStr">
        <is>
          <t>سه‌شنبه</t>
        </is>
      </c>
      <c r="J1485" s="134" t="inlineStr">
        <is>
          <t>بله</t>
        </is>
      </c>
    </row>
    <row r="1486">
      <c r="A1486" s="173" t="n">
        <v>46407</v>
      </c>
      <c r="B1486" s="174" t="n">
        <v>46407</v>
      </c>
      <c r="C1486" s="174" t="n">
        <v>1405</v>
      </c>
      <c r="D1486" s="174" t="n">
        <v>10</v>
      </c>
      <c r="E1486" s="175" t="inlineStr">
        <is>
          <t>1405/10/30</t>
        </is>
      </c>
      <c r="F1486" s="128" t="inlineStr">
        <is>
          <t>1405/10</t>
        </is>
      </c>
      <c r="G1486" s="58" t="inlineStr">
        <is>
          <t>دی</t>
        </is>
      </c>
      <c r="H1486" s="128" t="inlineStr">
        <is>
          <t>زمستان</t>
        </is>
      </c>
      <c r="I1486" s="128" t="inlineStr">
        <is>
          <t>چهارشنبه</t>
        </is>
      </c>
      <c r="J1486" s="128" t="inlineStr">
        <is>
          <t>بله</t>
        </is>
      </c>
    </row>
    <row r="1487">
      <c r="A1487" s="176" t="n">
        <v>46408</v>
      </c>
      <c r="B1487" s="177" t="n">
        <v>46408</v>
      </c>
      <c r="C1487" s="177" t="n">
        <v>1405</v>
      </c>
      <c r="D1487" s="177" t="n">
        <v>11</v>
      </c>
      <c r="E1487" s="178" t="inlineStr">
        <is>
          <t>1405/11/01</t>
        </is>
      </c>
      <c r="F1487" s="134" t="inlineStr">
        <is>
          <t>1405/11</t>
        </is>
      </c>
      <c r="G1487" s="61" t="inlineStr">
        <is>
          <t>بهمن</t>
        </is>
      </c>
      <c r="H1487" s="134" t="inlineStr">
        <is>
          <t>زمستان</t>
        </is>
      </c>
      <c r="I1487" s="134" t="inlineStr">
        <is>
          <t>پنجشنبه</t>
        </is>
      </c>
      <c r="J1487" s="134" t="inlineStr">
        <is>
          <t>بله</t>
        </is>
      </c>
    </row>
    <row r="1488">
      <c r="A1488" s="173" t="n">
        <v>46409</v>
      </c>
      <c r="B1488" s="174" t="n">
        <v>46409</v>
      </c>
      <c r="C1488" s="174" t="n">
        <v>1405</v>
      </c>
      <c r="D1488" s="174" t="n">
        <v>11</v>
      </c>
      <c r="E1488" s="175" t="inlineStr">
        <is>
          <t>1405/11/02</t>
        </is>
      </c>
      <c r="F1488" s="128" t="inlineStr">
        <is>
          <t>1405/11</t>
        </is>
      </c>
      <c r="G1488" s="58" t="inlineStr">
        <is>
          <t>بهمن</t>
        </is>
      </c>
      <c r="H1488" s="128" t="inlineStr">
        <is>
          <t>زمستان</t>
        </is>
      </c>
      <c r="I1488" s="128" t="inlineStr">
        <is>
          <t>جمعه</t>
        </is>
      </c>
      <c r="J1488" s="128" t="inlineStr">
        <is>
          <t>بله</t>
        </is>
      </c>
    </row>
    <row r="1489">
      <c r="A1489" s="176" t="n">
        <v>46410</v>
      </c>
      <c r="B1489" s="177" t="n">
        <v>46410</v>
      </c>
      <c r="C1489" s="177" t="n">
        <v>1405</v>
      </c>
      <c r="D1489" s="177" t="n">
        <v>11</v>
      </c>
      <c r="E1489" s="178" t="inlineStr">
        <is>
          <t>1405/11/03</t>
        </is>
      </c>
      <c r="F1489" s="134" t="inlineStr">
        <is>
          <t>1405/11</t>
        </is>
      </c>
      <c r="G1489" s="61" t="inlineStr">
        <is>
          <t>بهمن</t>
        </is>
      </c>
      <c r="H1489" s="134" t="inlineStr">
        <is>
          <t>زمستان</t>
        </is>
      </c>
      <c r="I1489" s="134" t="inlineStr">
        <is>
          <t>شنبه</t>
        </is>
      </c>
      <c r="J1489" s="134" t="inlineStr">
        <is>
          <t>خیر</t>
        </is>
      </c>
    </row>
    <row r="1490">
      <c r="A1490" s="173" t="n">
        <v>46411</v>
      </c>
      <c r="B1490" s="174" t="n">
        <v>46411</v>
      </c>
      <c r="C1490" s="174" t="n">
        <v>1405</v>
      </c>
      <c r="D1490" s="174" t="n">
        <v>11</v>
      </c>
      <c r="E1490" s="175" t="inlineStr">
        <is>
          <t>1405/11/04</t>
        </is>
      </c>
      <c r="F1490" s="128" t="inlineStr">
        <is>
          <t>1405/11</t>
        </is>
      </c>
      <c r="G1490" s="58" t="inlineStr">
        <is>
          <t>بهمن</t>
        </is>
      </c>
      <c r="H1490" s="128" t="inlineStr">
        <is>
          <t>زمستان</t>
        </is>
      </c>
      <c r="I1490" s="128" t="inlineStr">
        <is>
          <t>یکشنبه</t>
        </is>
      </c>
      <c r="J1490" s="128" t="inlineStr">
        <is>
          <t>خیر</t>
        </is>
      </c>
    </row>
    <row r="1491">
      <c r="A1491" s="176" t="n">
        <v>46412</v>
      </c>
      <c r="B1491" s="177" t="n">
        <v>46412</v>
      </c>
      <c r="C1491" s="177" t="n">
        <v>1405</v>
      </c>
      <c r="D1491" s="177" t="n">
        <v>11</v>
      </c>
      <c r="E1491" s="178" t="inlineStr">
        <is>
          <t>1405/11/05</t>
        </is>
      </c>
      <c r="F1491" s="134" t="inlineStr">
        <is>
          <t>1405/11</t>
        </is>
      </c>
      <c r="G1491" s="61" t="inlineStr">
        <is>
          <t>بهمن</t>
        </is>
      </c>
      <c r="H1491" s="134" t="inlineStr">
        <is>
          <t>زمستان</t>
        </is>
      </c>
      <c r="I1491" s="134" t="inlineStr">
        <is>
          <t>دوشنبه</t>
        </is>
      </c>
      <c r="J1491" s="134" t="inlineStr">
        <is>
          <t>بله</t>
        </is>
      </c>
    </row>
    <row r="1492">
      <c r="A1492" s="173" t="n">
        <v>46413</v>
      </c>
      <c r="B1492" s="174" t="n">
        <v>46413</v>
      </c>
      <c r="C1492" s="174" t="n">
        <v>1405</v>
      </c>
      <c r="D1492" s="174" t="n">
        <v>11</v>
      </c>
      <c r="E1492" s="175" t="inlineStr">
        <is>
          <t>1405/11/06</t>
        </is>
      </c>
      <c r="F1492" s="128" t="inlineStr">
        <is>
          <t>1405/11</t>
        </is>
      </c>
      <c r="G1492" s="58" t="inlineStr">
        <is>
          <t>بهمن</t>
        </is>
      </c>
      <c r="H1492" s="128" t="inlineStr">
        <is>
          <t>زمستان</t>
        </is>
      </c>
      <c r="I1492" s="128" t="inlineStr">
        <is>
          <t>سه‌شنبه</t>
        </is>
      </c>
      <c r="J1492" s="128" t="inlineStr">
        <is>
          <t>بله</t>
        </is>
      </c>
    </row>
    <row r="1493">
      <c r="A1493" s="176" t="n">
        <v>46414</v>
      </c>
      <c r="B1493" s="177" t="n">
        <v>46414</v>
      </c>
      <c r="C1493" s="177" t="n">
        <v>1405</v>
      </c>
      <c r="D1493" s="177" t="n">
        <v>11</v>
      </c>
      <c r="E1493" s="178" t="inlineStr">
        <is>
          <t>1405/11/07</t>
        </is>
      </c>
      <c r="F1493" s="134" t="inlineStr">
        <is>
          <t>1405/11</t>
        </is>
      </c>
      <c r="G1493" s="61" t="inlineStr">
        <is>
          <t>بهمن</t>
        </is>
      </c>
      <c r="H1493" s="134" t="inlineStr">
        <is>
          <t>زمستان</t>
        </is>
      </c>
      <c r="I1493" s="134" t="inlineStr">
        <is>
          <t>چهارشنبه</t>
        </is>
      </c>
      <c r="J1493" s="134" t="inlineStr">
        <is>
          <t>بله</t>
        </is>
      </c>
    </row>
    <row r="1494">
      <c r="A1494" s="173" t="n">
        <v>46415</v>
      </c>
      <c r="B1494" s="174" t="n">
        <v>46415</v>
      </c>
      <c r="C1494" s="174" t="n">
        <v>1405</v>
      </c>
      <c r="D1494" s="174" t="n">
        <v>11</v>
      </c>
      <c r="E1494" s="175" t="inlineStr">
        <is>
          <t>1405/11/08</t>
        </is>
      </c>
      <c r="F1494" s="128" t="inlineStr">
        <is>
          <t>1405/11</t>
        </is>
      </c>
      <c r="G1494" s="58" t="inlineStr">
        <is>
          <t>بهمن</t>
        </is>
      </c>
      <c r="H1494" s="128" t="inlineStr">
        <is>
          <t>زمستان</t>
        </is>
      </c>
      <c r="I1494" s="128" t="inlineStr">
        <is>
          <t>پنجشنبه</t>
        </is>
      </c>
      <c r="J1494" s="128" t="inlineStr">
        <is>
          <t>بله</t>
        </is>
      </c>
    </row>
    <row r="1495">
      <c r="A1495" s="176" t="n">
        <v>46416</v>
      </c>
      <c r="B1495" s="177" t="n">
        <v>46416</v>
      </c>
      <c r="C1495" s="177" t="n">
        <v>1405</v>
      </c>
      <c r="D1495" s="177" t="n">
        <v>11</v>
      </c>
      <c r="E1495" s="178" t="inlineStr">
        <is>
          <t>1405/11/09</t>
        </is>
      </c>
      <c r="F1495" s="134" t="inlineStr">
        <is>
          <t>1405/11</t>
        </is>
      </c>
      <c r="G1495" s="61" t="inlineStr">
        <is>
          <t>بهمن</t>
        </is>
      </c>
      <c r="H1495" s="134" t="inlineStr">
        <is>
          <t>زمستان</t>
        </is>
      </c>
      <c r="I1495" s="134" t="inlineStr">
        <is>
          <t>جمعه</t>
        </is>
      </c>
      <c r="J1495" s="134" t="inlineStr">
        <is>
          <t>بله</t>
        </is>
      </c>
    </row>
    <row r="1496">
      <c r="A1496" s="173" t="n">
        <v>46417</v>
      </c>
      <c r="B1496" s="174" t="n">
        <v>46417</v>
      </c>
      <c r="C1496" s="174" t="n">
        <v>1405</v>
      </c>
      <c r="D1496" s="174" t="n">
        <v>11</v>
      </c>
      <c r="E1496" s="175" t="inlineStr">
        <is>
          <t>1405/11/10</t>
        </is>
      </c>
      <c r="F1496" s="128" t="inlineStr">
        <is>
          <t>1405/11</t>
        </is>
      </c>
      <c r="G1496" s="58" t="inlineStr">
        <is>
          <t>بهمن</t>
        </is>
      </c>
      <c r="H1496" s="128" t="inlineStr">
        <is>
          <t>زمستان</t>
        </is>
      </c>
      <c r="I1496" s="128" t="inlineStr">
        <is>
          <t>شنبه</t>
        </is>
      </c>
      <c r="J1496" s="128" t="inlineStr">
        <is>
          <t>خیر</t>
        </is>
      </c>
    </row>
    <row r="1497">
      <c r="A1497" s="176" t="n">
        <v>46418</v>
      </c>
      <c r="B1497" s="177" t="n">
        <v>46418</v>
      </c>
      <c r="C1497" s="177" t="n">
        <v>1405</v>
      </c>
      <c r="D1497" s="177" t="n">
        <v>11</v>
      </c>
      <c r="E1497" s="178" t="inlineStr">
        <is>
          <t>1405/11/11</t>
        </is>
      </c>
      <c r="F1497" s="134" t="inlineStr">
        <is>
          <t>1405/11</t>
        </is>
      </c>
      <c r="G1497" s="61" t="inlineStr">
        <is>
          <t>بهمن</t>
        </is>
      </c>
      <c r="H1497" s="134" t="inlineStr">
        <is>
          <t>زمستان</t>
        </is>
      </c>
      <c r="I1497" s="134" t="inlineStr">
        <is>
          <t>یکشنبه</t>
        </is>
      </c>
      <c r="J1497" s="134" t="inlineStr">
        <is>
          <t>خیر</t>
        </is>
      </c>
    </row>
    <row r="1498">
      <c r="A1498" s="173" t="n">
        <v>46419</v>
      </c>
      <c r="B1498" s="174" t="n">
        <v>46419</v>
      </c>
      <c r="C1498" s="174" t="n">
        <v>1405</v>
      </c>
      <c r="D1498" s="174" t="n">
        <v>11</v>
      </c>
      <c r="E1498" s="175" t="inlineStr">
        <is>
          <t>1405/11/12</t>
        </is>
      </c>
      <c r="F1498" s="128" t="inlineStr">
        <is>
          <t>1405/11</t>
        </is>
      </c>
      <c r="G1498" s="58" t="inlineStr">
        <is>
          <t>بهمن</t>
        </is>
      </c>
      <c r="H1498" s="128" t="inlineStr">
        <is>
          <t>زمستان</t>
        </is>
      </c>
      <c r="I1498" s="128" t="inlineStr">
        <is>
          <t>دوشنبه</t>
        </is>
      </c>
      <c r="J1498" s="128" t="inlineStr">
        <is>
          <t>بله</t>
        </is>
      </c>
    </row>
    <row r="1499">
      <c r="A1499" s="176" t="n">
        <v>46420</v>
      </c>
      <c r="B1499" s="177" t="n">
        <v>46420</v>
      </c>
      <c r="C1499" s="177" t="n">
        <v>1405</v>
      </c>
      <c r="D1499" s="177" t="n">
        <v>11</v>
      </c>
      <c r="E1499" s="178" t="inlineStr">
        <is>
          <t>1405/11/13</t>
        </is>
      </c>
      <c r="F1499" s="134" t="inlineStr">
        <is>
          <t>1405/11</t>
        </is>
      </c>
      <c r="G1499" s="61" t="inlineStr">
        <is>
          <t>بهمن</t>
        </is>
      </c>
      <c r="H1499" s="134" t="inlineStr">
        <is>
          <t>زمستان</t>
        </is>
      </c>
      <c r="I1499" s="134" t="inlineStr">
        <is>
          <t>سه‌شنبه</t>
        </is>
      </c>
      <c r="J1499" s="134" t="inlineStr">
        <is>
          <t>بله</t>
        </is>
      </c>
    </row>
    <row r="1500">
      <c r="A1500" s="173" t="n">
        <v>46421</v>
      </c>
      <c r="B1500" s="174" t="n">
        <v>46421</v>
      </c>
      <c r="C1500" s="174" t="n">
        <v>1405</v>
      </c>
      <c r="D1500" s="174" t="n">
        <v>11</v>
      </c>
      <c r="E1500" s="175" t="inlineStr">
        <is>
          <t>1405/11/14</t>
        </is>
      </c>
      <c r="F1500" s="128" t="inlineStr">
        <is>
          <t>1405/11</t>
        </is>
      </c>
      <c r="G1500" s="58" t="inlineStr">
        <is>
          <t>بهمن</t>
        </is>
      </c>
      <c r="H1500" s="128" t="inlineStr">
        <is>
          <t>زمستان</t>
        </is>
      </c>
      <c r="I1500" s="128" t="inlineStr">
        <is>
          <t>چهارشنبه</t>
        </is>
      </c>
      <c r="J1500" s="128" t="inlineStr">
        <is>
          <t>بله</t>
        </is>
      </c>
    </row>
    <row r="1501">
      <c r="A1501" s="176" t="n">
        <v>46422</v>
      </c>
      <c r="B1501" s="177" t="n">
        <v>46422</v>
      </c>
      <c r="C1501" s="177" t="n">
        <v>1405</v>
      </c>
      <c r="D1501" s="177" t="n">
        <v>11</v>
      </c>
      <c r="E1501" s="178" t="inlineStr">
        <is>
          <t>1405/11/15</t>
        </is>
      </c>
      <c r="F1501" s="134" t="inlineStr">
        <is>
          <t>1405/11</t>
        </is>
      </c>
      <c r="G1501" s="61" t="inlineStr">
        <is>
          <t>بهمن</t>
        </is>
      </c>
      <c r="H1501" s="134" t="inlineStr">
        <is>
          <t>زمستان</t>
        </is>
      </c>
      <c r="I1501" s="134" t="inlineStr">
        <is>
          <t>پنجشنبه</t>
        </is>
      </c>
      <c r="J1501" s="134" t="inlineStr">
        <is>
          <t>بله</t>
        </is>
      </c>
    </row>
    <row r="1502">
      <c r="A1502" s="173" t="n">
        <v>46423</v>
      </c>
      <c r="B1502" s="174" t="n">
        <v>46423</v>
      </c>
      <c r="C1502" s="174" t="n">
        <v>1405</v>
      </c>
      <c r="D1502" s="174" t="n">
        <v>11</v>
      </c>
      <c r="E1502" s="175" t="inlineStr">
        <is>
          <t>1405/11/16</t>
        </is>
      </c>
      <c r="F1502" s="128" t="inlineStr">
        <is>
          <t>1405/11</t>
        </is>
      </c>
      <c r="G1502" s="58" t="inlineStr">
        <is>
          <t>بهمن</t>
        </is>
      </c>
      <c r="H1502" s="128" t="inlineStr">
        <is>
          <t>زمستان</t>
        </is>
      </c>
      <c r="I1502" s="128" t="inlineStr">
        <is>
          <t>جمعه</t>
        </is>
      </c>
      <c r="J1502" s="128" t="inlineStr">
        <is>
          <t>بله</t>
        </is>
      </c>
    </row>
    <row r="1503">
      <c r="A1503" s="176" t="n">
        <v>46424</v>
      </c>
      <c r="B1503" s="177" t="n">
        <v>46424</v>
      </c>
      <c r="C1503" s="177" t="n">
        <v>1405</v>
      </c>
      <c r="D1503" s="177" t="n">
        <v>11</v>
      </c>
      <c r="E1503" s="178" t="inlineStr">
        <is>
          <t>1405/11/17</t>
        </is>
      </c>
      <c r="F1503" s="134" t="inlineStr">
        <is>
          <t>1405/11</t>
        </is>
      </c>
      <c r="G1503" s="61" t="inlineStr">
        <is>
          <t>بهمن</t>
        </is>
      </c>
      <c r="H1503" s="134" t="inlineStr">
        <is>
          <t>زمستان</t>
        </is>
      </c>
      <c r="I1503" s="134" t="inlineStr">
        <is>
          <t>شنبه</t>
        </is>
      </c>
      <c r="J1503" s="134" t="inlineStr">
        <is>
          <t>خیر</t>
        </is>
      </c>
    </row>
    <row r="1504">
      <c r="A1504" s="173" t="n">
        <v>46425</v>
      </c>
      <c r="B1504" s="174" t="n">
        <v>46425</v>
      </c>
      <c r="C1504" s="174" t="n">
        <v>1405</v>
      </c>
      <c r="D1504" s="174" t="n">
        <v>11</v>
      </c>
      <c r="E1504" s="175" t="inlineStr">
        <is>
          <t>1405/11/18</t>
        </is>
      </c>
      <c r="F1504" s="128" t="inlineStr">
        <is>
          <t>1405/11</t>
        </is>
      </c>
      <c r="G1504" s="58" t="inlineStr">
        <is>
          <t>بهمن</t>
        </is>
      </c>
      <c r="H1504" s="128" t="inlineStr">
        <is>
          <t>زمستان</t>
        </is>
      </c>
      <c r="I1504" s="128" t="inlineStr">
        <is>
          <t>یکشنبه</t>
        </is>
      </c>
      <c r="J1504" s="128" t="inlineStr">
        <is>
          <t>خیر</t>
        </is>
      </c>
    </row>
    <row r="1505">
      <c r="A1505" s="176" t="n">
        <v>46426</v>
      </c>
      <c r="B1505" s="177" t="n">
        <v>46426</v>
      </c>
      <c r="C1505" s="177" t="n">
        <v>1405</v>
      </c>
      <c r="D1505" s="177" t="n">
        <v>11</v>
      </c>
      <c r="E1505" s="178" t="inlineStr">
        <is>
          <t>1405/11/19</t>
        </is>
      </c>
      <c r="F1505" s="134" t="inlineStr">
        <is>
          <t>1405/11</t>
        </is>
      </c>
      <c r="G1505" s="61" t="inlineStr">
        <is>
          <t>بهمن</t>
        </is>
      </c>
      <c r="H1505" s="134" t="inlineStr">
        <is>
          <t>زمستان</t>
        </is>
      </c>
      <c r="I1505" s="134" t="inlineStr">
        <is>
          <t>دوشنبه</t>
        </is>
      </c>
      <c r="J1505" s="134" t="inlineStr">
        <is>
          <t>بله</t>
        </is>
      </c>
    </row>
    <row r="1506">
      <c r="A1506" s="173" t="n">
        <v>46427</v>
      </c>
      <c r="B1506" s="174" t="n">
        <v>46427</v>
      </c>
      <c r="C1506" s="174" t="n">
        <v>1405</v>
      </c>
      <c r="D1506" s="174" t="n">
        <v>11</v>
      </c>
      <c r="E1506" s="175" t="inlineStr">
        <is>
          <t>1405/11/20</t>
        </is>
      </c>
      <c r="F1506" s="128" t="inlineStr">
        <is>
          <t>1405/11</t>
        </is>
      </c>
      <c r="G1506" s="58" t="inlineStr">
        <is>
          <t>بهمن</t>
        </is>
      </c>
      <c r="H1506" s="128" t="inlineStr">
        <is>
          <t>زمستان</t>
        </is>
      </c>
      <c r="I1506" s="128" t="inlineStr">
        <is>
          <t>سه‌شنبه</t>
        </is>
      </c>
      <c r="J1506" s="128" t="inlineStr">
        <is>
          <t>بله</t>
        </is>
      </c>
    </row>
    <row r="1507">
      <c r="A1507" s="176" t="n">
        <v>46428</v>
      </c>
      <c r="B1507" s="177" t="n">
        <v>46428</v>
      </c>
      <c r="C1507" s="177" t="n">
        <v>1405</v>
      </c>
      <c r="D1507" s="177" t="n">
        <v>11</v>
      </c>
      <c r="E1507" s="178" t="inlineStr">
        <is>
          <t>1405/11/21</t>
        </is>
      </c>
      <c r="F1507" s="134" t="inlineStr">
        <is>
          <t>1405/11</t>
        </is>
      </c>
      <c r="G1507" s="61" t="inlineStr">
        <is>
          <t>بهمن</t>
        </is>
      </c>
      <c r="H1507" s="134" t="inlineStr">
        <is>
          <t>زمستان</t>
        </is>
      </c>
      <c r="I1507" s="134" t="inlineStr">
        <is>
          <t>چهارشنبه</t>
        </is>
      </c>
      <c r="J1507" s="134" t="inlineStr">
        <is>
          <t>بله</t>
        </is>
      </c>
    </row>
    <row r="1508">
      <c r="A1508" s="173" t="n">
        <v>46429</v>
      </c>
      <c r="B1508" s="174" t="n">
        <v>46429</v>
      </c>
      <c r="C1508" s="174" t="n">
        <v>1405</v>
      </c>
      <c r="D1508" s="174" t="n">
        <v>11</v>
      </c>
      <c r="E1508" s="175" t="inlineStr">
        <is>
          <t>1405/11/22</t>
        </is>
      </c>
      <c r="F1508" s="128" t="inlineStr">
        <is>
          <t>1405/11</t>
        </is>
      </c>
      <c r="G1508" s="58" t="inlineStr">
        <is>
          <t>بهمن</t>
        </is>
      </c>
      <c r="H1508" s="128" t="inlineStr">
        <is>
          <t>زمستان</t>
        </is>
      </c>
      <c r="I1508" s="128" t="inlineStr">
        <is>
          <t>پنجشنبه</t>
        </is>
      </c>
      <c r="J1508" s="128" t="inlineStr">
        <is>
          <t>بله</t>
        </is>
      </c>
    </row>
    <row r="1509">
      <c r="A1509" s="176" t="n">
        <v>46430</v>
      </c>
      <c r="B1509" s="177" t="n">
        <v>46430</v>
      </c>
      <c r="C1509" s="177" t="n">
        <v>1405</v>
      </c>
      <c r="D1509" s="177" t="n">
        <v>11</v>
      </c>
      <c r="E1509" s="178" t="inlineStr">
        <is>
          <t>1405/11/23</t>
        </is>
      </c>
      <c r="F1509" s="134" t="inlineStr">
        <is>
          <t>1405/11</t>
        </is>
      </c>
      <c r="G1509" s="61" t="inlineStr">
        <is>
          <t>بهمن</t>
        </is>
      </c>
      <c r="H1509" s="134" t="inlineStr">
        <is>
          <t>زمستان</t>
        </is>
      </c>
      <c r="I1509" s="134" t="inlineStr">
        <is>
          <t>جمعه</t>
        </is>
      </c>
      <c r="J1509" s="134" t="inlineStr">
        <is>
          <t>بله</t>
        </is>
      </c>
    </row>
    <row r="1510">
      <c r="A1510" s="173" t="n">
        <v>46431</v>
      </c>
      <c r="B1510" s="174" t="n">
        <v>46431</v>
      </c>
      <c r="C1510" s="174" t="n">
        <v>1405</v>
      </c>
      <c r="D1510" s="174" t="n">
        <v>11</v>
      </c>
      <c r="E1510" s="175" t="inlineStr">
        <is>
          <t>1405/11/24</t>
        </is>
      </c>
      <c r="F1510" s="128" t="inlineStr">
        <is>
          <t>1405/11</t>
        </is>
      </c>
      <c r="G1510" s="58" t="inlineStr">
        <is>
          <t>بهمن</t>
        </is>
      </c>
      <c r="H1510" s="128" t="inlineStr">
        <is>
          <t>زمستان</t>
        </is>
      </c>
      <c r="I1510" s="128" t="inlineStr">
        <is>
          <t>شنبه</t>
        </is>
      </c>
      <c r="J1510" s="128" t="inlineStr">
        <is>
          <t>خیر</t>
        </is>
      </c>
    </row>
    <row r="1511">
      <c r="A1511" s="176" t="n">
        <v>46432</v>
      </c>
      <c r="B1511" s="177" t="n">
        <v>46432</v>
      </c>
      <c r="C1511" s="177" t="n">
        <v>1405</v>
      </c>
      <c r="D1511" s="177" t="n">
        <v>11</v>
      </c>
      <c r="E1511" s="178" t="inlineStr">
        <is>
          <t>1405/11/25</t>
        </is>
      </c>
      <c r="F1511" s="134" t="inlineStr">
        <is>
          <t>1405/11</t>
        </is>
      </c>
      <c r="G1511" s="61" t="inlineStr">
        <is>
          <t>بهمن</t>
        </is>
      </c>
      <c r="H1511" s="134" t="inlineStr">
        <is>
          <t>زمستان</t>
        </is>
      </c>
      <c r="I1511" s="134" t="inlineStr">
        <is>
          <t>یکشنبه</t>
        </is>
      </c>
      <c r="J1511" s="134" t="inlineStr">
        <is>
          <t>خیر</t>
        </is>
      </c>
    </row>
    <row r="1512">
      <c r="A1512" s="173" t="n">
        <v>46433</v>
      </c>
      <c r="B1512" s="174" t="n">
        <v>46433</v>
      </c>
      <c r="C1512" s="174" t="n">
        <v>1405</v>
      </c>
      <c r="D1512" s="174" t="n">
        <v>11</v>
      </c>
      <c r="E1512" s="175" t="inlineStr">
        <is>
          <t>1405/11/26</t>
        </is>
      </c>
      <c r="F1512" s="128" t="inlineStr">
        <is>
          <t>1405/11</t>
        </is>
      </c>
      <c r="G1512" s="58" t="inlineStr">
        <is>
          <t>بهمن</t>
        </is>
      </c>
      <c r="H1512" s="128" t="inlineStr">
        <is>
          <t>زمستان</t>
        </is>
      </c>
      <c r="I1512" s="128" t="inlineStr">
        <is>
          <t>دوشنبه</t>
        </is>
      </c>
      <c r="J1512" s="128" t="inlineStr">
        <is>
          <t>بله</t>
        </is>
      </c>
    </row>
    <row r="1513">
      <c r="A1513" s="176" t="n">
        <v>46434</v>
      </c>
      <c r="B1513" s="177" t="n">
        <v>46434</v>
      </c>
      <c r="C1513" s="177" t="n">
        <v>1405</v>
      </c>
      <c r="D1513" s="177" t="n">
        <v>11</v>
      </c>
      <c r="E1513" s="178" t="inlineStr">
        <is>
          <t>1405/11/27</t>
        </is>
      </c>
      <c r="F1513" s="134" t="inlineStr">
        <is>
          <t>1405/11</t>
        </is>
      </c>
      <c r="G1513" s="61" t="inlineStr">
        <is>
          <t>بهمن</t>
        </is>
      </c>
      <c r="H1513" s="134" t="inlineStr">
        <is>
          <t>زمستان</t>
        </is>
      </c>
      <c r="I1513" s="134" t="inlineStr">
        <is>
          <t>سه‌شنبه</t>
        </is>
      </c>
      <c r="J1513" s="134" t="inlineStr">
        <is>
          <t>بله</t>
        </is>
      </c>
    </row>
    <row r="1514">
      <c r="A1514" s="173" t="n">
        <v>46435</v>
      </c>
      <c r="B1514" s="174" t="n">
        <v>46435</v>
      </c>
      <c r="C1514" s="174" t="n">
        <v>1405</v>
      </c>
      <c r="D1514" s="174" t="n">
        <v>11</v>
      </c>
      <c r="E1514" s="175" t="inlineStr">
        <is>
          <t>1405/11/28</t>
        </is>
      </c>
      <c r="F1514" s="128" t="inlineStr">
        <is>
          <t>1405/11</t>
        </is>
      </c>
      <c r="G1514" s="58" t="inlineStr">
        <is>
          <t>بهمن</t>
        </is>
      </c>
      <c r="H1514" s="128" t="inlineStr">
        <is>
          <t>زمستان</t>
        </is>
      </c>
      <c r="I1514" s="128" t="inlineStr">
        <is>
          <t>چهارشنبه</t>
        </is>
      </c>
      <c r="J1514" s="128" t="inlineStr">
        <is>
          <t>بله</t>
        </is>
      </c>
    </row>
    <row r="1515">
      <c r="A1515" s="176" t="n">
        <v>46436</v>
      </c>
      <c r="B1515" s="177" t="n">
        <v>46436</v>
      </c>
      <c r="C1515" s="177" t="n">
        <v>1405</v>
      </c>
      <c r="D1515" s="177" t="n">
        <v>11</v>
      </c>
      <c r="E1515" s="178" t="inlineStr">
        <is>
          <t>1405/11/29</t>
        </is>
      </c>
      <c r="F1515" s="134" t="inlineStr">
        <is>
          <t>1405/11</t>
        </is>
      </c>
      <c r="G1515" s="61" t="inlineStr">
        <is>
          <t>بهمن</t>
        </is>
      </c>
      <c r="H1515" s="134" t="inlineStr">
        <is>
          <t>زمستان</t>
        </is>
      </c>
      <c r="I1515" s="134" t="inlineStr">
        <is>
          <t>پنجشنبه</t>
        </is>
      </c>
      <c r="J1515" s="134" t="inlineStr">
        <is>
          <t>بله</t>
        </is>
      </c>
    </row>
    <row r="1516">
      <c r="A1516" s="173" t="n">
        <v>46437</v>
      </c>
      <c r="B1516" s="174" t="n">
        <v>46437</v>
      </c>
      <c r="C1516" s="174" t="n">
        <v>1405</v>
      </c>
      <c r="D1516" s="174" t="n">
        <v>11</v>
      </c>
      <c r="E1516" s="175" t="inlineStr">
        <is>
          <t>1405/11/30</t>
        </is>
      </c>
      <c r="F1516" s="128" t="inlineStr">
        <is>
          <t>1405/11</t>
        </is>
      </c>
      <c r="G1516" s="58" t="inlineStr">
        <is>
          <t>بهمن</t>
        </is>
      </c>
      <c r="H1516" s="128" t="inlineStr">
        <is>
          <t>زمستان</t>
        </is>
      </c>
      <c r="I1516" s="128" t="inlineStr">
        <is>
          <t>جمعه</t>
        </is>
      </c>
      <c r="J1516" s="128" t="inlineStr">
        <is>
          <t>بله</t>
        </is>
      </c>
    </row>
    <row r="1517">
      <c r="A1517" s="176" t="n">
        <v>46438</v>
      </c>
      <c r="B1517" s="177" t="n">
        <v>46438</v>
      </c>
      <c r="C1517" s="177" t="n">
        <v>1405</v>
      </c>
      <c r="D1517" s="177" t="n">
        <v>12</v>
      </c>
      <c r="E1517" s="178" t="inlineStr">
        <is>
          <t>1405/12/01</t>
        </is>
      </c>
      <c r="F1517" s="134" t="inlineStr">
        <is>
          <t>1405/12</t>
        </is>
      </c>
      <c r="G1517" s="61" t="inlineStr">
        <is>
          <t>اسفند</t>
        </is>
      </c>
      <c r="H1517" s="134" t="inlineStr">
        <is>
          <t>زمستان</t>
        </is>
      </c>
      <c r="I1517" s="134" t="inlineStr">
        <is>
          <t>شنبه</t>
        </is>
      </c>
      <c r="J1517" s="134" t="inlineStr">
        <is>
          <t>خیر</t>
        </is>
      </c>
    </row>
    <row r="1518">
      <c r="A1518" s="173" t="n">
        <v>46439</v>
      </c>
      <c r="B1518" s="174" t="n">
        <v>46439</v>
      </c>
      <c r="C1518" s="174" t="n">
        <v>1405</v>
      </c>
      <c r="D1518" s="174" t="n">
        <v>12</v>
      </c>
      <c r="E1518" s="175" t="inlineStr">
        <is>
          <t>1405/12/02</t>
        </is>
      </c>
      <c r="F1518" s="128" t="inlineStr">
        <is>
          <t>1405/12</t>
        </is>
      </c>
      <c r="G1518" s="58" t="inlineStr">
        <is>
          <t>اسفند</t>
        </is>
      </c>
      <c r="H1518" s="128" t="inlineStr">
        <is>
          <t>زمستان</t>
        </is>
      </c>
      <c r="I1518" s="128" t="inlineStr">
        <is>
          <t>یکشنبه</t>
        </is>
      </c>
      <c r="J1518" s="128" t="inlineStr">
        <is>
          <t>خیر</t>
        </is>
      </c>
    </row>
    <row r="1519">
      <c r="A1519" s="176" t="n">
        <v>46440</v>
      </c>
      <c r="B1519" s="177" t="n">
        <v>46440</v>
      </c>
      <c r="C1519" s="177" t="n">
        <v>1405</v>
      </c>
      <c r="D1519" s="177" t="n">
        <v>12</v>
      </c>
      <c r="E1519" s="178" t="inlineStr">
        <is>
          <t>1405/12/03</t>
        </is>
      </c>
      <c r="F1519" s="134" t="inlineStr">
        <is>
          <t>1405/12</t>
        </is>
      </c>
      <c r="G1519" s="61" t="inlineStr">
        <is>
          <t>اسفند</t>
        </is>
      </c>
      <c r="H1519" s="134" t="inlineStr">
        <is>
          <t>زمستان</t>
        </is>
      </c>
      <c r="I1519" s="134" t="inlineStr">
        <is>
          <t>دوشنبه</t>
        </is>
      </c>
      <c r="J1519" s="134" t="inlineStr">
        <is>
          <t>بله</t>
        </is>
      </c>
    </row>
    <row r="1520">
      <c r="A1520" s="173" t="n">
        <v>46441</v>
      </c>
      <c r="B1520" s="174" t="n">
        <v>46441</v>
      </c>
      <c r="C1520" s="174" t="n">
        <v>1405</v>
      </c>
      <c r="D1520" s="174" t="n">
        <v>12</v>
      </c>
      <c r="E1520" s="175" t="inlineStr">
        <is>
          <t>1405/12/04</t>
        </is>
      </c>
      <c r="F1520" s="128" t="inlineStr">
        <is>
          <t>1405/12</t>
        </is>
      </c>
      <c r="G1520" s="58" t="inlineStr">
        <is>
          <t>اسفند</t>
        </is>
      </c>
      <c r="H1520" s="128" t="inlineStr">
        <is>
          <t>زمستان</t>
        </is>
      </c>
      <c r="I1520" s="128" t="inlineStr">
        <is>
          <t>سه‌شنبه</t>
        </is>
      </c>
      <c r="J1520" s="128" t="inlineStr">
        <is>
          <t>بله</t>
        </is>
      </c>
    </row>
    <row r="1521">
      <c r="A1521" s="176" t="n">
        <v>46442</v>
      </c>
      <c r="B1521" s="177" t="n">
        <v>46442</v>
      </c>
      <c r="C1521" s="177" t="n">
        <v>1405</v>
      </c>
      <c r="D1521" s="177" t="n">
        <v>12</v>
      </c>
      <c r="E1521" s="178" t="inlineStr">
        <is>
          <t>1405/12/05</t>
        </is>
      </c>
      <c r="F1521" s="134" t="inlineStr">
        <is>
          <t>1405/12</t>
        </is>
      </c>
      <c r="G1521" s="61" t="inlineStr">
        <is>
          <t>اسفند</t>
        </is>
      </c>
      <c r="H1521" s="134" t="inlineStr">
        <is>
          <t>زمستان</t>
        </is>
      </c>
      <c r="I1521" s="134" t="inlineStr">
        <is>
          <t>چهارشنبه</t>
        </is>
      </c>
      <c r="J1521" s="134" t="inlineStr">
        <is>
          <t>بله</t>
        </is>
      </c>
    </row>
    <row r="1522">
      <c r="A1522" s="173" t="n">
        <v>46443</v>
      </c>
      <c r="B1522" s="174" t="n">
        <v>46443</v>
      </c>
      <c r="C1522" s="174" t="n">
        <v>1405</v>
      </c>
      <c r="D1522" s="174" t="n">
        <v>12</v>
      </c>
      <c r="E1522" s="175" t="inlineStr">
        <is>
          <t>1405/12/06</t>
        </is>
      </c>
      <c r="F1522" s="128" t="inlineStr">
        <is>
          <t>1405/12</t>
        </is>
      </c>
      <c r="G1522" s="58" t="inlineStr">
        <is>
          <t>اسفند</t>
        </is>
      </c>
      <c r="H1522" s="128" t="inlineStr">
        <is>
          <t>زمستان</t>
        </is>
      </c>
      <c r="I1522" s="128" t="inlineStr">
        <is>
          <t>پنجشنبه</t>
        </is>
      </c>
      <c r="J1522" s="128" t="inlineStr">
        <is>
          <t>بله</t>
        </is>
      </c>
    </row>
    <row r="1523">
      <c r="A1523" s="176" t="n">
        <v>46444</v>
      </c>
      <c r="B1523" s="177" t="n">
        <v>46444</v>
      </c>
      <c r="C1523" s="177" t="n">
        <v>1405</v>
      </c>
      <c r="D1523" s="177" t="n">
        <v>12</v>
      </c>
      <c r="E1523" s="178" t="inlineStr">
        <is>
          <t>1405/12/07</t>
        </is>
      </c>
      <c r="F1523" s="134" t="inlineStr">
        <is>
          <t>1405/12</t>
        </is>
      </c>
      <c r="G1523" s="61" t="inlineStr">
        <is>
          <t>اسفند</t>
        </is>
      </c>
      <c r="H1523" s="134" t="inlineStr">
        <is>
          <t>زمستان</t>
        </is>
      </c>
      <c r="I1523" s="134" t="inlineStr">
        <is>
          <t>جمعه</t>
        </is>
      </c>
      <c r="J1523" s="134" t="inlineStr">
        <is>
          <t>بله</t>
        </is>
      </c>
    </row>
    <row r="1524">
      <c r="A1524" s="173" t="n">
        <v>46445</v>
      </c>
      <c r="B1524" s="174" t="n">
        <v>46445</v>
      </c>
      <c r="C1524" s="174" t="n">
        <v>1405</v>
      </c>
      <c r="D1524" s="174" t="n">
        <v>12</v>
      </c>
      <c r="E1524" s="175" t="inlineStr">
        <is>
          <t>1405/12/08</t>
        </is>
      </c>
      <c r="F1524" s="128" t="inlineStr">
        <is>
          <t>1405/12</t>
        </is>
      </c>
      <c r="G1524" s="58" t="inlineStr">
        <is>
          <t>اسفند</t>
        </is>
      </c>
      <c r="H1524" s="128" t="inlineStr">
        <is>
          <t>زمستان</t>
        </is>
      </c>
      <c r="I1524" s="128" t="inlineStr">
        <is>
          <t>شنبه</t>
        </is>
      </c>
      <c r="J1524" s="128" t="inlineStr">
        <is>
          <t>خیر</t>
        </is>
      </c>
    </row>
    <row r="1525">
      <c r="A1525" s="176" t="n">
        <v>46446</v>
      </c>
      <c r="B1525" s="177" t="n">
        <v>46446</v>
      </c>
      <c r="C1525" s="177" t="n">
        <v>1405</v>
      </c>
      <c r="D1525" s="177" t="n">
        <v>12</v>
      </c>
      <c r="E1525" s="178" t="inlineStr">
        <is>
          <t>1405/12/09</t>
        </is>
      </c>
      <c r="F1525" s="134" t="inlineStr">
        <is>
          <t>1405/12</t>
        </is>
      </c>
      <c r="G1525" s="61" t="inlineStr">
        <is>
          <t>اسفند</t>
        </is>
      </c>
      <c r="H1525" s="134" t="inlineStr">
        <is>
          <t>زمستان</t>
        </is>
      </c>
      <c r="I1525" s="134" t="inlineStr">
        <is>
          <t>یکشنبه</t>
        </is>
      </c>
      <c r="J1525" s="134" t="inlineStr">
        <is>
          <t>خیر</t>
        </is>
      </c>
    </row>
    <row r="1526">
      <c r="A1526" s="173" t="n">
        <v>46447</v>
      </c>
      <c r="B1526" s="174" t="n">
        <v>46447</v>
      </c>
      <c r="C1526" s="174" t="n">
        <v>1405</v>
      </c>
      <c r="D1526" s="174" t="n">
        <v>12</v>
      </c>
      <c r="E1526" s="175" t="inlineStr">
        <is>
          <t>1405/12/10</t>
        </is>
      </c>
      <c r="F1526" s="128" t="inlineStr">
        <is>
          <t>1405/12</t>
        </is>
      </c>
      <c r="G1526" s="58" t="inlineStr">
        <is>
          <t>اسفند</t>
        </is>
      </c>
      <c r="H1526" s="128" t="inlineStr">
        <is>
          <t>زمستان</t>
        </is>
      </c>
      <c r="I1526" s="128" t="inlineStr">
        <is>
          <t>دوشنبه</t>
        </is>
      </c>
      <c r="J1526" s="128" t="inlineStr">
        <is>
          <t>بله</t>
        </is>
      </c>
    </row>
    <row r="1527">
      <c r="A1527" s="176" t="n">
        <v>46448</v>
      </c>
      <c r="B1527" s="177" t="n">
        <v>46448</v>
      </c>
      <c r="C1527" s="177" t="n">
        <v>1405</v>
      </c>
      <c r="D1527" s="177" t="n">
        <v>12</v>
      </c>
      <c r="E1527" s="178" t="inlineStr">
        <is>
          <t>1405/12/11</t>
        </is>
      </c>
      <c r="F1527" s="134" t="inlineStr">
        <is>
          <t>1405/12</t>
        </is>
      </c>
      <c r="G1527" s="61" t="inlineStr">
        <is>
          <t>اسفند</t>
        </is>
      </c>
      <c r="H1527" s="134" t="inlineStr">
        <is>
          <t>زمستان</t>
        </is>
      </c>
      <c r="I1527" s="134" t="inlineStr">
        <is>
          <t>سه‌شنبه</t>
        </is>
      </c>
      <c r="J1527" s="134" t="inlineStr">
        <is>
          <t>بله</t>
        </is>
      </c>
    </row>
    <row r="1528">
      <c r="A1528" s="173" t="n">
        <v>46449</v>
      </c>
      <c r="B1528" s="174" t="n">
        <v>46449</v>
      </c>
      <c r="C1528" s="174" t="n">
        <v>1405</v>
      </c>
      <c r="D1528" s="174" t="n">
        <v>12</v>
      </c>
      <c r="E1528" s="175" t="inlineStr">
        <is>
          <t>1405/12/12</t>
        </is>
      </c>
      <c r="F1528" s="128" t="inlineStr">
        <is>
          <t>1405/12</t>
        </is>
      </c>
      <c r="G1528" s="58" t="inlineStr">
        <is>
          <t>اسفند</t>
        </is>
      </c>
      <c r="H1528" s="128" t="inlineStr">
        <is>
          <t>زمستان</t>
        </is>
      </c>
      <c r="I1528" s="128" t="inlineStr">
        <is>
          <t>چهارشنبه</t>
        </is>
      </c>
      <c r="J1528" s="128" t="inlineStr">
        <is>
          <t>بله</t>
        </is>
      </c>
    </row>
    <row r="1529">
      <c r="A1529" s="176" t="n">
        <v>46450</v>
      </c>
      <c r="B1529" s="177" t="n">
        <v>46450</v>
      </c>
      <c r="C1529" s="177" t="n">
        <v>1405</v>
      </c>
      <c r="D1529" s="177" t="n">
        <v>12</v>
      </c>
      <c r="E1529" s="178" t="inlineStr">
        <is>
          <t>1405/12/13</t>
        </is>
      </c>
      <c r="F1529" s="134" t="inlineStr">
        <is>
          <t>1405/12</t>
        </is>
      </c>
      <c r="G1529" s="61" t="inlineStr">
        <is>
          <t>اسفند</t>
        </is>
      </c>
      <c r="H1529" s="134" t="inlineStr">
        <is>
          <t>زمستان</t>
        </is>
      </c>
      <c r="I1529" s="134" t="inlineStr">
        <is>
          <t>پنجشنبه</t>
        </is>
      </c>
      <c r="J1529" s="134" t="inlineStr">
        <is>
          <t>بله</t>
        </is>
      </c>
    </row>
    <row r="1530">
      <c r="A1530" s="173" t="n">
        <v>46451</v>
      </c>
      <c r="B1530" s="174" t="n">
        <v>46451</v>
      </c>
      <c r="C1530" s="174" t="n">
        <v>1405</v>
      </c>
      <c r="D1530" s="174" t="n">
        <v>12</v>
      </c>
      <c r="E1530" s="175" t="inlineStr">
        <is>
          <t>1405/12/14</t>
        </is>
      </c>
      <c r="F1530" s="128" t="inlineStr">
        <is>
          <t>1405/12</t>
        </is>
      </c>
      <c r="G1530" s="58" t="inlineStr">
        <is>
          <t>اسفند</t>
        </is>
      </c>
      <c r="H1530" s="128" t="inlineStr">
        <is>
          <t>زمستان</t>
        </is>
      </c>
      <c r="I1530" s="128" t="inlineStr">
        <is>
          <t>جمعه</t>
        </is>
      </c>
      <c r="J1530" s="128" t="inlineStr">
        <is>
          <t>بله</t>
        </is>
      </c>
    </row>
    <row r="1531">
      <c r="A1531" s="176" t="n">
        <v>46452</v>
      </c>
      <c r="B1531" s="177" t="n">
        <v>46452</v>
      </c>
      <c r="C1531" s="177" t="n">
        <v>1405</v>
      </c>
      <c r="D1531" s="177" t="n">
        <v>12</v>
      </c>
      <c r="E1531" s="178" t="inlineStr">
        <is>
          <t>1405/12/15</t>
        </is>
      </c>
      <c r="F1531" s="134" t="inlineStr">
        <is>
          <t>1405/12</t>
        </is>
      </c>
      <c r="G1531" s="61" t="inlineStr">
        <is>
          <t>اسفند</t>
        </is>
      </c>
      <c r="H1531" s="134" t="inlineStr">
        <is>
          <t>زمستان</t>
        </is>
      </c>
      <c r="I1531" s="134" t="inlineStr">
        <is>
          <t>شنبه</t>
        </is>
      </c>
      <c r="J1531" s="134" t="inlineStr">
        <is>
          <t>خیر</t>
        </is>
      </c>
    </row>
    <row r="1532">
      <c r="A1532" s="173" t="n">
        <v>46453</v>
      </c>
      <c r="B1532" s="174" t="n">
        <v>46453</v>
      </c>
      <c r="C1532" s="174" t="n">
        <v>1405</v>
      </c>
      <c r="D1532" s="174" t="n">
        <v>12</v>
      </c>
      <c r="E1532" s="175" t="inlineStr">
        <is>
          <t>1405/12/16</t>
        </is>
      </c>
      <c r="F1532" s="128" t="inlineStr">
        <is>
          <t>1405/12</t>
        </is>
      </c>
      <c r="G1532" s="58" t="inlineStr">
        <is>
          <t>اسفند</t>
        </is>
      </c>
      <c r="H1532" s="128" t="inlineStr">
        <is>
          <t>زمستان</t>
        </is>
      </c>
      <c r="I1532" s="128" t="inlineStr">
        <is>
          <t>یکشنبه</t>
        </is>
      </c>
      <c r="J1532" s="128" t="inlineStr">
        <is>
          <t>خیر</t>
        </is>
      </c>
    </row>
    <row r="1533">
      <c r="A1533" s="176" t="n">
        <v>46454</v>
      </c>
      <c r="B1533" s="177" t="n">
        <v>46454</v>
      </c>
      <c r="C1533" s="177" t="n">
        <v>1405</v>
      </c>
      <c r="D1533" s="177" t="n">
        <v>12</v>
      </c>
      <c r="E1533" s="178" t="inlineStr">
        <is>
          <t>1405/12/17</t>
        </is>
      </c>
      <c r="F1533" s="134" t="inlineStr">
        <is>
          <t>1405/12</t>
        </is>
      </c>
      <c r="G1533" s="61" t="inlineStr">
        <is>
          <t>اسفند</t>
        </is>
      </c>
      <c r="H1533" s="134" t="inlineStr">
        <is>
          <t>زمستان</t>
        </is>
      </c>
      <c r="I1533" s="134" t="inlineStr">
        <is>
          <t>دوشنبه</t>
        </is>
      </c>
      <c r="J1533" s="134" t="inlineStr">
        <is>
          <t>بله</t>
        </is>
      </c>
    </row>
    <row r="1534">
      <c r="A1534" s="173" t="n">
        <v>46455</v>
      </c>
      <c r="B1534" s="174" t="n">
        <v>46455</v>
      </c>
      <c r="C1534" s="174" t="n">
        <v>1405</v>
      </c>
      <c r="D1534" s="174" t="n">
        <v>12</v>
      </c>
      <c r="E1534" s="175" t="inlineStr">
        <is>
          <t>1405/12/18</t>
        </is>
      </c>
      <c r="F1534" s="128" t="inlineStr">
        <is>
          <t>1405/12</t>
        </is>
      </c>
      <c r="G1534" s="58" t="inlineStr">
        <is>
          <t>اسفند</t>
        </is>
      </c>
      <c r="H1534" s="128" t="inlineStr">
        <is>
          <t>زمستان</t>
        </is>
      </c>
      <c r="I1534" s="128" t="inlineStr">
        <is>
          <t>سه‌شنبه</t>
        </is>
      </c>
      <c r="J1534" s="128" t="inlineStr">
        <is>
          <t>بله</t>
        </is>
      </c>
    </row>
    <row r="1535">
      <c r="A1535" s="176" t="n">
        <v>46456</v>
      </c>
      <c r="B1535" s="177" t="n">
        <v>46456</v>
      </c>
      <c r="C1535" s="177" t="n">
        <v>1405</v>
      </c>
      <c r="D1535" s="177" t="n">
        <v>12</v>
      </c>
      <c r="E1535" s="178" t="inlineStr">
        <is>
          <t>1405/12/19</t>
        </is>
      </c>
      <c r="F1535" s="134" t="inlineStr">
        <is>
          <t>1405/12</t>
        </is>
      </c>
      <c r="G1535" s="61" t="inlineStr">
        <is>
          <t>اسفند</t>
        </is>
      </c>
      <c r="H1535" s="134" t="inlineStr">
        <is>
          <t>زمستان</t>
        </is>
      </c>
      <c r="I1535" s="134" t="inlineStr">
        <is>
          <t>چهارشنبه</t>
        </is>
      </c>
      <c r="J1535" s="134" t="inlineStr">
        <is>
          <t>بله</t>
        </is>
      </c>
    </row>
    <row r="1536">
      <c r="A1536" s="173" t="n">
        <v>46457</v>
      </c>
      <c r="B1536" s="174" t="n">
        <v>46457</v>
      </c>
      <c r="C1536" s="174" t="n">
        <v>1405</v>
      </c>
      <c r="D1536" s="174" t="n">
        <v>12</v>
      </c>
      <c r="E1536" s="175" t="inlineStr">
        <is>
          <t>1405/12/20</t>
        </is>
      </c>
      <c r="F1536" s="128" t="inlineStr">
        <is>
          <t>1405/12</t>
        </is>
      </c>
      <c r="G1536" s="58" t="inlineStr">
        <is>
          <t>اسفند</t>
        </is>
      </c>
      <c r="H1536" s="128" t="inlineStr">
        <is>
          <t>زمستان</t>
        </is>
      </c>
      <c r="I1536" s="128" t="inlineStr">
        <is>
          <t>پنجشنبه</t>
        </is>
      </c>
      <c r="J1536" s="128" t="inlineStr">
        <is>
          <t>بله</t>
        </is>
      </c>
    </row>
    <row r="1537">
      <c r="A1537" s="176" t="n">
        <v>46458</v>
      </c>
      <c r="B1537" s="177" t="n">
        <v>46458</v>
      </c>
      <c r="C1537" s="177" t="n">
        <v>1405</v>
      </c>
      <c r="D1537" s="177" t="n">
        <v>12</v>
      </c>
      <c r="E1537" s="178" t="inlineStr">
        <is>
          <t>1405/12/21</t>
        </is>
      </c>
      <c r="F1537" s="134" t="inlineStr">
        <is>
          <t>1405/12</t>
        </is>
      </c>
      <c r="G1537" s="61" t="inlineStr">
        <is>
          <t>اسفند</t>
        </is>
      </c>
      <c r="H1537" s="134" t="inlineStr">
        <is>
          <t>زمستان</t>
        </is>
      </c>
      <c r="I1537" s="134" t="inlineStr">
        <is>
          <t>جمعه</t>
        </is>
      </c>
      <c r="J1537" s="134" t="inlineStr">
        <is>
          <t>بله</t>
        </is>
      </c>
    </row>
    <row r="1538">
      <c r="A1538" s="173" t="n">
        <v>46459</v>
      </c>
      <c r="B1538" s="174" t="n">
        <v>46459</v>
      </c>
      <c r="C1538" s="174" t="n">
        <v>1405</v>
      </c>
      <c r="D1538" s="174" t="n">
        <v>12</v>
      </c>
      <c r="E1538" s="175" t="inlineStr">
        <is>
          <t>1405/12/22</t>
        </is>
      </c>
      <c r="F1538" s="128" t="inlineStr">
        <is>
          <t>1405/12</t>
        </is>
      </c>
      <c r="G1538" s="58" t="inlineStr">
        <is>
          <t>اسفند</t>
        </is>
      </c>
      <c r="H1538" s="128" t="inlineStr">
        <is>
          <t>زمستان</t>
        </is>
      </c>
      <c r="I1538" s="128" t="inlineStr">
        <is>
          <t>شنبه</t>
        </is>
      </c>
      <c r="J1538" s="128" t="inlineStr">
        <is>
          <t>خیر</t>
        </is>
      </c>
    </row>
    <row r="1539">
      <c r="A1539" s="176" t="n">
        <v>46460</v>
      </c>
      <c r="B1539" s="177" t="n">
        <v>46460</v>
      </c>
      <c r="C1539" s="177" t="n">
        <v>1405</v>
      </c>
      <c r="D1539" s="177" t="n">
        <v>12</v>
      </c>
      <c r="E1539" s="178" t="inlineStr">
        <is>
          <t>1405/12/23</t>
        </is>
      </c>
      <c r="F1539" s="134" t="inlineStr">
        <is>
          <t>1405/12</t>
        </is>
      </c>
      <c r="G1539" s="61" t="inlineStr">
        <is>
          <t>اسفند</t>
        </is>
      </c>
      <c r="H1539" s="134" t="inlineStr">
        <is>
          <t>زمستان</t>
        </is>
      </c>
      <c r="I1539" s="134" t="inlineStr">
        <is>
          <t>یکشنبه</t>
        </is>
      </c>
      <c r="J1539" s="134" t="inlineStr">
        <is>
          <t>خیر</t>
        </is>
      </c>
    </row>
    <row r="1540">
      <c r="A1540" s="173" t="n">
        <v>46461</v>
      </c>
      <c r="B1540" s="174" t="n">
        <v>46461</v>
      </c>
      <c r="C1540" s="174" t="n">
        <v>1405</v>
      </c>
      <c r="D1540" s="174" t="n">
        <v>12</v>
      </c>
      <c r="E1540" s="175" t="inlineStr">
        <is>
          <t>1405/12/24</t>
        </is>
      </c>
      <c r="F1540" s="128" t="inlineStr">
        <is>
          <t>1405/12</t>
        </is>
      </c>
      <c r="G1540" s="58" t="inlineStr">
        <is>
          <t>اسفند</t>
        </is>
      </c>
      <c r="H1540" s="128" t="inlineStr">
        <is>
          <t>زمستان</t>
        </is>
      </c>
      <c r="I1540" s="128" t="inlineStr">
        <is>
          <t>دوشنبه</t>
        </is>
      </c>
      <c r="J1540" s="128" t="inlineStr">
        <is>
          <t>بله</t>
        </is>
      </c>
    </row>
    <row r="1541">
      <c r="A1541" s="176" t="n">
        <v>46462</v>
      </c>
      <c r="B1541" s="177" t="n">
        <v>46462</v>
      </c>
      <c r="C1541" s="177" t="n">
        <v>1405</v>
      </c>
      <c r="D1541" s="177" t="n">
        <v>12</v>
      </c>
      <c r="E1541" s="178" t="inlineStr">
        <is>
          <t>1405/12/25</t>
        </is>
      </c>
      <c r="F1541" s="134" t="inlineStr">
        <is>
          <t>1405/12</t>
        </is>
      </c>
      <c r="G1541" s="61" t="inlineStr">
        <is>
          <t>اسفند</t>
        </is>
      </c>
      <c r="H1541" s="134" t="inlineStr">
        <is>
          <t>زمستان</t>
        </is>
      </c>
      <c r="I1541" s="134" t="inlineStr">
        <is>
          <t>سه‌شنبه</t>
        </is>
      </c>
      <c r="J1541" s="134" t="inlineStr">
        <is>
          <t>بله</t>
        </is>
      </c>
    </row>
    <row r="1542">
      <c r="A1542" s="173" t="n">
        <v>46463</v>
      </c>
      <c r="B1542" s="174" t="n">
        <v>46463</v>
      </c>
      <c r="C1542" s="174" t="n">
        <v>1405</v>
      </c>
      <c r="D1542" s="174" t="n">
        <v>12</v>
      </c>
      <c r="E1542" s="175" t="inlineStr">
        <is>
          <t>1405/12/26</t>
        </is>
      </c>
      <c r="F1542" s="128" t="inlineStr">
        <is>
          <t>1405/12</t>
        </is>
      </c>
      <c r="G1542" s="58" t="inlineStr">
        <is>
          <t>اسفند</t>
        </is>
      </c>
      <c r="H1542" s="128" t="inlineStr">
        <is>
          <t>زمستان</t>
        </is>
      </c>
      <c r="I1542" s="128" t="inlineStr">
        <is>
          <t>چهارشنبه</t>
        </is>
      </c>
      <c r="J1542" s="128" t="inlineStr">
        <is>
          <t>بله</t>
        </is>
      </c>
    </row>
    <row r="1543">
      <c r="A1543" s="176" t="n">
        <v>46464</v>
      </c>
      <c r="B1543" s="177" t="n">
        <v>46464</v>
      </c>
      <c r="C1543" s="177" t="n">
        <v>1405</v>
      </c>
      <c r="D1543" s="177" t="n">
        <v>12</v>
      </c>
      <c r="E1543" s="178" t="inlineStr">
        <is>
          <t>1405/12/27</t>
        </is>
      </c>
      <c r="F1543" s="134" t="inlineStr">
        <is>
          <t>1405/12</t>
        </is>
      </c>
      <c r="G1543" s="61" t="inlineStr">
        <is>
          <t>اسفند</t>
        </is>
      </c>
      <c r="H1543" s="134" t="inlineStr">
        <is>
          <t>زمستان</t>
        </is>
      </c>
      <c r="I1543" s="134" t="inlineStr">
        <is>
          <t>پنجشنبه</t>
        </is>
      </c>
      <c r="J1543" s="134" t="inlineStr">
        <is>
          <t>بله</t>
        </is>
      </c>
    </row>
    <row r="1544">
      <c r="A1544" s="173" t="n">
        <v>46465</v>
      </c>
      <c r="B1544" s="174" t="n">
        <v>46465</v>
      </c>
      <c r="C1544" s="174" t="n">
        <v>1405</v>
      </c>
      <c r="D1544" s="174" t="n">
        <v>12</v>
      </c>
      <c r="E1544" s="175" t="inlineStr">
        <is>
          <t>1405/12/28</t>
        </is>
      </c>
      <c r="F1544" s="128" t="inlineStr">
        <is>
          <t>1405/12</t>
        </is>
      </c>
      <c r="G1544" s="58" t="inlineStr">
        <is>
          <t>اسفند</t>
        </is>
      </c>
      <c r="H1544" s="128" t="inlineStr">
        <is>
          <t>زمستان</t>
        </is>
      </c>
      <c r="I1544" s="128" t="inlineStr">
        <is>
          <t>جمعه</t>
        </is>
      </c>
      <c r="J1544" s="128" t="inlineStr">
        <is>
          <t>بله</t>
        </is>
      </c>
    </row>
    <row r="1545">
      <c r="A1545" s="176" t="n">
        <v>46466</v>
      </c>
      <c r="B1545" s="177" t="n">
        <v>46466</v>
      </c>
      <c r="C1545" s="177" t="n">
        <v>1405</v>
      </c>
      <c r="D1545" s="177" t="n">
        <v>12</v>
      </c>
      <c r="E1545" s="178" t="inlineStr">
        <is>
          <t>1405/12/29</t>
        </is>
      </c>
      <c r="F1545" s="134" t="inlineStr">
        <is>
          <t>1405/12</t>
        </is>
      </c>
      <c r="G1545" s="61" t="inlineStr">
        <is>
          <t>اسفند</t>
        </is>
      </c>
      <c r="H1545" s="134" t="inlineStr">
        <is>
          <t>زمستان</t>
        </is>
      </c>
      <c r="I1545" s="134" t="inlineStr">
        <is>
          <t>شنبه</t>
        </is>
      </c>
      <c r="J1545" s="134" t="inlineStr">
        <is>
          <t>خیر</t>
        </is>
      </c>
    </row>
    <row r="1546">
      <c r="A1546" s="173" t="n">
        <v>46467</v>
      </c>
      <c r="B1546" s="174" t="n">
        <v>46467</v>
      </c>
      <c r="C1546" s="174" t="n">
        <v>1406</v>
      </c>
      <c r="D1546" s="174" t="n">
        <v>1</v>
      </c>
      <c r="E1546" s="175" t="inlineStr">
        <is>
          <t>1406/01/01</t>
        </is>
      </c>
      <c r="F1546" s="128" t="inlineStr">
        <is>
          <t>1406/01</t>
        </is>
      </c>
      <c r="G1546" s="58" t="inlineStr">
        <is>
          <t>فروردین</t>
        </is>
      </c>
      <c r="H1546" s="128" t="inlineStr">
        <is>
          <t>بهار</t>
        </is>
      </c>
      <c r="I1546" s="128" t="inlineStr">
        <is>
          <t>یکشنبه</t>
        </is>
      </c>
      <c r="J1546" s="128" t="inlineStr">
        <is>
          <t>خیر</t>
        </is>
      </c>
    </row>
    <row r="1547">
      <c r="A1547" s="176" t="n">
        <v>46468</v>
      </c>
      <c r="B1547" s="177" t="n">
        <v>46468</v>
      </c>
      <c r="C1547" s="177" t="n">
        <v>1406</v>
      </c>
      <c r="D1547" s="177" t="n">
        <v>1</v>
      </c>
      <c r="E1547" s="178" t="inlineStr">
        <is>
          <t>1406/01/02</t>
        </is>
      </c>
      <c r="F1547" s="134" t="inlineStr">
        <is>
          <t>1406/01</t>
        </is>
      </c>
      <c r="G1547" s="61" t="inlineStr">
        <is>
          <t>فروردین</t>
        </is>
      </c>
      <c r="H1547" s="134" t="inlineStr">
        <is>
          <t>بهار</t>
        </is>
      </c>
      <c r="I1547" s="134" t="inlineStr">
        <is>
          <t>دوشنبه</t>
        </is>
      </c>
      <c r="J1547" s="134" t="inlineStr">
        <is>
          <t>بله</t>
        </is>
      </c>
    </row>
    <row r="1548">
      <c r="A1548" s="173" t="n">
        <v>46469</v>
      </c>
      <c r="B1548" s="174" t="n">
        <v>46469</v>
      </c>
      <c r="C1548" s="174" t="n">
        <v>1406</v>
      </c>
      <c r="D1548" s="174" t="n">
        <v>1</v>
      </c>
      <c r="E1548" s="175" t="inlineStr">
        <is>
          <t>1406/01/03</t>
        </is>
      </c>
      <c r="F1548" s="128" t="inlineStr">
        <is>
          <t>1406/01</t>
        </is>
      </c>
      <c r="G1548" s="58" t="inlineStr">
        <is>
          <t>فروردین</t>
        </is>
      </c>
      <c r="H1548" s="128" t="inlineStr">
        <is>
          <t>بهار</t>
        </is>
      </c>
      <c r="I1548" s="128" t="inlineStr">
        <is>
          <t>سه‌شنبه</t>
        </is>
      </c>
      <c r="J1548" s="128" t="inlineStr">
        <is>
          <t>بله</t>
        </is>
      </c>
    </row>
    <row r="1549">
      <c r="A1549" s="176" t="n">
        <v>46470</v>
      </c>
      <c r="B1549" s="177" t="n">
        <v>46470</v>
      </c>
      <c r="C1549" s="177" t="n">
        <v>1406</v>
      </c>
      <c r="D1549" s="177" t="n">
        <v>1</v>
      </c>
      <c r="E1549" s="178" t="inlineStr">
        <is>
          <t>1406/01/04</t>
        </is>
      </c>
      <c r="F1549" s="134" t="inlineStr">
        <is>
          <t>1406/01</t>
        </is>
      </c>
      <c r="G1549" s="61" t="inlineStr">
        <is>
          <t>فروردین</t>
        </is>
      </c>
      <c r="H1549" s="134" t="inlineStr">
        <is>
          <t>بهار</t>
        </is>
      </c>
      <c r="I1549" s="134" t="inlineStr">
        <is>
          <t>چهارشنبه</t>
        </is>
      </c>
      <c r="J1549" s="134" t="inlineStr">
        <is>
          <t>بله</t>
        </is>
      </c>
    </row>
    <row r="1550">
      <c r="A1550" s="173" t="n">
        <v>46471</v>
      </c>
      <c r="B1550" s="174" t="n">
        <v>46471</v>
      </c>
      <c r="C1550" s="174" t="n">
        <v>1406</v>
      </c>
      <c r="D1550" s="174" t="n">
        <v>1</v>
      </c>
      <c r="E1550" s="175" t="inlineStr">
        <is>
          <t>1406/01/05</t>
        </is>
      </c>
      <c r="F1550" s="128" t="inlineStr">
        <is>
          <t>1406/01</t>
        </is>
      </c>
      <c r="G1550" s="58" t="inlineStr">
        <is>
          <t>فروردین</t>
        </is>
      </c>
      <c r="H1550" s="128" t="inlineStr">
        <is>
          <t>بهار</t>
        </is>
      </c>
      <c r="I1550" s="128" t="inlineStr">
        <is>
          <t>پنجشنبه</t>
        </is>
      </c>
      <c r="J1550" s="128" t="inlineStr">
        <is>
          <t>بله</t>
        </is>
      </c>
    </row>
    <row r="1551">
      <c r="A1551" s="176" t="n">
        <v>46472</v>
      </c>
      <c r="B1551" s="177" t="n">
        <v>46472</v>
      </c>
      <c r="C1551" s="177" t="n">
        <v>1406</v>
      </c>
      <c r="D1551" s="177" t="n">
        <v>1</v>
      </c>
      <c r="E1551" s="178" t="inlineStr">
        <is>
          <t>1406/01/06</t>
        </is>
      </c>
      <c r="F1551" s="134" t="inlineStr">
        <is>
          <t>1406/01</t>
        </is>
      </c>
      <c r="G1551" s="61" t="inlineStr">
        <is>
          <t>فروردین</t>
        </is>
      </c>
      <c r="H1551" s="134" t="inlineStr">
        <is>
          <t>بهار</t>
        </is>
      </c>
      <c r="I1551" s="134" t="inlineStr">
        <is>
          <t>جمعه</t>
        </is>
      </c>
      <c r="J1551" s="134" t="inlineStr">
        <is>
          <t>بله</t>
        </is>
      </c>
    </row>
    <row r="1552">
      <c r="A1552" s="173" t="n">
        <v>46473</v>
      </c>
      <c r="B1552" s="174" t="n">
        <v>46473</v>
      </c>
      <c r="C1552" s="174" t="n">
        <v>1406</v>
      </c>
      <c r="D1552" s="174" t="n">
        <v>1</v>
      </c>
      <c r="E1552" s="175" t="inlineStr">
        <is>
          <t>1406/01/07</t>
        </is>
      </c>
      <c r="F1552" s="128" t="inlineStr">
        <is>
          <t>1406/01</t>
        </is>
      </c>
      <c r="G1552" s="58" t="inlineStr">
        <is>
          <t>فروردین</t>
        </is>
      </c>
      <c r="H1552" s="128" t="inlineStr">
        <is>
          <t>بهار</t>
        </is>
      </c>
      <c r="I1552" s="128" t="inlineStr">
        <is>
          <t>شنبه</t>
        </is>
      </c>
      <c r="J1552" s="128" t="inlineStr">
        <is>
          <t>خیر</t>
        </is>
      </c>
    </row>
    <row r="1553">
      <c r="A1553" s="176" t="n">
        <v>46474</v>
      </c>
      <c r="B1553" s="177" t="n">
        <v>46474</v>
      </c>
      <c r="C1553" s="177" t="n">
        <v>1406</v>
      </c>
      <c r="D1553" s="177" t="n">
        <v>1</v>
      </c>
      <c r="E1553" s="178" t="inlineStr">
        <is>
          <t>1406/01/08</t>
        </is>
      </c>
      <c r="F1553" s="134" t="inlineStr">
        <is>
          <t>1406/01</t>
        </is>
      </c>
      <c r="G1553" s="61" t="inlineStr">
        <is>
          <t>فروردین</t>
        </is>
      </c>
      <c r="H1553" s="134" t="inlineStr">
        <is>
          <t>بهار</t>
        </is>
      </c>
      <c r="I1553" s="134" t="inlineStr">
        <is>
          <t>یکشنبه</t>
        </is>
      </c>
      <c r="J1553" s="134" t="inlineStr">
        <is>
          <t>خیر</t>
        </is>
      </c>
    </row>
    <row r="1554">
      <c r="A1554" s="173" t="n">
        <v>46475</v>
      </c>
      <c r="B1554" s="174" t="n">
        <v>46475</v>
      </c>
      <c r="C1554" s="174" t="n">
        <v>1406</v>
      </c>
      <c r="D1554" s="174" t="n">
        <v>1</v>
      </c>
      <c r="E1554" s="175" t="inlineStr">
        <is>
          <t>1406/01/09</t>
        </is>
      </c>
      <c r="F1554" s="128" t="inlineStr">
        <is>
          <t>1406/01</t>
        </is>
      </c>
      <c r="G1554" s="58" t="inlineStr">
        <is>
          <t>فروردین</t>
        </is>
      </c>
      <c r="H1554" s="128" t="inlineStr">
        <is>
          <t>بهار</t>
        </is>
      </c>
      <c r="I1554" s="128" t="inlineStr">
        <is>
          <t>دوشنبه</t>
        </is>
      </c>
      <c r="J1554" s="128" t="inlineStr">
        <is>
          <t>بله</t>
        </is>
      </c>
    </row>
    <row r="1555">
      <c r="A1555" s="176" t="n">
        <v>46476</v>
      </c>
      <c r="B1555" s="177" t="n">
        <v>46476</v>
      </c>
      <c r="C1555" s="177" t="n">
        <v>1406</v>
      </c>
      <c r="D1555" s="177" t="n">
        <v>1</v>
      </c>
      <c r="E1555" s="178" t="inlineStr">
        <is>
          <t>1406/01/10</t>
        </is>
      </c>
      <c r="F1555" s="134" t="inlineStr">
        <is>
          <t>1406/01</t>
        </is>
      </c>
      <c r="G1555" s="61" t="inlineStr">
        <is>
          <t>فروردین</t>
        </is>
      </c>
      <c r="H1555" s="134" t="inlineStr">
        <is>
          <t>بهار</t>
        </is>
      </c>
      <c r="I1555" s="134" t="inlineStr">
        <is>
          <t>سه‌شنبه</t>
        </is>
      </c>
      <c r="J1555" s="134" t="inlineStr">
        <is>
          <t>بله</t>
        </is>
      </c>
    </row>
    <row r="1556">
      <c r="A1556" s="173" t="n">
        <v>46477</v>
      </c>
      <c r="B1556" s="174" t="n">
        <v>46477</v>
      </c>
      <c r="C1556" s="174" t="n">
        <v>1406</v>
      </c>
      <c r="D1556" s="174" t="n">
        <v>1</v>
      </c>
      <c r="E1556" s="175" t="inlineStr">
        <is>
          <t>1406/01/11</t>
        </is>
      </c>
      <c r="F1556" s="128" t="inlineStr">
        <is>
          <t>1406/01</t>
        </is>
      </c>
      <c r="G1556" s="58" t="inlineStr">
        <is>
          <t>فروردین</t>
        </is>
      </c>
      <c r="H1556" s="128" t="inlineStr">
        <is>
          <t>بهار</t>
        </is>
      </c>
      <c r="I1556" s="128" t="inlineStr">
        <is>
          <t>چهارشنبه</t>
        </is>
      </c>
      <c r="J1556" s="128" t="inlineStr">
        <is>
          <t>بله</t>
        </is>
      </c>
    </row>
    <row r="1557">
      <c r="A1557" s="176" t="n">
        <v>46478</v>
      </c>
      <c r="B1557" s="177" t="n">
        <v>46478</v>
      </c>
      <c r="C1557" s="177" t="n">
        <v>1406</v>
      </c>
      <c r="D1557" s="177" t="n">
        <v>1</v>
      </c>
      <c r="E1557" s="178" t="inlineStr">
        <is>
          <t>1406/01/12</t>
        </is>
      </c>
      <c r="F1557" s="134" t="inlineStr">
        <is>
          <t>1406/01</t>
        </is>
      </c>
      <c r="G1557" s="61" t="inlineStr">
        <is>
          <t>فروردین</t>
        </is>
      </c>
      <c r="H1557" s="134" t="inlineStr">
        <is>
          <t>بهار</t>
        </is>
      </c>
      <c r="I1557" s="134" t="inlineStr">
        <is>
          <t>پنجشنبه</t>
        </is>
      </c>
      <c r="J1557" s="134" t="inlineStr">
        <is>
          <t>بله</t>
        </is>
      </c>
    </row>
    <row r="1558">
      <c r="A1558" s="173" t="n">
        <v>46479</v>
      </c>
      <c r="B1558" s="174" t="n">
        <v>46479</v>
      </c>
      <c r="C1558" s="174" t="n">
        <v>1406</v>
      </c>
      <c r="D1558" s="174" t="n">
        <v>1</v>
      </c>
      <c r="E1558" s="175" t="inlineStr">
        <is>
          <t>1406/01/13</t>
        </is>
      </c>
      <c r="F1558" s="128" t="inlineStr">
        <is>
          <t>1406/01</t>
        </is>
      </c>
      <c r="G1558" s="58" t="inlineStr">
        <is>
          <t>فروردین</t>
        </is>
      </c>
      <c r="H1558" s="128" t="inlineStr">
        <is>
          <t>بهار</t>
        </is>
      </c>
      <c r="I1558" s="128" t="inlineStr">
        <is>
          <t>جمعه</t>
        </is>
      </c>
      <c r="J1558" s="128" t="inlineStr">
        <is>
          <t>بله</t>
        </is>
      </c>
    </row>
    <row r="1559">
      <c r="A1559" s="176" t="n">
        <v>46480</v>
      </c>
      <c r="B1559" s="177" t="n">
        <v>46480</v>
      </c>
      <c r="C1559" s="177" t="n">
        <v>1406</v>
      </c>
      <c r="D1559" s="177" t="n">
        <v>1</v>
      </c>
      <c r="E1559" s="178" t="inlineStr">
        <is>
          <t>1406/01/14</t>
        </is>
      </c>
      <c r="F1559" s="134" t="inlineStr">
        <is>
          <t>1406/01</t>
        </is>
      </c>
      <c r="G1559" s="61" t="inlineStr">
        <is>
          <t>فروردین</t>
        </is>
      </c>
      <c r="H1559" s="134" t="inlineStr">
        <is>
          <t>بهار</t>
        </is>
      </c>
      <c r="I1559" s="134" t="inlineStr">
        <is>
          <t>شنبه</t>
        </is>
      </c>
      <c r="J1559" s="134" t="inlineStr">
        <is>
          <t>خیر</t>
        </is>
      </c>
    </row>
    <row r="1560">
      <c r="A1560" s="173" t="n">
        <v>46481</v>
      </c>
      <c r="B1560" s="174" t="n">
        <v>46481</v>
      </c>
      <c r="C1560" s="174" t="n">
        <v>1406</v>
      </c>
      <c r="D1560" s="174" t="n">
        <v>1</v>
      </c>
      <c r="E1560" s="175" t="inlineStr">
        <is>
          <t>1406/01/15</t>
        </is>
      </c>
      <c r="F1560" s="128" t="inlineStr">
        <is>
          <t>1406/01</t>
        </is>
      </c>
      <c r="G1560" s="58" t="inlineStr">
        <is>
          <t>فروردین</t>
        </is>
      </c>
      <c r="H1560" s="128" t="inlineStr">
        <is>
          <t>بهار</t>
        </is>
      </c>
      <c r="I1560" s="128" t="inlineStr">
        <is>
          <t>یکشنبه</t>
        </is>
      </c>
      <c r="J1560" s="128" t="inlineStr">
        <is>
          <t>خیر</t>
        </is>
      </c>
    </row>
    <row r="1561">
      <c r="A1561" s="176" t="n">
        <v>46482</v>
      </c>
      <c r="B1561" s="177" t="n">
        <v>46482</v>
      </c>
      <c r="C1561" s="177" t="n">
        <v>1406</v>
      </c>
      <c r="D1561" s="177" t="n">
        <v>1</v>
      </c>
      <c r="E1561" s="178" t="inlineStr">
        <is>
          <t>1406/01/16</t>
        </is>
      </c>
      <c r="F1561" s="134" t="inlineStr">
        <is>
          <t>1406/01</t>
        </is>
      </c>
      <c r="G1561" s="61" t="inlineStr">
        <is>
          <t>فروردین</t>
        </is>
      </c>
      <c r="H1561" s="134" t="inlineStr">
        <is>
          <t>بهار</t>
        </is>
      </c>
      <c r="I1561" s="134" t="inlineStr">
        <is>
          <t>دوشنبه</t>
        </is>
      </c>
      <c r="J1561" s="134" t="inlineStr">
        <is>
          <t>بله</t>
        </is>
      </c>
    </row>
    <row r="1562">
      <c r="A1562" s="173" t="n">
        <v>46483</v>
      </c>
      <c r="B1562" s="174" t="n">
        <v>46483</v>
      </c>
      <c r="C1562" s="174" t="n">
        <v>1406</v>
      </c>
      <c r="D1562" s="174" t="n">
        <v>1</v>
      </c>
      <c r="E1562" s="175" t="inlineStr">
        <is>
          <t>1406/01/17</t>
        </is>
      </c>
      <c r="F1562" s="128" t="inlineStr">
        <is>
          <t>1406/01</t>
        </is>
      </c>
      <c r="G1562" s="58" t="inlineStr">
        <is>
          <t>فروردین</t>
        </is>
      </c>
      <c r="H1562" s="128" t="inlineStr">
        <is>
          <t>بهار</t>
        </is>
      </c>
      <c r="I1562" s="128" t="inlineStr">
        <is>
          <t>سه‌شنبه</t>
        </is>
      </c>
      <c r="J1562" s="128" t="inlineStr">
        <is>
          <t>بله</t>
        </is>
      </c>
    </row>
    <row r="1563">
      <c r="A1563" s="176" t="n">
        <v>46484</v>
      </c>
      <c r="B1563" s="177" t="n">
        <v>46484</v>
      </c>
      <c r="C1563" s="177" t="n">
        <v>1406</v>
      </c>
      <c r="D1563" s="177" t="n">
        <v>1</v>
      </c>
      <c r="E1563" s="178" t="inlineStr">
        <is>
          <t>1406/01/18</t>
        </is>
      </c>
      <c r="F1563" s="134" t="inlineStr">
        <is>
          <t>1406/01</t>
        </is>
      </c>
      <c r="G1563" s="61" t="inlineStr">
        <is>
          <t>فروردین</t>
        </is>
      </c>
      <c r="H1563" s="134" t="inlineStr">
        <is>
          <t>بهار</t>
        </is>
      </c>
      <c r="I1563" s="134" t="inlineStr">
        <is>
          <t>چهارشنبه</t>
        </is>
      </c>
      <c r="J1563" s="134" t="inlineStr">
        <is>
          <t>بله</t>
        </is>
      </c>
    </row>
    <row r="1564">
      <c r="A1564" s="173" t="n">
        <v>46485</v>
      </c>
      <c r="B1564" s="174" t="n">
        <v>46485</v>
      </c>
      <c r="C1564" s="174" t="n">
        <v>1406</v>
      </c>
      <c r="D1564" s="174" t="n">
        <v>1</v>
      </c>
      <c r="E1564" s="175" t="inlineStr">
        <is>
          <t>1406/01/19</t>
        </is>
      </c>
      <c r="F1564" s="128" t="inlineStr">
        <is>
          <t>1406/01</t>
        </is>
      </c>
      <c r="G1564" s="58" t="inlineStr">
        <is>
          <t>فروردین</t>
        </is>
      </c>
      <c r="H1564" s="128" t="inlineStr">
        <is>
          <t>بهار</t>
        </is>
      </c>
      <c r="I1564" s="128" t="inlineStr">
        <is>
          <t>پنجشنبه</t>
        </is>
      </c>
      <c r="J1564" s="128" t="inlineStr">
        <is>
          <t>بله</t>
        </is>
      </c>
    </row>
    <row r="1565">
      <c r="A1565" s="176" t="n">
        <v>46486</v>
      </c>
      <c r="B1565" s="177" t="n">
        <v>46486</v>
      </c>
      <c r="C1565" s="177" t="n">
        <v>1406</v>
      </c>
      <c r="D1565" s="177" t="n">
        <v>1</v>
      </c>
      <c r="E1565" s="178" t="inlineStr">
        <is>
          <t>1406/01/20</t>
        </is>
      </c>
      <c r="F1565" s="134" t="inlineStr">
        <is>
          <t>1406/01</t>
        </is>
      </c>
      <c r="G1565" s="61" t="inlineStr">
        <is>
          <t>فروردین</t>
        </is>
      </c>
      <c r="H1565" s="134" t="inlineStr">
        <is>
          <t>بهار</t>
        </is>
      </c>
      <c r="I1565" s="134" t="inlineStr">
        <is>
          <t>جمعه</t>
        </is>
      </c>
      <c r="J1565" s="134" t="inlineStr">
        <is>
          <t>بله</t>
        </is>
      </c>
    </row>
    <row r="1566">
      <c r="A1566" s="173" t="n">
        <v>46487</v>
      </c>
      <c r="B1566" s="174" t="n">
        <v>46487</v>
      </c>
      <c r="C1566" s="174" t="n">
        <v>1406</v>
      </c>
      <c r="D1566" s="174" t="n">
        <v>1</v>
      </c>
      <c r="E1566" s="175" t="inlineStr">
        <is>
          <t>1406/01/21</t>
        </is>
      </c>
      <c r="F1566" s="128" t="inlineStr">
        <is>
          <t>1406/01</t>
        </is>
      </c>
      <c r="G1566" s="58" t="inlineStr">
        <is>
          <t>فروردین</t>
        </is>
      </c>
      <c r="H1566" s="128" t="inlineStr">
        <is>
          <t>بهار</t>
        </is>
      </c>
      <c r="I1566" s="128" t="inlineStr">
        <is>
          <t>شنبه</t>
        </is>
      </c>
      <c r="J1566" s="128" t="inlineStr">
        <is>
          <t>خیر</t>
        </is>
      </c>
    </row>
    <row r="1567">
      <c r="A1567" s="176" t="n">
        <v>46488</v>
      </c>
      <c r="B1567" s="177" t="n">
        <v>46488</v>
      </c>
      <c r="C1567" s="177" t="n">
        <v>1406</v>
      </c>
      <c r="D1567" s="177" t="n">
        <v>1</v>
      </c>
      <c r="E1567" s="178" t="inlineStr">
        <is>
          <t>1406/01/22</t>
        </is>
      </c>
      <c r="F1567" s="134" t="inlineStr">
        <is>
          <t>1406/01</t>
        </is>
      </c>
      <c r="G1567" s="61" t="inlineStr">
        <is>
          <t>فروردین</t>
        </is>
      </c>
      <c r="H1567" s="134" t="inlineStr">
        <is>
          <t>بهار</t>
        </is>
      </c>
      <c r="I1567" s="134" t="inlineStr">
        <is>
          <t>یکشنبه</t>
        </is>
      </c>
      <c r="J1567" s="134" t="inlineStr">
        <is>
          <t>خیر</t>
        </is>
      </c>
    </row>
    <row r="1568">
      <c r="A1568" s="173" t="n">
        <v>46489</v>
      </c>
      <c r="B1568" s="174" t="n">
        <v>46489</v>
      </c>
      <c r="C1568" s="174" t="n">
        <v>1406</v>
      </c>
      <c r="D1568" s="174" t="n">
        <v>1</v>
      </c>
      <c r="E1568" s="175" t="inlineStr">
        <is>
          <t>1406/01/23</t>
        </is>
      </c>
      <c r="F1568" s="128" t="inlineStr">
        <is>
          <t>1406/01</t>
        </is>
      </c>
      <c r="G1568" s="58" t="inlineStr">
        <is>
          <t>فروردین</t>
        </is>
      </c>
      <c r="H1568" s="128" t="inlineStr">
        <is>
          <t>بهار</t>
        </is>
      </c>
      <c r="I1568" s="128" t="inlineStr">
        <is>
          <t>دوشنبه</t>
        </is>
      </c>
      <c r="J1568" s="128" t="inlineStr">
        <is>
          <t>بله</t>
        </is>
      </c>
    </row>
    <row r="1569">
      <c r="A1569" s="176" t="n">
        <v>46490</v>
      </c>
      <c r="B1569" s="177" t="n">
        <v>46490</v>
      </c>
      <c r="C1569" s="177" t="n">
        <v>1406</v>
      </c>
      <c r="D1569" s="177" t="n">
        <v>1</v>
      </c>
      <c r="E1569" s="178" t="inlineStr">
        <is>
          <t>1406/01/24</t>
        </is>
      </c>
      <c r="F1569" s="134" t="inlineStr">
        <is>
          <t>1406/01</t>
        </is>
      </c>
      <c r="G1569" s="61" t="inlineStr">
        <is>
          <t>فروردین</t>
        </is>
      </c>
      <c r="H1569" s="134" t="inlineStr">
        <is>
          <t>بهار</t>
        </is>
      </c>
      <c r="I1569" s="134" t="inlineStr">
        <is>
          <t>سه‌شنبه</t>
        </is>
      </c>
      <c r="J1569" s="134" t="inlineStr">
        <is>
          <t>بله</t>
        </is>
      </c>
    </row>
    <row r="1570">
      <c r="A1570" s="173" t="n">
        <v>46491</v>
      </c>
      <c r="B1570" s="174" t="n">
        <v>46491</v>
      </c>
      <c r="C1570" s="174" t="n">
        <v>1406</v>
      </c>
      <c r="D1570" s="174" t="n">
        <v>1</v>
      </c>
      <c r="E1570" s="175" t="inlineStr">
        <is>
          <t>1406/01/25</t>
        </is>
      </c>
      <c r="F1570" s="128" t="inlineStr">
        <is>
          <t>1406/01</t>
        </is>
      </c>
      <c r="G1570" s="58" t="inlineStr">
        <is>
          <t>فروردین</t>
        </is>
      </c>
      <c r="H1570" s="128" t="inlineStr">
        <is>
          <t>بهار</t>
        </is>
      </c>
      <c r="I1570" s="128" t="inlineStr">
        <is>
          <t>چهارشنبه</t>
        </is>
      </c>
      <c r="J1570" s="128" t="inlineStr">
        <is>
          <t>بله</t>
        </is>
      </c>
    </row>
    <row r="1571">
      <c r="A1571" s="176" t="n">
        <v>46492</v>
      </c>
      <c r="B1571" s="177" t="n">
        <v>46492</v>
      </c>
      <c r="C1571" s="177" t="n">
        <v>1406</v>
      </c>
      <c r="D1571" s="177" t="n">
        <v>1</v>
      </c>
      <c r="E1571" s="178" t="inlineStr">
        <is>
          <t>1406/01/26</t>
        </is>
      </c>
      <c r="F1571" s="134" t="inlineStr">
        <is>
          <t>1406/01</t>
        </is>
      </c>
      <c r="G1571" s="61" t="inlineStr">
        <is>
          <t>فروردین</t>
        </is>
      </c>
      <c r="H1571" s="134" t="inlineStr">
        <is>
          <t>بهار</t>
        </is>
      </c>
      <c r="I1571" s="134" t="inlineStr">
        <is>
          <t>پنجشنبه</t>
        </is>
      </c>
      <c r="J1571" s="134" t="inlineStr">
        <is>
          <t>بله</t>
        </is>
      </c>
    </row>
    <row r="1572">
      <c r="A1572" s="173" t="n">
        <v>46493</v>
      </c>
      <c r="B1572" s="174" t="n">
        <v>46493</v>
      </c>
      <c r="C1572" s="174" t="n">
        <v>1406</v>
      </c>
      <c r="D1572" s="174" t="n">
        <v>1</v>
      </c>
      <c r="E1572" s="175" t="inlineStr">
        <is>
          <t>1406/01/27</t>
        </is>
      </c>
      <c r="F1572" s="128" t="inlineStr">
        <is>
          <t>1406/01</t>
        </is>
      </c>
      <c r="G1572" s="58" t="inlineStr">
        <is>
          <t>فروردین</t>
        </is>
      </c>
      <c r="H1572" s="128" t="inlineStr">
        <is>
          <t>بهار</t>
        </is>
      </c>
      <c r="I1572" s="128" t="inlineStr">
        <is>
          <t>جمعه</t>
        </is>
      </c>
      <c r="J1572" s="128" t="inlineStr">
        <is>
          <t>بله</t>
        </is>
      </c>
    </row>
    <row r="1573">
      <c r="A1573" s="176" t="n">
        <v>46494</v>
      </c>
      <c r="B1573" s="177" t="n">
        <v>46494</v>
      </c>
      <c r="C1573" s="177" t="n">
        <v>1406</v>
      </c>
      <c r="D1573" s="177" t="n">
        <v>1</v>
      </c>
      <c r="E1573" s="178" t="inlineStr">
        <is>
          <t>1406/01/28</t>
        </is>
      </c>
      <c r="F1573" s="134" t="inlineStr">
        <is>
          <t>1406/01</t>
        </is>
      </c>
      <c r="G1573" s="61" t="inlineStr">
        <is>
          <t>فروردین</t>
        </is>
      </c>
      <c r="H1573" s="134" t="inlineStr">
        <is>
          <t>بهار</t>
        </is>
      </c>
      <c r="I1573" s="134" t="inlineStr">
        <is>
          <t>شنبه</t>
        </is>
      </c>
      <c r="J1573" s="134" t="inlineStr">
        <is>
          <t>خیر</t>
        </is>
      </c>
    </row>
    <row r="1574">
      <c r="A1574" s="173" t="n">
        <v>46495</v>
      </c>
      <c r="B1574" s="174" t="n">
        <v>46495</v>
      </c>
      <c r="C1574" s="174" t="n">
        <v>1406</v>
      </c>
      <c r="D1574" s="174" t="n">
        <v>1</v>
      </c>
      <c r="E1574" s="175" t="inlineStr">
        <is>
          <t>1406/01/29</t>
        </is>
      </c>
      <c r="F1574" s="128" t="inlineStr">
        <is>
          <t>1406/01</t>
        </is>
      </c>
      <c r="G1574" s="58" t="inlineStr">
        <is>
          <t>فروردین</t>
        </is>
      </c>
      <c r="H1574" s="128" t="inlineStr">
        <is>
          <t>بهار</t>
        </is>
      </c>
      <c r="I1574" s="128" t="inlineStr">
        <is>
          <t>یکشنبه</t>
        </is>
      </c>
      <c r="J1574" s="128" t="inlineStr">
        <is>
          <t>خیر</t>
        </is>
      </c>
    </row>
    <row r="1575">
      <c r="A1575" s="176" t="n">
        <v>46496</v>
      </c>
      <c r="B1575" s="177" t="n">
        <v>46496</v>
      </c>
      <c r="C1575" s="177" t="n">
        <v>1406</v>
      </c>
      <c r="D1575" s="177" t="n">
        <v>1</v>
      </c>
      <c r="E1575" s="178" t="inlineStr">
        <is>
          <t>1406/01/30</t>
        </is>
      </c>
      <c r="F1575" s="134" t="inlineStr">
        <is>
          <t>1406/01</t>
        </is>
      </c>
      <c r="G1575" s="61" t="inlineStr">
        <is>
          <t>فروردین</t>
        </is>
      </c>
      <c r="H1575" s="134" t="inlineStr">
        <is>
          <t>بهار</t>
        </is>
      </c>
      <c r="I1575" s="134" t="inlineStr">
        <is>
          <t>دوشنبه</t>
        </is>
      </c>
      <c r="J1575" s="134" t="inlineStr">
        <is>
          <t>بله</t>
        </is>
      </c>
    </row>
    <row r="1576">
      <c r="A1576" s="173" t="n">
        <v>46497</v>
      </c>
      <c r="B1576" s="174" t="n">
        <v>46497</v>
      </c>
      <c r="C1576" s="174" t="n">
        <v>1406</v>
      </c>
      <c r="D1576" s="174" t="n">
        <v>1</v>
      </c>
      <c r="E1576" s="175" t="inlineStr">
        <is>
          <t>1406/01/31</t>
        </is>
      </c>
      <c r="F1576" s="128" t="inlineStr">
        <is>
          <t>1406/01</t>
        </is>
      </c>
      <c r="G1576" s="58" t="inlineStr">
        <is>
          <t>فروردین</t>
        </is>
      </c>
      <c r="H1576" s="128" t="inlineStr">
        <is>
          <t>بهار</t>
        </is>
      </c>
      <c r="I1576" s="128" t="inlineStr">
        <is>
          <t>سه‌شنبه</t>
        </is>
      </c>
      <c r="J1576" s="128" t="inlineStr">
        <is>
          <t>بله</t>
        </is>
      </c>
    </row>
    <row r="1577">
      <c r="A1577" s="176" t="n">
        <v>46498</v>
      </c>
      <c r="B1577" s="177" t="n">
        <v>46498</v>
      </c>
      <c r="C1577" s="177" t="n">
        <v>1406</v>
      </c>
      <c r="D1577" s="177" t="n">
        <v>2</v>
      </c>
      <c r="E1577" s="178" t="inlineStr">
        <is>
          <t>1406/02/01</t>
        </is>
      </c>
      <c r="F1577" s="134" t="inlineStr">
        <is>
          <t>1406/02</t>
        </is>
      </c>
      <c r="G1577" s="61" t="inlineStr">
        <is>
          <t>اردیبهشت</t>
        </is>
      </c>
      <c r="H1577" s="134" t="inlineStr">
        <is>
          <t>بهار</t>
        </is>
      </c>
      <c r="I1577" s="134" t="inlineStr">
        <is>
          <t>چهارشنبه</t>
        </is>
      </c>
      <c r="J1577" s="134" t="inlineStr">
        <is>
          <t>بله</t>
        </is>
      </c>
    </row>
    <row r="1578">
      <c r="A1578" s="173" t="n">
        <v>46499</v>
      </c>
      <c r="B1578" s="174" t="n">
        <v>46499</v>
      </c>
      <c r="C1578" s="174" t="n">
        <v>1406</v>
      </c>
      <c r="D1578" s="174" t="n">
        <v>2</v>
      </c>
      <c r="E1578" s="175" t="inlineStr">
        <is>
          <t>1406/02/02</t>
        </is>
      </c>
      <c r="F1578" s="128" t="inlineStr">
        <is>
          <t>1406/02</t>
        </is>
      </c>
      <c r="G1578" s="58" t="inlineStr">
        <is>
          <t>اردیبهشت</t>
        </is>
      </c>
      <c r="H1578" s="128" t="inlineStr">
        <is>
          <t>بهار</t>
        </is>
      </c>
      <c r="I1578" s="128" t="inlineStr">
        <is>
          <t>پنجشنبه</t>
        </is>
      </c>
      <c r="J1578" s="128" t="inlineStr">
        <is>
          <t>بله</t>
        </is>
      </c>
    </row>
    <row r="1579">
      <c r="A1579" s="176" t="n">
        <v>46500</v>
      </c>
      <c r="B1579" s="177" t="n">
        <v>46500</v>
      </c>
      <c r="C1579" s="177" t="n">
        <v>1406</v>
      </c>
      <c r="D1579" s="177" t="n">
        <v>2</v>
      </c>
      <c r="E1579" s="178" t="inlineStr">
        <is>
          <t>1406/02/03</t>
        </is>
      </c>
      <c r="F1579" s="134" t="inlineStr">
        <is>
          <t>1406/02</t>
        </is>
      </c>
      <c r="G1579" s="61" t="inlineStr">
        <is>
          <t>اردیبهشت</t>
        </is>
      </c>
      <c r="H1579" s="134" t="inlineStr">
        <is>
          <t>بهار</t>
        </is>
      </c>
      <c r="I1579" s="134" t="inlineStr">
        <is>
          <t>جمعه</t>
        </is>
      </c>
      <c r="J1579" s="134" t="inlineStr">
        <is>
          <t>بله</t>
        </is>
      </c>
    </row>
    <row r="1580">
      <c r="A1580" s="173" t="n">
        <v>46501</v>
      </c>
      <c r="B1580" s="174" t="n">
        <v>46501</v>
      </c>
      <c r="C1580" s="174" t="n">
        <v>1406</v>
      </c>
      <c r="D1580" s="174" t="n">
        <v>2</v>
      </c>
      <c r="E1580" s="175" t="inlineStr">
        <is>
          <t>1406/02/04</t>
        </is>
      </c>
      <c r="F1580" s="128" t="inlineStr">
        <is>
          <t>1406/02</t>
        </is>
      </c>
      <c r="G1580" s="58" t="inlineStr">
        <is>
          <t>اردیبهشت</t>
        </is>
      </c>
      <c r="H1580" s="128" t="inlineStr">
        <is>
          <t>بهار</t>
        </is>
      </c>
      <c r="I1580" s="128" t="inlineStr">
        <is>
          <t>شنبه</t>
        </is>
      </c>
      <c r="J1580" s="128" t="inlineStr">
        <is>
          <t>خیر</t>
        </is>
      </c>
    </row>
    <row r="1581">
      <c r="A1581" s="176" t="n">
        <v>46502</v>
      </c>
      <c r="B1581" s="177" t="n">
        <v>46502</v>
      </c>
      <c r="C1581" s="177" t="n">
        <v>1406</v>
      </c>
      <c r="D1581" s="177" t="n">
        <v>2</v>
      </c>
      <c r="E1581" s="178" t="inlineStr">
        <is>
          <t>1406/02/05</t>
        </is>
      </c>
      <c r="F1581" s="134" t="inlineStr">
        <is>
          <t>1406/02</t>
        </is>
      </c>
      <c r="G1581" s="61" t="inlineStr">
        <is>
          <t>اردیبهشت</t>
        </is>
      </c>
      <c r="H1581" s="134" t="inlineStr">
        <is>
          <t>بهار</t>
        </is>
      </c>
      <c r="I1581" s="134" t="inlineStr">
        <is>
          <t>یکشنبه</t>
        </is>
      </c>
      <c r="J1581" s="134" t="inlineStr">
        <is>
          <t>خیر</t>
        </is>
      </c>
    </row>
    <row r="1582">
      <c r="A1582" s="173" t="n">
        <v>46503</v>
      </c>
      <c r="B1582" s="174" t="n">
        <v>46503</v>
      </c>
      <c r="C1582" s="174" t="n">
        <v>1406</v>
      </c>
      <c r="D1582" s="174" t="n">
        <v>2</v>
      </c>
      <c r="E1582" s="175" t="inlineStr">
        <is>
          <t>1406/02/06</t>
        </is>
      </c>
      <c r="F1582" s="128" t="inlineStr">
        <is>
          <t>1406/02</t>
        </is>
      </c>
      <c r="G1582" s="58" t="inlineStr">
        <is>
          <t>اردیبهشت</t>
        </is>
      </c>
      <c r="H1582" s="128" t="inlineStr">
        <is>
          <t>بهار</t>
        </is>
      </c>
      <c r="I1582" s="128" t="inlineStr">
        <is>
          <t>دوشنبه</t>
        </is>
      </c>
      <c r="J1582" s="128" t="inlineStr">
        <is>
          <t>بله</t>
        </is>
      </c>
    </row>
    <row r="1583">
      <c r="A1583" s="176" t="n">
        <v>46504</v>
      </c>
      <c r="B1583" s="177" t="n">
        <v>46504</v>
      </c>
      <c r="C1583" s="177" t="n">
        <v>1406</v>
      </c>
      <c r="D1583" s="177" t="n">
        <v>2</v>
      </c>
      <c r="E1583" s="178" t="inlineStr">
        <is>
          <t>1406/02/07</t>
        </is>
      </c>
      <c r="F1583" s="134" t="inlineStr">
        <is>
          <t>1406/02</t>
        </is>
      </c>
      <c r="G1583" s="61" t="inlineStr">
        <is>
          <t>اردیبهشت</t>
        </is>
      </c>
      <c r="H1583" s="134" t="inlineStr">
        <is>
          <t>بهار</t>
        </is>
      </c>
      <c r="I1583" s="134" t="inlineStr">
        <is>
          <t>سه‌شنبه</t>
        </is>
      </c>
      <c r="J1583" s="134" t="inlineStr">
        <is>
          <t>بله</t>
        </is>
      </c>
    </row>
    <row r="1584">
      <c r="A1584" s="173" t="n">
        <v>46505</v>
      </c>
      <c r="B1584" s="174" t="n">
        <v>46505</v>
      </c>
      <c r="C1584" s="174" t="n">
        <v>1406</v>
      </c>
      <c r="D1584" s="174" t="n">
        <v>2</v>
      </c>
      <c r="E1584" s="175" t="inlineStr">
        <is>
          <t>1406/02/08</t>
        </is>
      </c>
      <c r="F1584" s="128" t="inlineStr">
        <is>
          <t>1406/02</t>
        </is>
      </c>
      <c r="G1584" s="58" t="inlineStr">
        <is>
          <t>اردیبهشت</t>
        </is>
      </c>
      <c r="H1584" s="128" t="inlineStr">
        <is>
          <t>بهار</t>
        </is>
      </c>
      <c r="I1584" s="128" t="inlineStr">
        <is>
          <t>چهارشنبه</t>
        </is>
      </c>
      <c r="J1584" s="128" t="inlineStr">
        <is>
          <t>بله</t>
        </is>
      </c>
    </row>
    <row r="1585">
      <c r="A1585" s="176" t="n">
        <v>46506</v>
      </c>
      <c r="B1585" s="177" t="n">
        <v>46506</v>
      </c>
      <c r="C1585" s="177" t="n">
        <v>1406</v>
      </c>
      <c r="D1585" s="177" t="n">
        <v>2</v>
      </c>
      <c r="E1585" s="178" t="inlineStr">
        <is>
          <t>1406/02/09</t>
        </is>
      </c>
      <c r="F1585" s="134" t="inlineStr">
        <is>
          <t>1406/02</t>
        </is>
      </c>
      <c r="G1585" s="61" t="inlineStr">
        <is>
          <t>اردیبهشت</t>
        </is>
      </c>
      <c r="H1585" s="134" t="inlineStr">
        <is>
          <t>بهار</t>
        </is>
      </c>
      <c r="I1585" s="134" t="inlineStr">
        <is>
          <t>پنجشنبه</t>
        </is>
      </c>
      <c r="J1585" s="134" t="inlineStr">
        <is>
          <t>بله</t>
        </is>
      </c>
    </row>
    <row r="1586">
      <c r="A1586" s="173" t="n">
        <v>46507</v>
      </c>
      <c r="B1586" s="174" t="n">
        <v>46507</v>
      </c>
      <c r="C1586" s="174" t="n">
        <v>1406</v>
      </c>
      <c r="D1586" s="174" t="n">
        <v>2</v>
      </c>
      <c r="E1586" s="175" t="inlineStr">
        <is>
          <t>1406/02/10</t>
        </is>
      </c>
      <c r="F1586" s="128" t="inlineStr">
        <is>
          <t>1406/02</t>
        </is>
      </c>
      <c r="G1586" s="58" t="inlineStr">
        <is>
          <t>اردیبهشت</t>
        </is>
      </c>
      <c r="H1586" s="128" t="inlineStr">
        <is>
          <t>بهار</t>
        </is>
      </c>
      <c r="I1586" s="128" t="inlineStr">
        <is>
          <t>جمعه</t>
        </is>
      </c>
      <c r="J1586" s="128" t="inlineStr">
        <is>
          <t>بله</t>
        </is>
      </c>
    </row>
    <row r="1587">
      <c r="A1587" s="176" t="n">
        <v>46508</v>
      </c>
      <c r="B1587" s="177" t="n">
        <v>46508</v>
      </c>
      <c r="C1587" s="177" t="n">
        <v>1406</v>
      </c>
      <c r="D1587" s="177" t="n">
        <v>2</v>
      </c>
      <c r="E1587" s="178" t="inlineStr">
        <is>
          <t>1406/02/11</t>
        </is>
      </c>
      <c r="F1587" s="134" t="inlineStr">
        <is>
          <t>1406/02</t>
        </is>
      </c>
      <c r="G1587" s="61" t="inlineStr">
        <is>
          <t>اردیبهشت</t>
        </is>
      </c>
      <c r="H1587" s="134" t="inlineStr">
        <is>
          <t>بهار</t>
        </is>
      </c>
      <c r="I1587" s="134" t="inlineStr">
        <is>
          <t>شنبه</t>
        </is>
      </c>
      <c r="J1587" s="134" t="inlineStr">
        <is>
          <t>خیر</t>
        </is>
      </c>
    </row>
    <row r="1588">
      <c r="A1588" s="173" t="n">
        <v>46509</v>
      </c>
      <c r="B1588" s="174" t="n">
        <v>46509</v>
      </c>
      <c r="C1588" s="174" t="n">
        <v>1406</v>
      </c>
      <c r="D1588" s="174" t="n">
        <v>2</v>
      </c>
      <c r="E1588" s="175" t="inlineStr">
        <is>
          <t>1406/02/12</t>
        </is>
      </c>
      <c r="F1588" s="128" t="inlineStr">
        <is>
          <t>1406/02</t>
        </is>
      </c>
      <c r="G1588" s="58" t="inlineStr">
        <is>
          <t>اردیبهشت</t>
        </is>
      </c>
      <c r="H1588" s="128" t="inlineStr">
        <is>
          <t>بهار</t>
        </is>
      </c>
      <c r="I1588" s="128" t="inlineStr">
        <is>
          <t>یکشنبه</t>
        </is>
      </c>
      <c r="J1588" s="128" t="inlineStr">
        <is>
          <t>خیر</t>
        </is>
      </c>
    </row>
    <row r="1589">
      <c r="A1589" s="176" t="n">
        <v>46510</v>
      </c>
      <c r="B1589" s="177" t="n">
        <v>46510</v>
      </c>
      <c r="C1589" s="177" t="n">
        <v>1406</v>
      </c>
      <c r="D1589" s="177" t="n">
        <v>2</v>
      </c>
      <c r="E1589" s="178" t="inlineStr">
        <is>
          <t>1406/02/13</t>
        </is>
      </c>
      <c r="F1589" s="134" t="inlineStr">
        <is>
          <t>1406/02</t>
        </is>
      </c>
      <c r="G1589" s="61" t="inlineStr">
        <is>
          <t>اردیبهشت</t>
        </is>
      </c>
      <c r="H1589" s="134" t="inlineStr">
        <is>
          <t>بهار</t>
        </is>
      </c>
      <c r="I1589" s="134" t="inlineStr">
        <is>
          <t>دوشنبه</t>
        </is>
      </c>
      <c r="J1589" s="134" t="inlineStr">
        <is>
          <t>بله</t>
        </is>
      </c>
    </row>
    <row r="1590">
      <c r="A1590" s="173" t="n">
        <v>46511</v>
      </c>
      <c r="B1590" s="174" t="n">
        <v>46511</v>
      </c>
      <c r="C1590" s="174" t="n">
        <v>1406</v>
      </c>
      <c r="D1590" s="174" t="n">
        <v>2</v>
      </c>
      <c r="E1590" s="175" t="inlineStr">
        <is>
          <t>1406/02/14</t>
        </is>
      </c>
      <c r="F1590" s="128" t="inlineStr">
        <is>
          <t>1406/02</t>
        </is>
      </c>
      <c r="G1590" s="58" t="inlineStr">
        <is>
          <t>اردیبهشت</t>
        </is>
      </c>
      <c r="H1590" s="128" t="inlineStr">
        <is>
          <t>بهار</t>
        </is>
      </c>
      <c r="I1590" s="128" t="inlineStr">
        <is>
          <t>سه‌شنبه</t>
        </is>
      </c>
      <c r="J1590" s="128" t="inlineStr">
        <is>
          <t>بله</t>
        </is>
      </c>
    </row>
    <row r="1591">
      <c r="A1591" s="176" t="n">
        <v>46512</v>
      </c>
      <c r="B1591" s="177" t="n">
        <v>46512</v>
      </c>
      <c r="C1591" s="177" t="n">
        <v>1406</v>
      </c>
      <c r="D1591" s="177" t="n">
        <v>2</v>
      </c>
      <c r="E1591" s="178" t="inlineStr">
        <is>
          <t>1406/02/15</t>
        </is>
      </c>
      <c r="F1591" s="134" t="inlineStr">
        <is>
          <t>1406/02</t>
        </is>
      </c>
      <c r="G1591" s="61" t="inlineStr">
        <is>
          <t>اردیبهشت</t>
        </is>
      </c>
      <c r="H1591" s="134" t="inlineStr">
        <is>
          <t>بهار</t>
        </is>
      </c>
      <c r="I1591" s="134" t="inlineStr">
        <is>
          <t>چهارشنبه</t>
        </is>
      </c>
      <c r="J1591" s="134" t="inlineStr">
        <is>
          <t>بله</t>
        </is>
      </c>
    </row>
    <row r="1592">
      <c r="A1592" s="173" t="n">
        <v>46513</v>
      </c>
      <c r="B1592" s="174" t="n">
        <v>46513</v>
      </c>
      <c r="C1592" s="174" t="n">
        <v>1406</v>
      </c>
      <c r="D1592" s="174" t="n">
        <v>2</v>
      </c>
      <c r="E1592" s="175" t="inlineStr">
        <is>
          <t>1406/02/16</t>
        </is>
      </c>
      <c r="F1592" s="128" t="inlineStr">
        <is>
          <t>1406/02</t>
        </is>
      </c>
      <c r="G1592" s="58" t="inlineStr">
        <is>
          <t>اردیبهشت</t>
        </is>
      </c>
      <c r="H1592" s="128" t="inlineStr">
        <is>
          <t>بهار</t>
        </is>
      </c>
      <c r="I1592" s="128" t="inlineStr">
        <is>
          <t>پنجشنبه</t>
        </is>
      </c>
      <c r="J1592" s="128" t="inlineStr">
        <is>
          <t>بله</t>
        </is>
      </c>
    </row>
    <row r="1593">
      <c r="A1593" s="176" t="n">
        <v>46514</v>
      </c>
      <c r="B1593" s="177" t="n">
        <v>46514</v>
      </c>
      <c r="C1593" s="177" t="n">
        <v>1406</v>
      </c>
      <c r="D1593" s="177" t="n">
        <v>2</v>
      </c>
      <c r="E1593" s="178" t="inlineStr">
        <is>
          <t>1406/02/17</t>
        </is>
      </c>
      <c r="F1593" s="134" t="inlineStr">
        <is>
          <t>1406/02</t>
        </is>
      </c>
      <c r="G1593" s="61" t="inlineStr">
        <is>
          <t>اردیبهشت</t>
        </is>
      </c>
      <c r="H1593" s="134" t="inlineStr">
        <is>
          <t>بهار</t>
        </is>
      </c>
      <c r="I1593" s="134" t="inlineStr">
        <is>
          <t>جمعه</t>
        </is>
      </c>
      <c r="J1593" s="134" t="inlineStr">
        <is>
          <t>بله</t>
        </is>
      </c>
    </row>
    <row r="1594">
      <c r="A1594" s="173" t="n">
        <v>46515</v>
      </c>
      <c r="B1594" s="174" t="n">
        <v>46515</v>
      </c>
      <c r="C1594" s="174" t="n">
        <v>1406</v>
      </c>
      <c r="D1594" s="174" t="n">
        <v>2</v>
      </c>
      <c r="E1594" s="175" t="inlineStr">
        <is>
          <t>1406/02/18</t>
        </is>
      </c>
      <c r="F1594" s="128" t="inlineStr">
        <is>
          <t>1406/02</t>
        </is>
      </c>
      <c r="G1594" s="58" t="inlineStr">
        <is>
          <t>اردیبهشت</t>
        </is>
      </c>
      <c r="H1594" s="128" t="inlineStr">
        <is>
          <t>بهار</t>
        </is>
      </c>
      <c r="I1594" s="128" t="inlineStr">
        <is>
          <t>شنبه</t>
        </is>
      </c>
      <c r="J1594" s="128" t="inlineStr">
        <is>
          <t>خیر</t>
        </is>
      </c>
    </row>
    <row r="1595">
      <c r="A1595" s="176" t="n">
        <v>46516</v>
      </c>
      <c r="B1595" s="177" t="n">
        <v>46516</v>
      </c>
      <c r="C1595" s="177" t="n">
        <v>1406</v>
      </c>
      <c r="D1595" s="177" t="n">
        <v>2</v>
      </c>
      <c r="E1595" s="178" t="inlineStr">
        <is>
          <t>1406/02/19</t>
        </is>
      </c>
      <c r="F1595" s="134" t="inlineStr">
        <is>
          <t>1406/02</t>
        </is>
      </c>
      <c r="G1595" s="61" t="inlineStr">
        <is>
          <t>اردیبهشت</t>
        </is>
      </c>
      <c r="H1595" s="134" t="inlineStr">
        <is>
          <t>بهار</t>
        </is>
      </c>
      <c r="I1595" s="134" t="inlineStr">
        <is>
          <t>یکشنبه</t>
        </is>
      </c>
      <c r="J1595" s="134" t="inlineStr">
        <is>
          <t>خیر</t>
        </is>
      </c>
    </row>
    <row r="1596">
      <c r="A1596" s="173" t="n">
        <v>46517</v>
      </c>
      <c r="B1596" s="174" t="n">
        <v>46517</v>
      </c>
      <c r="C1596" s="174" t="n">
        <v>1406</v>
      </c>
      <c r="D1596" s="174" t="n">
        <v>2</v>
      </c>
      <c r="E1596" s="175" t="inlineStr">
        <is>
          <t>1406/02/20</t>
        </is>
      </c>
      <c r="F1596" s="128" t="inlineStr">
        <is>
          <t>1406/02</t>
        </is>
      </c>
      <c r="G1596" s="58" t="inlineStr">
        <is>
          <t>اردیبهشت</t>
        </is>
      </c>
      <c r="H1596" s="128" t="inlineStr">
        <is>
          <t>بهار</t>
        </is>
      </c>
      <c r="I1596" s="128" t="inlineStr">
        <is>
          <t>دوشنبه</t>
        </is>
      </c>
      <c r="J1596" s="128" t="inlineStr">
        <is>
          <t>بله</t>
        </is>
      </c>
    </row>
    <row r="1597">
      <c r="A1597" s="176" t="n">
        <v>46518</v>
      </c>
      <c r="B1597" s="177" t="n">
        <v>46518</v>
      </c>
      <c r="C1597" s="177" t="n">
        <v>1406</v>
      </c>
      <c r="D1597" s="177" t="n">
        <v>2</v>
      </c>
      <c r="E1597" s="178" t="inlineStr">
        <is>
          <t>1406/02/21</t>
        </is>
      </c>
      <c r="F1597" s="134" t="inlineStr">
        <is>
          <t>1406/02</t>
        </is>
      </c>
      <c r="G1597" s="61" t="inlineStr">
        <is>
          <t>اردیبهشت</t>
        </is>
      </c>
      <c r="H1597" s="134" t="inlineStr">
        <is>
          <t>بهار</t>
        </is>
      </c>
      <c r="I1597" s="134" t="inlineStr">
        <is>
          <t>سه‌شنبه</t>
        </is>
      </c>
      <c r="J1597" s="134" t="inlineStr">
        <is>
          <t>بله</t>
        </is>
      </c>
    </row>
    <row r="1598">
      <c r="A1598" s="173" t="n">
        <v>46519</v>
      </c>
      <c r="B1598" s="174" t="n">
        <v>46519</v>
      </c>
      <c r="C1598" s="174" t="n">
        <v>1406</v>
      </c>
      <c r="D1598" s="174" t="n">
        <v>2</v>
      </c>
      <c r="E1598" s="175" t="inlineStr">
        <is>
          <t>1406/02/22</t>
        </is>
      </c>
      <c r="F1598" s="128" t="inlineStr">
        <is>
          <t>1406/02</t>
        </is>
      </c>
      <c r="G1598" s="58" t="inlineStr">
        <is>
          <t>اردیبهشت</t>
        </is>
      </c>
      <c r="H1598" s="128" t="inlineStr">
        <is>
          <t>بهار</t>
        </is>
      </c>
      <c r="I1598" s="128" t="inlineStr">
        <is>
          <t>چهارشنبه</t>
        </is>
      </c>
      <c r="J1598" s="128" t="inlineStr">
        <is>
          <t>بله</t>
        </is>
      </c>
    </row>
    <row r="1599">
      <c r="A1599" s="176" t="n">
        <v>46520</v>
      </c>
      <c r="B1599" s="177" t="n">
        <v>46520</v>
      </c>
      <c r="C1599" s="177" t="n">
        <v>1406</v>
      </c>
      <c r="D1599" s="177" t="n">
        <v>2</v>
      </c>
      <c r="E1599" s="178" t="inlineStr">
        <is>
          <t>1406/02/23</t>
        </is>
      </c>
      <c r="F1599" s="134" t="inlineStr">
        <is>
          <t>1406/02</t>
        </is>
      </c>
      <c r="G1599" s="61" t="inlineStr">
        <is>
          <t>اردیبهشت</t>
        </is>
      </c>
      <c r="H1599" s="134" t="inlineStr">
        <is>
          <t>بهار</t>
        </is>
      </c>
      <c r="I1599" s="134" t="inlineStr">
        <is>
          <t>پنجشنبه</t>
        </is>
      </c>
      <c r="J1599" s="134" t="inlineStr">
        <is>
          <t>بله</t>
        </is>
      </c>
    </row>
    <row r="1600">
      <c r="A1600" s="173" t="n">
        <v>46521</v>
      </c>
      <c r="B1600" s="174" t="n">
        <v>46521</v>
      </c>
      <c r="C1600" s="174" t="n">
        <v>1406</v>
      </c>
      <c r="D1600" s="174" t="n">
        <v>2</v>
      </c>
      <c r="E1600" s="175" t="inlineStr">
        <is>
          <t>1406/02/24</t>
        </is>
      </c>
      <c r="F1600" s="128" t="inlineStr">
        <is>
          <t>1406/02</t>
        </is>
      </c>
      <c r="G1600" s="58" t="inlineStr">
        <is>
          <t>اردیبهشت</t>
        </is>
      </c>
      <c r="H1600" s="128" t="inlineStr">
        <is>
          <t>بهار</t>
        </is>
      </c>
      <c r="I1600" s="128" t="inlineStr">
        <is>
          <t>جمعه</t>
        </is>
      </c>
      <c r="J1600" s="128" t="inlineStr">
        <is>
          <t>بله</t>
        </is>
      </c>
    </row>
    <row r="1601">
      <c r="A1601" s="176" t="n">
        <v>46522</v>
      </c>
      <c r="B1601" s="177" t="n">
        <v>46522</v>
      </c>
      <c r="C1601" s="177" t="n">
        <v>1406</v>
      </c>
      <c r="D1601" s="177" t="n">
        <v>2</v>
      </c>
      <c r="E1601" s="178" t="inlineStr">
        <is>
          <t>1406/02/25</t>
        </is>
      </c>
      <c r="F1601" s="134" t="inlineStr">
        <is>
          <t>1406/02</t>
        </is>
      </c>
      <c r="G1601" s="61" t="inlineStr">
        <is>
          <t>اردیبهشت</t>
        </is>
      </c>
      <c r="H1601" s="134" t="inlineStr">
        <is>
          <t>بهار</t>
        </is>
      </c>
      <c r="I1601" s="134" t="inlineStr">
        <is>
          <t>شنبه</t>
        </is>
      </c>
      <c r="J1601" s="134" t="inlineStr">
        <is>
          <t>خیر</t>
        </is>
      </c>
    </row>
    <row r="1602">
      <c r="A1602" s="173" t="n">
        <v>46523</v>
      </c>
      <c r="B1602" s="174" t="n">
        <v>46523</v>
      </c>
      <c r="C1602" s="174" t="n">
        <v>1406</v>
      </c>
      <c r="D1602" s="174" t="n">
        <v>2</v>
      </c>
      <c r="E1602" s="175" t="inlineStr">
        <is>
          <t>1406/02/26</t>
        </is>
      </c>
      <c r="F1602" s="128" t="inlineStr">
        <is>
          <t>1406/02</t>
        </is>
      </c>
      <c r="G1602" s="58" t="inlineStr">
        <is>
          <t>اردیبهشت</t>
        </is>
      </c>
      <c r="H1602" s="128" t="inlineStr">
        <is>
          <t>بهار</t>
        </is>
      </c>
      <c r="I1602" s="128" t="inlineStr">
        <is>
          <t>یکشنبه</t>
        </is>
      </c>
      <c r="J1602" s="128" t="inlineStr">
        <is>
          <t>خیر</t>
        </is>
      </c>
    </row>
    <row r="1603">
      <c r="A1603" s="176" t="n">
        <v>46524</v>
      </c>
      <c r="B1603" s="177" t="n">
        <v>46524</v>
      </c>
      <c r="C1603" s="177" t="n">
        <v>1406</v>
      </c>
      <c r="D1603" s="177" t="n">
        <v>2</v>
      </c>
      <c r="E1603" s="178" t="inlineStr">
        <is>
          <t>1406/02/27</t>
        </is>
      </c>
      <c r="F1603" s="134" t="inlineStr">
        <is>
          <t>1406/02</t>
        </is>
      </c>
      <c r="G1603" s="61" t="inlineStr">
        <is>
          <t>اردیبهشت</t>
        </is>
      </c>
      <c r="H1603" s="134" t="inlineStr">
        <is>
          <t>بهار</t>
        </is>
      </c>
      <c r="I1603" s="134" t="inlineStr">
        <is>
          <t>دوشنبه</t>
        </is>
      </c>
      <c r="J1603" s="134" t="inlineStr">
        <is>
          <t>بله</t>
        </is>
      </c>
    </row>
    <row r="1604">
      <c r="A1604" s="173" t="n">
        <v>46525</v>
      </c>
      <c r="B1604" s="174" t="n">
        <v>46525</v>
      </c>
      <c r="C1604" s="174" t="n">
        <v>1406</v>
      </c>
      <c r="D1604" s="174" t="n">
        <v>2</v>
      </c>
      <c r="E1604" s="175" t="inlineStr">
        <is>
          <t>1406/02/28</t>
        </is>
      </c>
      <c r="F1604" s="128" t="inlineStr">
        <is>
          <t>1406/02</t>
        </is>
      </c>
      <c r="G1604" s="58" t="inlineStr">
        <is>
          <t>اردیبهشت</t>
        </is>
      </c>
      <c r="H1604" s="128" t="inlineStr">
        <is>
          <t>بهار</t>
        </is>
      </c>
      <c r="I1604" s="128" t="inlineStr">
        <is>
          <t>سه‌شنبه</t>
        </is>
      </c>
      <c r="J1604" s="128" t="inlineStr">
        <is>
          <t>بله</t>
        </is>
      </c>
    </row>
    <row r="1605">
      <c r="A1605" s="176" t="n">
        <v>46526</v>
      </c>
      <c r="B1605" s="177" t="n">
        <v>46526</v>
      </c>
      <c r="C1605" s="177" t="n">
        <v>1406</v>
      </c>
      <c r="D1605" s="177" t="n">
        <v>2</v>
      </c>
      <c r="E1605" s="178" t="inlineStr">
        <is>
          <t>1406/02/29</t>
        </is>
      </c>
      <c r="F1605" s="134" t="inlineStr">
        <is>
          <t>1406/02</t>
        </is>
      </c>
      <c r="G1605" s="61" t="inlineStr">
        <is>
          <t>اردیبهشت</t>
        </is>
      </c>
      <c r="H1605" s="134" t="inlineStr">
        <is>
          <t>بهار</t>
        </is>
      </c>
      <c r="I1605" s="134" t="inlineStr">
        <is>
          <t>چهارشنبه</t>
        </is>
      </c>
      <c r="J1605" s="134" t="inlineStr">
        <is>
          <t>بله</t>
        </is>
      </c>
    </row>
    <row r="1606">
      <c r="A1606" s="173" t="n">
        <v>46527</v>
      </c>
      <c r="B1606" s="174" t="n">
        <v>46527</v>
      </c>
      <c r="C1606" s="174" t="n">
        <v>1406</v>
      </c>
      <c r="D1606" s="174" t="n">
        <v>2</v>
      </c>
      <c r="E1606" s="175" t="inlineStr">
        <is>
          <t>1406/02/30</t>
        </is>
      </c>
      <c r="F1606" s="128" t="inlineStr">
        <is>
          <t>1406/02</t>
        </is>
      </c>
      <c r="G1606" s="58" t="inlineStr">
        <is>
          <t>اردیبهشت</t>
        </is>
      </c>
      <c r="H1606" s="128" t="inlineStr">
        <is>
          <t>بهار</t>
        </is>
      </c>
      <c r="I1606" s="128" t="inlineStr">
        <is>
          <t>پنجشنبه</t>
        </is>
      </c>
      <c r="J1606" s="128" t="inlineStr">
        <is>
          <t>بله</t>
        </is>
      </c>
    </row>
    <row r="1607">
      <c r="A1607" s="176" t="n">
        <v>46528</v>
      </c>
      <c r="B1607" s="177" t="n">
        <v>46528</v>
      </c>
      <c r="C1607" s="177" t="n">
        <v>1406</v>
      </c>
      <c r="D1607" s="177" t="n">
        <v>2</v>
      </c>
      <c r="E1607" s="178" t="inlineStr">
        <is>
          <t>1406/02/31</t>
        </is>
      </c>
      <c r="F1607" s="134" t="inlineStr">
        <is>
          <t>1406/02</t>
        </is>
      </c>
      <c r="G1607" s="61" t="inlineStr">
        <is>
          <t>اردیبهشت</t>
        </is>
      </c>
      <c r="H1607" s="134" t="inlineStr">
        <is>
          <t>بهار</t>
        </is>
      </c>
      <c r="I1607" s="134" t="inlineStr">
        <is>
          <t>جمعه</t>
        </is>
      </c>
      <c r="J1607" s="134" t="inlineStr">
        <is>
          <t>بله</t>
        </is>
      </c>
    </row>
    <row r="1608">
      <c r="A1608" s="173" t="n">
        <v>46529</v>
      </c>
      <c r="B1608" s="174" t="n">
        <v>46529</v>
      </c>
      <c r="C1608" s="174" t="n">
        <v>1406</v>
      </c>
      <c r="D1608" s="174" t="n">
        <v>3</v>
      </c>
      <c r="E1608" s="175" t="inlineStr">
        <is>
          <t>1406/03/01</t>
        </is>
      </c>
      <c r="F1608" s="128" t="inlineStr">
        <is>
          <t>1406/03</t>
        </is>
      </c>
      <c r="G1608" s="58" t="inlineStr">
        <is>
          <t>خرداد</t>
        </is>
      </c>
      <c r="H1608" s="128" t="inlineStr">
        <is>
          <t>بهار</t>
        </is>
      </c>
      <c r="I1608" s="128" t="inlineStr">
        <is>
          <t>شنبه</t>
        </is>
      </c>
      <c r="J1608" s="128" t="inlineStr">
        <is>
          <t>خیر</t>
        </is>
      </c>
    </row>
    <row r="1609">
      <c r="A1609" s="176" t="n">
        <v>46530</v>
      </c>
      <c r="B1609" s="177" t="n">
        <v>46530</v>
      </c>
      <c r="C1609" s="177" t="n">
        <v>1406</v>
      </c>
      <c r="D1609" s="177" t="n">
        <v>3</v>
      </c>
      <c r="E1609" s="178" t="inlineStr">
        <is>
          <t>1406/03/02</t>
        </is>
      </c>
      <c r="F1609" s="134" t="inlineStr">
        <is>
          <t>1406/03</t>
        </is>
      </c>
      <c r="G1609" s="61" t="inlineStr">
        <is>
          <t>خرداد</t>
        </is>
      </c>
      <c r="H1609" s="134" t="inlineStr">
        <is>
          <t>بهار</t>
        </is>
      </c>
      <c r="I1609" s="134" t="inlineStr">
        <is>
          <t>یکشنبه</t>
        </is>
      </c>
      <c r="J1609" s="134" t="inlineStr">
        <is>
          <t>خیر</t>
        </is>
      </c>
    </row>
    <row r="1610">
      <c r="A1610" s="173" t="n">
        <v>46531</v>
      </c>
      <c r="B1610" s="174" t="n">
        <v>46531</v>
      </c>
      <c r="C1610" s="174" t="n">
        <v>1406</v>
      </c>
      <c r="D1610" s="174" t="n">
        <v>3</v>
      </c>
      <c r="E1610" s="175" t="inlineStr">
        <is>
          <t>1406/03/03</t>
        </is>
      </c>
      <c r="F1610" s="128" t="inlineStr">
        <is>
          <t>1406/03</t>
        </is>
      </c>
      <c r="G1610" s="58" t="inlineStr">
        <is>
          <t>خرداد</t>
        </is>
      </c>
      <c r="H1610" s="128" t="inlineStr">
        <is>
          <t>بهار</t>
        </is>
      </c>
      <c r="I1610" s="128" t="inlineStr">
        <is>
          <t>دوشنبه</t>
        </is>
      </c>
      <c r="J1610" s="128" t="inlineStr">
        <is>
          <t>بله</t>
        </is>
      </c>
    </row>
    <row r="1611">
      <c r="A1611" s="176" t="n">
        <v>46532</v>
      </c>
      <c r="B1611" s="177" t="n">
        <v>46532</v>
      </c>
      <c r="C1611" s="177" t="n">
        <v>1406</v>
      </c>
      <c r="D1611" s="177" t="n">
        <v>3</v>
      </c>
      <c r="E1611" s="178" t="inlineStr">
        <is>
          <t>1406/03/04</t>
        </is>
      </c>
      <c r="F1611" s="134" t="inlineStr">
        <is>
          <t>1406/03</t>
        </is>
      </c>
      <c r="G1611" s="61" t="inlineStr">
        <is>
          <t>خرداد</t>
        </is>
      </c>
      <c r="H1611" s="134" t="inlineStr">
        <is>
          <t>بهار</t>
        </is>
      </c>
      <c r="I1611" s="134" t="inlineStr">
        <is>
          <t>سه‌شنبه</t>
        </is>
      </c>
      <c r="J1611" s="134" t="inlineStr">
        <is>
          <t>بله</t>
        </is>
      </c>
    </row>
    <row r="1612">
      <c r="A1612" s="173" t="n">
        <v>46533</v>
      </c>
      <c r="B1612" s="174" t="n">
        <v>46533</v>
      </c>
      <c r="C1612" s="174" t="n">
        <v>1406</v>
      </c>
      <c r="D1612" s="174" t="n">
        <v>3</v>
      </c>
      <c r="E1612" s="175" t="inlineStr">
        <is>
          <t>1406/03/05</t>
        </is>
      </c>
      <c r="F1612" s="128" t="inlineStr">
        <is>
          <t>1406/03</t>
        </is>
      </c>
      <c r="G1612" s="58" t="inlineStr">
        <is>
          <t>خرداد</t>
        </is>
      </c>
      <c r="H1612" s="128" t="inlineStr">
        <is>
          <t>بهار</t>
        </is>
      </c>
      <c r="I1612" s="128" t="inlineStr">
        <is>
          <t>چهارشنبه</t>
        </is>
      </c>
      <c r="J1612" s="128" t="inlineStr">
        <is>
          <t>بله</t>
        </is>
      </c>
    </row>
    <row r="1613">
      <c r="A1613" s="176" t="n">
        <v>46534</v>
      </c>
      <c r="B1613" s="177" t="n">
        <v>46534</v>
      </c>
      <c r="C1613" s="177" t="n">
        <v>1406</v>
      </c>
      <c r="D1613" s="177" t="n">
        <v>3</v>
      </c>
      <c r="E1613" s="178" t="inlineStr">
        <is>
          <t>1406/03/06</t>
        </is>
      </c>
      <c r="F1613" s="134" t="inlineStr">
        <is>
          <t>1406/03</t>
        </is>
      </c>
      <c r="G1613" s="61" t="inlineStr">
        <is>
          <t>خرداد</t>
        </is>
      </c>
      <c r="H1613" s="134" t="inlineStr">
        <is>
          <t>بهار</t>
        </is>
      </c>
      <c r="I1613" s="134" t="inlineStr">
        <is>
          <t>پنجشنبه</t>
        </is>
      </c>
      <c r="J1613" s="134" t="inlineStr">
        <is>
          <t>بله</t>
        </is>
      </c>
    </row>
    <row r="1614">
      <c r="A1614" s="173" t="n">
        <v>46535</v>
      </c>
      <c r="B1614" s="174" t="n">
        <v>46535</v>
      </c>
      <c r="C1614" s="174" t="n">
        <v>1406</v>
      </c>
      <c r="D1614" s="174" t="n">
        <v>3</v>
      </c>
      <c r="E1614" s="175" t="inlineStr">
        <is>
          <t>1406/03/07</t>
        </is>
      </c>
      <c r="F1614" s="128" t="inlineStr">
        <is>
          <t>1406/03</t>
        </is>
      </c>
      <c r="G1614" s="58" t="inlineStr">
        <is>
          <t>خرداد</t>
        </is>
      </c>
      <c r="H1614" s="128" t="inlineStr">
        <is>
          <t>بهار</t>
        </is>
      </c>
      <c r="I1614" s="128" t="inlineStr">
        <is>
          <t>جمعه</t>
        </is>
      </c>
      <c r="J1614" s="128" t="inlineStr">
        <is>
          <t>بله</t>
        </is>
      </c>
    </row>
    <row r="1615">
      <c r="A1615" s="176" t="n">
        <v>46536</v>
      </c>
      <c r="B1615" s="177" t="n">
        <v>46536</v>
      </c>
      <c r="C1615" s="177" t="n">
        <v>1406</v>
      </c>
      <c r="D1615" s="177" t="n">
        <v>3</v>
      </c>
      <c r="E1615" s="178" t="inlineStr">
        <is>
          <t>1406/03/08</t>
        </is>
      </c>
      <c r="F1615" s="134" t="inlineStr">
        <is>
          <t>1406/03</t>
        </is>
      </c>
      <c r="G1615" s="61" t="inlineStr">
        <is>
          <t>خرداد</t>
        </is>
      </c>
      <c r="H1615" s="134" t="inlineStr">
        <is>
          <t>بهار</t>
        </is>
      </c>
      <c r="I1615" s="134" t="inlineStr">
        <is>
          <t>شنبه</t>
        </is>
      </c>
      <c r="J1615" s="134" t="inlineStr">
        <is>
          <t>خیر</t>
        </is>
      </c>
    </row>
    <row r="1616">
      <c r="A1616" s="173" t="n">
        <v>46537</v>
      </c>
      <c r="B1616" s="174" t="n">
        <v>46537</v>
      </c>
      <c r="C1616" s="174" t="n">
        <v>1406</v>
      </c>
      <c r="D1616" s="174" t="n">
        <v>3</v>
      </c>
      <c r="E1616" s="175" t="inlineStr">
        <is>
          <t>1406/03/09</t>
        </is>
      </c>
      <c r="F1616" s="128" t="inlineStr">
        <is>
          <t>1406/03</t>
        </is>
      </c>
      <c r="G1616" s="58" t="inlineStr">
        <is>
          <t>خرداد</t>
        </is>
      </c>
      <c r="H1616" s="128" t="inlineStr">
        <is>
          <t>بهار</t>
        </is>
      </c>
      <c r="I1616" s="128" t="inlineStr">
        <is>
          <t>یکشنبه</t>
        </is>
      </c>
      <c r="J1616" s="128" t="inlineStr">
        <is>
          <t>خیر</t>
        </is>
      </c>
    </row>
    <row r="1617">
      <c r="A1617" s="176" t="n">
        <v>46538</v>
      </c>
      <c r="B1617" s="177" t="n">
        <v>46538</v>
      </c>
      <c r="C1617" s="177" t="n">
        <v>1406</v>
      </c>
      <c r="D1617" s="177" t="n">
        <v>3</v>
      </c>
      <c r="E1617" s="178" t="inlineStr">
        <is>
          <t>1406/03/10</t>
        </is>
      </c>
      <c r="F1617" s="134" t="inlineStr">
        <is>
          <t>1406/03</t>
        </is>
      </c>
      <c r="G1617" s="61" t="inlineStr">
        <is>
          <t>خرداد</t>
        </is>
      </c>
      <c r="H1617" s="134" t="inlineStr">
        <is>
          <t>بهار</t>
        </is>
      </c>
      <c r="I1617" s="134" t="inlineStr">
        <is>
          <t>دوشنبه</t>
        </is>
      </c>
      <c r="J1617" s="134" t="inlineStr">
        <is>
          <t>بله</t>
        </is>
      </c>
    </row>
    <row r="1618">
      <c r="A1618" s="173" t="n">
        <v>46539</v>
      </c>
      <c r="B1618" s="174" t="n">
        <v>46539</v>
      </c>
      <c r="C1618" s="174" t="n">
        <v>1406</v>
      </c>
      <c r="D1618" s="174" t="n">
        <v>3</v>
      </c>
      <c r="E1618" s="175" t="inlineStr">
        <is>
          <t>1406/03/11</t>
        </is>
      </c>
      <c r="F1618" s="128" t="inlineStr">
        <is>
          <t>1406/03</t>
        </is>
      </c>
      <c r="G1618" s="58" t="inlineStr">
        <is>
          <t>خرداد</t>
        </is>
      </c>
      <c r="H1618" s="128" t="inlineStr">
        <is>
          <t>بهار</t>
        </is>
      </c>
      <c r="I1618" s="128" t="inlineStr">
        <is>
          <t>سه‌شنبه</t>
        </is>
      </c>
      <c r="J1618" s="128" t="inlineStr">
        <is>
          <t>بله</t>
        </is>
      </c>
    </row>
    <row r="1619">
      <c r="A1619" s="176" t="n">
        <v>46540</v>
      </c>
      <c r="B1619" s="177" t="n">
        <v>46540</v>
      </c>
      <c r="C1619" s="177" t="n">
        <v>1406</v>
      </c>
      <c r="D1619" s="177" t="n">
        <v>3</v>
      </c>
      <c r="E1619" s="178" t="inlineStr">
        <is>
          <t>1406/03/12</t>
        </is>
      </c>
      <c r="F1619" s="134" t="inlineStr">
        <is>
          <t>1406/03</t>
        </is>
      </c>
      <c r="G1619" s="61" t="inlineStr">
        <is>
          <t>خرداد</t>
        </is>
      </c>
      <c r="H1619" s="134" t="inlineStr">
        <is>
          <t>بهار</t>
        </is>
      </c>
      <c r="I1619" s="134" t="inlineStr">
        <is>
          <t>چهارشنبه</t>
        </is>
      </c>
      <c r="J1619" s="134" t="inlineStr">
        <is>
          <t>بله</t>
        </is>
      </c>
    </row>
    <row r="1620">
      <c r="A1620" s="173" t="n">
        <v>46541</v>
      </c>
      <c r="B1620" s="174" t="n">
        <v>46541</v>
      </c>
      <c r="C1620" s="174" t="n">
        <v>1406</v>
      </c>
      <c r="D1620" s="174" t="n">
        <v>3</v>
      </c>
      <c r="E1620" s="175" t="inlineStr">
        <is>
          <t>1406/03/13</t>
        </is>
      </c>
      <c r="F1620" s="128" t="inlineStr">
        <is>
          <t>1406/03</t>
        </is>
      </c>
      <c r="G1620" s="58" t="inlineStr">
        <is>
          <t>خرداد</t>
        </is>
      </c>
      <c r="H1620" s="128" t="inlineStr">
        <is>
          <t>بهار</t>
        </is>
      </c>
      <c r="I1620" s="128" t="inlineStr">
        <is>
          <t>پنجشنبه</t>
        </is>
      </c>
      <c r="J1620" s="128" t="inlineStr">
        <is>
          <t>بله</t>
        </is>
      </c>
    </row>
    <row r="1621">
      <c r="A1621" s="176" t="n">
        <v>46542</v>
      </c>
      <c r="B1621" s="177" t="n">
        <v>46542</v>
      </c>
      <c r="C1621" s="177" t="n">
        <v>1406</v>
      </c>
      <c r="D1621" s="177" t="n">
        <v>3</v>
      </c>
      <c r="E1621" s="178" t="inlineStr">
        <is>
          <t>1406/03/14</t>
        </is>
      </c>
      <c r="F1621" s="134" t="inlineStr">
        <is>
          <t>1406/03</t>
        </is>
      </c>
      <c r="G1621" s="61" t="inlineStr">
        <is>
          <t>خرداد</t>
        </is>
      </c>
      <c r="H1621" s="134" t="inlineStr">
        <is>
          <t>بهار</t>
        </is>
      </c>
      <c r="I1621" s="134" t="inlineStr">
        <is>
          <t>جمعه</t>
        </is>
      </c>
      <c r="J1621" s="134" t="inlineStr">
        <is>
          <t>بله</t>
        </is>
      </c>
    </row>
    <row r="1622">
      <c r="A1622" s="173" t="n">
        <v>46543</v>
      </c>
      <c r="B1622" s="174" t="n">
        <v>46543</v>
      </c>
      <c r="C1622" s="174" t="n">
        <v>1406</v>
      </c>
      <c r="D1622" s="174" t="n">
        <v>3</v>
      </c>
      <c r="E1622" s="175" t="inlineStr">
        <is>
          <t>1406/03/15</t>
        </is>
      </c>
      <c r="F1622" s="128" t="inlineStr">
        <is>
          <t>1406/03</t>
        </is>
      </c>
      <c r="G1622" s="58" t="inlineStr">
        <is>
          <t>خرداد</t>
        </is>
      </c>
      <c r="H1622" s="128" t="inlineStr">
        <is>
          <t>بهار</t>
        </is>
      </c>
      <c r="I1622" s="128" t="inlineStr">
        <is>
          <t>شنبه</t>
        </is>
      </c>
      <c r="J1622" s="128" t="inlineStr">
        <is>
          <t>خیر</t>
        </is>
      </c>
    </row>
    <row r="1623">
      <c r="A1623" s="176" t="n">
        <v>46544</v>
      </c>
      <c r="B1623" s="177" t="n">
        <v>46544</v>
      </c>
      <c r="C1623" s="177" t="n">
        <v>1406</v>
      </c>
      <c r="D1623" s="177" t="n">
        <v>3</v>
      </c>
      <c r="E1623" s="178" t="inlineStr">
        <is>
          <t>1406/03/16</t>
        </is>
      </c>
      <c r="F1623" s="134" t="inlineStr">
        <is>
          <t>1406/03</t>
        </is>
      </c>
      <c r="G1623" s="61" t="inlineStr">
        <is>
          <t>خرداد</t>
        </is>
      </c>
      <c r="H1623" s="134" t="inlineStr">
        <is>
          <t>بهار</t>
        </is>
      </c>
      <c r="I1623" s="134" t="inlineStr">
        <is>
          <t>یکشنبه</t>
        </is>
      </c>
      <c r="J1623" s="134" t="inlineStr">
        <is>
          <t>خیر</t>
        </is>
      </c>
    </row>
    <row r="1624">
      <c r="A1624" s="173" t="n">
        <v>46545</v>
      </c>
      <c r="B1624" s="174" t="n">
        <v>46545</v>
      </c>
      <c r="C1624" s="174" t="n">
        <v>1406</v>
      </c>
      <c r="D1624" s="174" t="n">
        <v>3</v>
      </c>
      <c r="E1624" s="175" t="inlineStr">
        <is>
          <t>1406/03/17</t>
        </is>
      </c>
      <c r="F1624" s="128" t="inlineStr">
        <is>
          <t>1406/03</t>
        </is>
      </c>
      <c r="G1624" s="58" t="inlineStr">
        <is>
          <t>خرداد</t>
        </is>
      </c>
      <c r="H1624" s="128" t="inlineStr">
        <is>
          <t>بهار</t>
        </is>
      </c>
      <c r="I1624" s="128" t="inlineStr">
        <is>
          <t>دوشنبه</t>
        </is>
      </c>
      <c r="J1624" s="128" t="inlineStr">
        <is>
          <t>بله</t>
        </is>
      </c>
    </row>
    <row r="1625">
      <c r="A1625" s="176" t="n">
        <v>46546</v>
      </c>
      <c r="B1625" s="177" t="n">
        <v>46546</v>
      </c>
      <c r="C1625" s="177" t="n">
        <v>1406</v>
      </c>
      <c r="D1625" s="177" t="n">
        <v>3</v>
      </c>
      <c r="E1625" s="178" t="inlineStr">
        <is>
          <t>1406/03/18</t>
        </is>
      </c>
      <c r="F1625" s="134" t="inlineStr">
        <is>
          <t>1406/03</t>
        </is>
      </c>
      <c r="G1625" s="61" t="inlineStr">
        <is>
          <t>خرداد</t>
        </is>
      </c>
      <c r="H1625" s="134" t="inlineStr">
        <is>
          <t>بهار</t>
        </is>
      </c>
      <c r="I1625" s="134" t="inlineStr">
        <is>
          <t>سه‌شنبه</t>
        </is>
      </c>
      <c r="J1625" s="134" t="inlineStr">
        <is>
          <t>بله</t>
        </is>
      </c>
    </row>
    <row r="1626">
      <c r="A1626" s="173" t="n">
        <v>46547</v>
      </c>
      <c r="B1626" s="174" t="n">
        <v>46547</v>
      </c>
      <c r="C1626" s="174" t="n">
        <v>1406</v>
      </c>
      <c r="D1626" s="174" t="n">
        <v>3</v>
      </c>
      <c r="E1626" s="175" t="inlineStr">
        <is>
          <t>1406/03/19</t>
        </is>
      </c>
      <c r="F1626" s="128" t="inlineStr">
        <is>
          <t>1406/03</t>
        </is>
      </c>
      <c r="G1626" s="58" t="inlineStr">
        <is>
          <t>خرداد</t>
        </is>
      </c>
      <c r="H1626" s="128" t="inlineStr">
        <is>
          <t>بهار</t>
        </is>
      </c>
      <c r="I1626" s="128" t="inlineStr">
        <is>
          <t>چهارشنبه</t>
        </is>
      </c>
      <c r="J1626" s="128" t="inlineStr">
        <is>
          <t>بله</t>
        </is>
      </c>
    </row>
    <row r="1627">
      <c r="A1627" s="176" t="n">
        <v>46548</v>
      </c>
      <c r="B1627" s="177" t="n">
        <v>46548</v>
      </c>
      <c r="C1627" s="177" t="n">
        <v>1406</v>
      </c>
      <c r="D1627" s="177" t="n">
        <v>3</v>
      </c>
      <c r="E1627" s="178" t="inlineStr">
        <is>
          <t>1406/03/20</t>
        </is>
      </c>
      <c r="F1627" s="134" t="inlineStr">
        <is>
          <t>1406/03</t>
        </is>
      </c>
      <c r="G1627" s="61" t="inlineStr">
        <is>
          <t>خرداد</t>
        </is>
      </c>
      <c r="H1627" s="134" t="inlineStr">
        <is>
          <t>بهار</t>
        </is>
      </c>
      <c r="I1627" s="134" t="inlineStr">
        <is>
          <t>پنجشنبه</t>
        </is>
      </c>
      <c r="J1627" s="134" t="inlineStr">
        <is>
          <t>بله</t>
        </is>
      </c>
    </row>
    <row r="1628">
      <c r="A1628" s="173" t="n">
        <v>46549</v>
      </c>
      <c r="B1628" s="174" t="n">
        <v>46549</v>
      </c>
      <c r="C1628" s="174" t="n">
        <v>1406</v>
      </c>
      <c r="D1628" s="174" t="n">
        <v>3</v>
      </c>
      <c r="E1628" s="175" t="inlineStr">
        <is>
          <t>1406/03/21</t>
        </is>
      </c>
      <c r="F1628" s="128" t="inlineStr">
        <is>
          <t>1406/03</t>
        </is>
      </c>
      <c r="G1628" s="58" t="inlineStr">
        <is>
          <t>خرداد</t>
        </is>
      </c>
      <c r="H1628" s="128" t="inlineStr">
        <is>
          <t>بهار</t>
        </is>
      </c>
      <c r="I1628" s="128" t="inlineStr">
        <is>
          <t>جمعه</t>
        </is>
      </c>
      <c r="J1628" s="128" t="inlineStr">
        <is>
          <t>بله</t>
        </is>
      </c>
    </row>
    <row r="1629">
      <c r="A1629" s="176" t="n">
        <v>46550</v>
      </c>
      <c r="B1629" s="177" t="n">
        <v>46550</v>
      </c>
      <c r="C1629" s="177" t="n">
        <v>1406</v>
      </c>
      <c r="D1629" s="177" t="n">
        <v>3</v>
      </c>
      <c r="E1629" s="178" t="inlineStr">
        <is>
          <t>1406/03/22</t>
        </is>
      </c>
      <c r="F1629" s="134" t="inlineStr">
        <is>
          <t>1406/03</t>
        </is>
      </c>
      <c r="G1629" s="61" t="inlineStr">
        <is>
          <t>خرداد</t>
        </is>
      </c>
      <c r="H1629" s="134" t="inlineStr">
        <is>
          <t>بهار</t>
        </is>
      </c>
      <c r="I1629" s="134" t="inlineStr">
        <is>
          <t>شنبه</t>
        </is>
      </c>
      <c r="J1629" s="134" t="inlineStr">
        <is>
          <t>خیر</t>
        </is>
      </c>
    </row>
    <row r="1630">
      <c r="A1630" s="173" t="n">
        <v>46551</v>
      </c>
      <c r="B1630" s="174" t="n">
        <v>46551</v>
      </c>
      <c r="C1630" s="174" t="n">
        <v>1406</v>
      </c>
      <c r="D1630" s="174" t="n">
        <v>3</v>
      </c>
      <c r="E1630" s="175" t="inlineStr">
        <is>
          <t>1406/03/23</t>
        </is>
      </c>
      <c r="F1630" s="128" t="inlineStr">
        <is>
          <t>1406/03</t>
        </is>
      </c>
      <c r="G1630" s="58" t="inlineStr">
        <is>
          <t>خرداد</t>
        </is>
      </c>
      <c r="H1630" s="128" t="inlineStr">
        <is>
          <t>بهار</t>
        </is>
      </c>
      <c r="I1630" s="128" t="inlineStr">
        <is>
          <t>یکشنبه</t>
        </is>
      </c>
      <c r="J1630" s="128" t="inlineStr">
        <is>
          <t>خیر</t>
        </is>
      </c>
    </row>
    <row r="1631">
      <c r="A1631" s="176" t="n">
        <v>46552</v>
      </c>
      <c r="B1631" s="177" t="n">
        <v>46552</v>
      </c>
      <c r="C1631" s="177" t="n">
        <v>1406</v>
      </c>
      <c r="D1631" s="177" t="n">
        <v>3</v>
      </c>
      <c r="E1631" s="178" t="inlineStr">
        <is>
          <t>1406/03/24</t>
        </is>
      </c>
      <c r="F1631" s="134" t="inlineStr">
        <is>
          <t>1406/03</t>
        </is>
      </c>
      <c r="G1631" s="61" t="inlineStr">
        <is>
          <t>خرداد</t>
        </is>
      </c>
      <c r="H1631" s="134" t="inlineStr">
        <is>
          <t>بهار</t>
        </is>
      </c>
      <c r="I1631" s="134" t="inlineStr">
        <is>
          <t>دوشنبه</t>
        </is>
      </c>
      <c r="J1631" s="134" t="inlineStr">
        <is>
          <t>بله</t>
        </is>
      </c>
    </row>
    <row r="1632">
      <c r="A1632" s="173" t="n">
        <v>46553</v>
      </c>
      <c r="B1632" s="174" t="n">
        <v>46553</v>
      </c>
      <c r="C1632" s="174" t="n">
        <v>1406</v>
      </c>
      <c r="D1632" s="174" t="n">
        <v>3</v>
      </c>
      <c r="E1632" s="175" t="inlineStr">
        <is>
          <t>1406/03/25</t>
        </is>
      </c>
      <c r="F1632" s="128" t="inlineStr">
        <is>
          <t>1406/03</t>
        </is>
      </c>
      <c r="G1632" s="58" t="inlineStr">
        <is>
          <t>خرداد</t>
        </is>
      </c>
      <c r="H1632" s="128" t="inlineStr">
        <is>
          <t>بهار</t>
        </is>
      </c>
      <c r="I1632" s="128" t="inlineStr">
        <is>
          <t>سه‌شنبه</t>
        </is>
      </c>
      <c r="J1632" s="128" t="inlineStr">
        <is>
          <t>بله</t>
        </is>
      </c>
    </row>
    <row r="1633">
      <c r="A1633" s="176" t="n">
        <v>46554</v>
      </c>
      <c r="B1633" s="177" t="n">
        <v>46554</v>
      </c>
      <c r="C1633" s="177" t="n">
        <v>1406</v>
      </c>
      <c r="D1633" s="177" t="n">
        <v>3</v>
      </c>
      <c r="E1633" s="178" t="inlineStr">
        <is>
          <t>1406/03/26</t>
        </is>
      </c>
      <c r="F1633" s="134" t="inlineStr">
        <is>
          <t>1406/03</t>
        </is>
      </c>
      <c r="G1633" s="61" t="inlineStr">
        <is>
          <t>خرداد</t>
        </is>
      </c>
      <c r="H1633" s="134" t="inlineStr">
        <is>
          <t>بهار</t>
        </is>
      </c>
      <c r="I1633" s="134" t="inlineStr">
        <is>
          <t>چهارشنبه</t>
        </is>
      </c>
      <c r="J1633" s="134" t="inlineStr">
        <is>
          <t>بله</t>
        </is>
      </c>
    </row>
    <row r="1634">
      <c r="A1634" s="173" t="n">
        <v>46555</v>
      </c>
      <c r="B1634" s="174" t="n">
        <v>46555</v>
      </c>
      <c r="C1634" s="174" t="n">
        <v>1406</v>
      </c>
      <c r="D1634" s="174" t="n">
        <v>3</v>
      </c>
      <c r="E1634" s="175" t="inlineStr">
        <is>
          <t>1406/03/27</t>
        </is>
      </c>
      <c r="F1634" s="128" t="inlineStr">
        <is>
          <t>1406/03</t>
        </is>
      </c>
      <c r="G1634" s="58" t="inlineStr">
        <is>
          <t>خرداد</t>
        </is>
      </c>
      <c r="H1634" s="128" t="inlineStr">
        <is>
          <t>بهار</t>
        </is>
      </c>
      <c r="I1634" s="128" t="inlineStr">
        <is>
          <t>پنجشنبه</t>
        </is>
      </c>
      <c r="J1634" s="128" t="inlineStr">
        <is>
          <t>بله</t>
        </is>
      </c>
    </row>
    <row r="1635">
      <c r="A1635" s="176" t="n">
        <v>46556</v>
      </c>
      <c r="B1635" s="177" t="n">
        <v>46556</v>
      </c>
      <c r="C1635" s="177" t="n">
        <v>1406</v>
      </c>
      <c r="D1635" s="177" t="n">
        <v>3</v>
      </c>
      <c r="E1635" s="178" t="inlineStr">
        <is>
          <t>1406/03/28</t>
        </is>
      </c>
      <c r="F1635" s="134" t="inlineStr">
        <is>
          <t>1406/03</t>
        </is>
      </c>
      <c r="G1635" s="61" t="inlineStr">
        <is>
          <t>خرداد</t>
        </is>
      </c>
      <c r="H1635" s="134" t="inlineStr">
        <is>
          <t>بهار</t>
        </is>
      </c>
      <c r="I1635" s="134" t="inlineStr">
        <is>
          <t>جمعه</t>
        </is>
      </c>
      <c r="J1635" s="134" t="inlineStr">
        <is>
          <t>بله</t>
        </is>
      </c>
    </row>
    <row r="1636">
      <c r="A1636" s="173" t="n">
        <v>46557</v>
      </c>
      <c r="B1636" s="174" t="n">
        <v>46557</v>
      </c>
      <c r="C1636" s="174" t="n">
        <v>1406</v>
      </c>
      <c r="D1636" s="174" t="n">
        <v>3</v>
      </c>
      <c r="E1636" s="175" t="inlineStr">
        <is>
          <t>1406/03/29</t>
        </is>
      </c>
      <c r="F1636" s="128" t="inlineStr">
        <is>
          <t>1406/03</t>
        </is>
      </c>
      <c r="G1636" s="58" t="inlineStr">
        <is>
          <t>خرداد</t>
        </is>
      </c>
      <c r="H1636" s="128" t="inlineStr">
        <is>
          <t>بهار</t>
        </is>
      </c>
      <c r="I1636" s="128" t="inlineStr">
        <is>
          <t>شنبه</t>
        </is>
      </c>
      <c r="J1636" s="128" t="inlineStr">
        <is>
          <t>خیر</t>
        </is>
      </c>
    </row>
    <row r="1637">
      <c r="A1637" s="176" t="n">
        <v>46558</v>
      </c>
      <c r="B1637" s="177" t="n">
        <v>46558</v>
      </c>
      <c r="C1637" s="177" t="n">
        <v>1406</v>
      </c>
      <c r="D1637" s="177" t="n">
        <v>3</v>
      </c>
      <c r="E1637" s="178" t="inlineStr">
        <is>
          <t>1406/03/30</t>
        </is>
      </c>
      <c r="F1637" s="134" t="inlineStr">
        <is>
          <t>1406/03</t>
        </is>
      </c>
      <c r="G1637" s="61" t="inlineStr">
        <is>
          <t>خرداد</t>
        </is>
      </c>
      <c r="H1637" s="134" t="inlineStr">
        <is>
          <t>بهار</t>
        </is>
      </c>
      <c r="I1637" s="134" t="inlineStr">
        <is>
          <t>یکشنبه</t>
        </is>
      </c>
      <c r="J1637" s="134" t="inlineStr">
        <is>
          <t>خیر</t>
        </is>
      </c>
    </row>
    <row r="1638">
      <c r="A1638" s="173" t="n">
        <v>46559</v>
      </c>
      <c r="B1638" s="174" t="n">
        <v>46559</v>
      </c>
      <c r="C1638" s="174" t="n">
        <v>1406</v>
      </c>
      <c r="D1638" s="174" t="n">
        <v>3</v>
      </c>
      <c r="E1638" s="175" t="inlineStr">
        <is>
          <t>1406/03/31</t>
        </is>
      </c>
      <c r="F1638" s="128" t="inlineStr">
        <is>
          <t>1406/03</t>
        </is>
      </c>
      <c r="G1638" s="58" t="inlineStr">
        <is>
          <t>خرداد</t>
        </is>
      </c>
      <c r="H1638" s="128" t="inlineStr">
        <is>
          <t>بهار</t>
        </is>
      </c>
      <c r="I1638" s="128" t="inlineStr">
        <is>
          <t>دوشنبه</t>
        </is>
      </c>
      <c r="J1638" s="128" t="inlineStr">
        <is>
          <t>بله</t>
        </is>
      </c>
    </row>
    <row r="1639">
      <c r="A1639" s="176" t="n">
        <v>46560</v>
      </c>
      <c r="B1639" s="177" t="n">
        <v>46560</v>
      </c>
      <c r="C1639" s="177" t="n">
        <v>1406</v>
      </c>
      <c r="D1639" s="177" t="n">
        <v>4</v>
      </c>
      <c r="E1639" s="178" t="inlineStr">
        <is>
          <t>1406/04/01</t>
        </is>
      </c>
      <c r="F1639" s="134" t="inlineStr">
        <is>
          <t>1406/04</t>
        </is>
      </c>
      <c r="G1639" s="61" t="inlineStr">
        <is>
          <t>تیر</t>
        </is>
      </c>
      <c r="H1639" s="134" t="inlineStr">
        <is>
          <t>تابستان</t>
        </is>
      </c>
      <c r="I1639" s="134" t="inlineStr">
        <is>
          <t>سه‌شنبه</t>
        </is>
      </c>
      <c r="J1639" s="134" t="inlineStr">
        <is>
          <t>بله</t>
        </is>
      </c>
    </row>
    <row r="1640">
      <c r="A1640" s="173" t="n">
        <v>46561</v>
      </c>
      <c r="B1640" s="174" t="n">
        <v>46561</v>
      </c>
      <c r="C1640" s="174" t="n">
        <v>1406</v>
      </c>
      <c r="D1640" s="174" t="n">
        <v>4</v>
      </c>
      <c r="E1640" s="175" t="inlineStr">
        <is>
          <t>1406/04/02</t>
        </is>
      </c>
      <c r="F1640" s="128" t="inlineStr">
        <is>
          <t>1406/04</t>
        </is>
      </c>
      <c r="G1640" s="58" t="inlineStr">
        <is>
          <t>تیر</t>
        </is>
      </c>
      <c r="H1640" s="128" t="inlineStr">
        <is>
          <t>تابستان</t>
        </is>
      </c>
      <c r="I1640" s="128" t="inlineStr">
        <is>
          <t>چهارشنبه</t>
        </is>
      </c>
      <c r="J1640" s="128" t="inlineStr">
        <is>
          <t>بله</t>
        </is>
      </c>
    </row>
    <row r="1641">
      <c r="A1641" s="176" t="n">
        <v>46562</v>
      </c>
      <c r="B1641" s="177" t="n">
        <v>46562</v>
      </c>
      <c r="C1641" s="177" t="n">
        <v>1406</v>
      </c>
      <c r="D1641" s="177" t="n">
        <v>4</v>
      </c>
      <c r="E1641" s="178" t="inlineStr">
        <is>
          <t>1406/04/03</t>
        </is>
      </c>
      <c r="F1641" s="134" t="inlineStr">
        <is>
          <t>1406/04</t>
        </is>
      </c>
      <c r="G1641" s="61" t="inlineStr">
        <is>
          <t>تیر</t>
        </is>
      </c>
      <c r="H1641" s="134" t="inlineStr">
        <is>
          <t>تابستان</t>
        </is>
      </c>
      <c r="I1641" s="134" t="inlineStr">
        <is>
          <t>پنجشنبه</t>
        </is>
      </c>
      <c r="J1641" s="134" t="inlineStr">
        <is>
          <t>بله</t>
        </is>
      </c>
    </row>
    <row r="1642">
      <c r="A1642" s="173" t="n">
        <v>46563</v>
      </c>
      <c r="B1642" s="174" t="n">
        <v>46563</v>
      </c>
      <c r="C1642" s="174" t="n">
        <v>1406</v>
      </c>
      <c r="D1642" s="174" t="n">
        <v>4</v>
      </c>
      <c r="E1642" s="175" t="inlineStr">
        <is>
          <t>1406/04/04</t>
        </is>
      </c>
      <c r="F1642" s="128" t="inlineStr">
        <is>
          <t>1406/04</t>
        </is>
      </c>
      <c r="G1642" s="58" t="inlineStr">
        <is>
          <t>تیر</t>
        </is>
      </c>
      <c r="H1642" s="128" t="inlineStr">
        <is>
          <t>تابستان</t>
        </is>
      </c>
      <c r="I1642" s="128" t="inlineStr">
        <is>
          <t>جمعه</t>
        </is>
      </c>
      <c r="J1642" s="128" t="inlineStr">
        <is>
          <t>بله</t>
        </is>
      </c>
    </row>
    <row r="1643">
      <c r="A1643" s="176" t="n">
        <v>46564</v>
      </c>
      <c r="B1643" s="177" t="n">
        <v>46564</v>
      </c>
      <c r="C1643" s="177" t="n">
        <v>1406</v>
      </c>
      <c r="D1643" s="177" t="n">
        <v>4</v>
      </c>
      <c r="E1643" s="178" t="inlineStr">
        <is>
          <t>1406/04/05</t>
        </is>
      </c>
      <c r="F1643" s="134" t="inlineStr">
        <is>
          <t>1406/04</t>
        </is>
      </c>
      <c r="G1643" s="61" t="inlineStr">
        <is>
          <t>تیر</t>
        </is>
      </c>
      <c r="H1643" s="134" t="inlineStr">
        <is>
          <t>تابستان</t>
        </is>
      </c>
      <c r="I1643" s="134" t="inlineStr">
        <is>
          <t>شنبه</t>
        </is>
      </c>
      <c r="J1643" s="134" t="inlineStr">
        <is>
          <t>خیر</t>
        </is>
      </c>
    </row>
    <row r="1644">
      <c r="A1644" s="173" t="n">
        <v>46565</v>
      </c>
      <c r="B1644" s="174" t="n">
        <v>46565</v>
      </c>
      <c r="C1644" s="174" t="n">
        <v>1406</v>
      </c>
      <c r="D1644" s="174" t="n">
        <v>4</v>
      </c>
      <c r="E1644" s="175" t="inlineStr">
        <is>
          <t>1406/04/06</t>
        </is>
      </c>
      <c r="F1644" s="128" t="inlineStr">
        <is>
          <t>1406/04</t>
        </is>
      </c>
      <c r="G1644" s="58" t="inlineStr">
        <is>
          <t>تیر</t>
        </is>
      </c>
      <c r="H1644" s="128" t="inlineStr">
        <is>
          <t>تابستان</t>
        </is>
      </c>
      <c r="I1644" s="128" t="inlineStr">
        <is>
          <t>یکشنبه</t>
        </is>
      </c>
      <c r="J1644" s="128" t="inlineStr">
        <is>
          <t>خیر</t>
        </is>
      </c>
    </row>
    <row r="1645">
      <c r="A1645" s="176" t="n">
        <v>46566</v>
      </c>
      <c r="B1645" s="177" t="n">
        <v>46566</v>
      </c>
      <c r="C1645" s="177" t="n">
        <v>1406</v>
      </c>
      <c r="D1645" s="177" t="n">
        <v>4</v>
      </c>
      <c r="E1645" s="178" t="inlineStr">
        <is>
          <t>1406/04/07</t>
        </is>
      </c>
      <c r="F1645" s="134" t="inlineStr">
        <is>
          <t>1406/04</t>
        </is>
      </c>
      <c r="G1645" s="61" t="inlineStr">
        <is>
          <t>تیر</t>
        </is>
      </c>
      <c r="H1645" s="134" t="inlineStr">
        <is>
          <t>تابستان</t>
        </is>
      </c>
      <c r="I1645" s="134" t="inlineStr">
        <is>
          <t>دوشنبه</t>
        </is>
      </c>
      <c r="J1645" s="134" t="inlineStr">
        <is>
          <t>بله</t>
        </is>
      </c>
    </row>
    <row r="1646">
      <c r="A1646" s="173" t="n">
        <v>46567</v>
      </c>
      <c r="B1646" s="174" t="n">
        <v>46567</v>
      </c>
      <c r="C1646" s="174" t="n">
        <v>1406</v>
      </c>
      <c r="D1646" s="174" t="n">
        <v>4</v>
      </c>
      <c r="E1646" s="175" t="inlineStr">
        <is>
          <t>1406/04/08</t>
        </is>
      </c>
      <c r="F1646" s="128" t="inlineStr">
        <is>
          <t>1406/04</t>
        </is>
      </c>
      <c r="G1646" s="58" t="inlineStr">
        <is>
          <t>تیر</t>
        </is>
      </c>
      <c r="H1646" s="128" t="inlineStr">
        <is>
          <t>تابستان</t>
        </is>
      </c>
      <c r="I1646" s="128" t="inlineStr">
        <is>
          <t>سه‌شنبه</t>
        </is>
      </c>
      <c r="J1646" s="128" t="inlineStr">
        <is>
          <t>بله</t>
        </is>
      </c>
    </row>
    <row r="1647">
      <c r="A1647" s="176" t="n">
        <v>46568</v>
      </c>
      <c r="B1647" s="177" t="n">
        <v>46568</v>
      </c>
      <c r="C1647" s="177" t="n">
        <v>1406</v>
      </c>
      <c r="D1647" s="177" t="n">
        <v>4</v>
      </c>
      <c r="E1647" s="178" t="inlineStr">
        <is>
          <t>1406/04/09</t>
        </is>
      </c>
      <c r="F1647" s="134" t="inlineStr">
        <is>
          <t>1406/04</t>
        </is>
      </c>
      <c r="G1647" s="61" t="inlineStr">
        <is>
          <t>تیر</t>
        </is>
      </c>
      <c r="H1647" s="134" t="inlineStr">
        <is>
          <t>تابستان</t>
        </is>
      </c>
      <c r="I1647" s="134" t="inlineStr">
        <is>
          <t>چهارشنبه</t>
        </is>
      </c>
      <c r="J1647" s="134" t="inlineStr">
        <is>
          <t>بله</t>
        </is>
      </c>
    </row>
    <row r="1648">
      <c r="A1648" s="173" t="n">
        <v>46569</v>
      </c>
      <c r="B1648" s="174" t="n">
        <v>46569</v>
      </c>
      <c r="C1648" s="174" t="n">
        <v>1406</v>
      </c>
      <c r="D1648" s="174" t="n">
        <v>4</v>
      </c>
      <c r="E1648" s="175" t="inlineStr">
        <is>
          <t>1406/04/10</t>
        </is>
      </c>
      <c r="F1648" s="128" t="inlineStr">
        <is>
          <t>1406/04</t>
        </is>
      </c>
      <c r="G1648" s="58" t="inlineStr">
        <is>
          <t>تیر</t>
        </is>
      </c>
      <c r="H1648" s="128" t="inlineStr">
        <is>
          <t>تابستان</t>
        </is>
      </c>
      <c r="I1648" s="128" t="inlineStr">
        <is>
          <t>پنجشنبه</t>
        </is>
      </c>
      <c r="J1648" s="128" t="inlineStr">
        <is>
          <t>بله</t>
        </is>
      </c>
    </row>
    <row r="1649">
      <c r="A1649" s="176" t="n">
        <v>46570</v>
      </c>
      <c r="B1649" s="177" t="n">
        <v>46570</v>
      </c>
      <c r="C1649" s="177" t="n">
        <v>1406</v>
      </c>
      <c r="D1649" s="177" t="n">
        <v>4</v>
      </c>
      <c r="E1649" s="178" t="inlineStr">
        <is>
          <t>1406/04/11</t>
        </is>
      </c>
      <c r="F1649" s="134" t="inlineStr">
        <is>
          <t>1406/04</t>
        </is>
      </c>
      <c r="G1649" s="61" t="inlineStr">
        <is>
          <t>تیر</t>
        </is>
      </c>
      <c r="H1649" s="134" t="inlineStr">
        <is>
          <t>تابستان</t>
        </is>
      </c>
      <c r="I1649" s="134" t="inlineStr">
        <is>
          <t>جمعه</t>
        </is>
      </c>
      <c r="J1649" s="134" t="inlineStr">
        <is>
          <t>بله</t>
        </is>
      </c>
    </row>
    <row r="1650">
      <c r="A1650" s="173" t="n">
        <v>46571</v>
      </c>
      <c r="B1650" s="174" t="n">
        <v>46571</v>
      </c>
      <c r="C1650" s="174" t="n">
        <v>1406</v>
      </c>
      <c r="D1650" s="174" t="n">
        <v>4</v>
      </c>
      <c r="E1650" s="175" t="inlineStr">
        <is>
          <t>1406/04/12</t>
        </is>
      </c>
      <c r="F1650" s="128" t="inlineStr">
        <is>
          <t>1406/04</t>
        </is>
      </c>
      <c r="G1650" s="58" t="inlineStr">
        <is>
          <t>تیر</t>
        </is>
      </c>
      <c r="H1650" s="128" t="inlineStr">
        <is>
          <t>تابستان</t>
        </is>
      </c>
      <c r="I1650" s="128" t="inlineStr">
        <is>
          <t>شنبه</t>
        </is>
      </c>
      <c r="J1650" s="128" t="inlineStr">
        <is>
          <t>خیر</t>
        </is>
      </c>
    </row>
    <row r="1651">
      <c r="A1651" s="176" t="n">
        <v>46572</v>
      </c>
      <c r="B1651" s="177" t="n">
        <v>46572</v>
      </c>
      <c r="C1651" s="177" t="n">
        <v>1406</v>
      </c>
      <c r="D1651" s="177" t="n">
        <v>4</v>
      </c>
      <c r="E1651" s="178" t="inlineStr">
        <is>
          <t>1406/04/13</t>
        </is>
      </c>
      <c r="F1651" s="134" t="inlineStr">
        <is>
          <t>1406/04</t>
        </is>
      </c>
      <c r="G1651" s="61" t="inlineStr">
        <is>
          <t>تیر</t>
        </is>
      </c>
      <c r="H1651" s="134" t="inlineStr">
        <is>
          <t>تابستان</t>
        </is>
      </c>
      <c r="I1651" s="134" t="inlineStr">
        <is>
          <t>یکشنبه</t>
        </is>
      </c>
      <c r="J1651" s="134" t="inlineStr">
        <is>
          <t>خیر</t>
        </is>
      </c>
    </row>
    <row r="1652">
      <c r="A1652" s="173" t="n">
        <v>46573</v>
      </c>
      <c r="B1652" s="174" t="n">
        <v>46573</v>
      </c>
      <c r="C1652" s="174" t="n">
        <v>1406</v>
      </c>
      <c r="D1652" s="174" t="n">
        <v>4</v>
      </c>
      <c r="E1652" s="175" t="inlineStr">
        <is>
          <t>1406/04/14</t>
        </is>
      </c>
      <c r="F1652" s="128" t="inlineStr">
        <is>
          <t>1406/04</t>
        </is>
      </c>
      <c r="G1652" s="58" t="inlineStr">
        <is>
          <t>تیر</t>
        </is>
      </c>
      <c r="H1652" s="128" t="inlineStr">
        <is>
          <t>تابستان</t>
        </is>
      </c>
      <c r="I1652" s="128" t="inlineStr">
        <is>
          <t>دوشنبه</t>
        </is>
      </c>
      <c r="J1652" s="128" t="inlineStr">
        <is>
          <t>بله</t>
        </is>
      </c>
    </row>
    <row r="1653">
      <c r="A1653" s="176" t="n">
        <v>46574</v>
      </c>
      <c r="B1653" s="177" t="n">
        <v>46574</v>
      </c>
      <c r="C1653" s="177" t="n">
        <v>1406</v>
      </c>
      <c r="D1653" s="177" t="n">
        <v>4</v>
      </c>
      <c r="E1653" s="178" t="inlineStr">
        <is>
          <t>1406/04/15</t>
        </is>
      </c>
      <c r="F1653" s="134" t="inlineStr">
        <is>
          <t>1406/04</t>
        </is>
      </c>
      <c r="G1653" s="61" t="inlineStr">
        <is>
          <t>تیر</t>
        </is>
      </c>
      <c r="H1653" s="134" t="inlineStr">
        <is>
          <t>تابستان</t>
        </is>
      </c>
      <c r="I1653" s="134" t="inlineStr">
        <is>
          <t>سه‌شنبه</t>
        </is>
      </c>
      <c r="J1653" s="134" t="inlineStr">
        <is>
          <t>بله</t>
        </is>
      </c>
    </row>
    <row r="1654">
      <c r="A1654" s="173" t="n">
        <v>46575</v>
      </c>
      <c r="B1654" s="174" t="n">
        <v>46575</v>
      </c>
      <c r="C1654" s="174" t="n">
        <v>1406</v>
      </c>
      <c r="D1654" s="174" t="n">
        <v>4</v>
      </c>
      <c r="E1654" s="175" t="inlineStr">
        <is>
          <t>1406/04/16</t>
        </is>
      </c>
      <c r="F1654" s="128" t="inlineStr">
        <is>
          <t>1406/04</t>
        </is>
      </c>
      <c r="G1654" s="58" t="inlineStr">
        <is>
          <t>تیر</t>
        </is>
      </c>
      <c r="H1654" s="128" t="inlineStr">
        <is>
          <t>تابستان</t>
        </is>
      </c>
      <c r="I1654" s="128" t="inlineStr">
        <is>
          <t>چهارشنبه</t>
        </is>
      </c>
      <c r="J1654" s="128" t="inlineStr">
        <is>
          <t>بله</t>
        </is>
      </c>
    </row>
    <row r="1655">
      <c r="A1655" s="176" t="n">
        <v>46576</v>
      </c>
      <c r="B1655" s="177" t="n">
        <v>46576</v>
      </c>
      <c r="C1655" s="177" t="n">
        <v>1406</v>
      </c>
      <c r="D1655" s="177" t="n">
        <v>4</v>
      </c>
      <c r="E1655" s="178" t="inlineStr">
        <is>
          <t>1406/04/17</t>
        </is>
      </c>
      <c r="F1655" s="134" t="inlineStr">
        <is>
          <t>1406/04</t>
        </is>
      </c>
      <c r="G1655" s="61" t="inlineStr">
        <is>
          <t>تیر</t>
        </is>
      </c>
      <c r="H1655" s="134" t="inlineStr">
        <is>
          <t>تابستان</t>
        </is>
      </c>
      <c r="I1655" s="134" t="inlineStr">
        <is>
          <t>پنجشنبه</t>
        </is>
      </c>
      <c r="J1655" s="134" t="inlineStr">
        <is>
          <t>بله</t>
        </is>
      </c>
    </row>
    <row r="1656">
      <c r="A1656" s="173" t="n">
        <v>46577</v>
      </c>
      <c r="B1656" s="174" t="n">
        <v>46577</v>
      </c>
      <c r="C1656" s="174" t="n">
        <v>1406</v>
      </c>
      <c r="D1656" s="174" t="n">
        <v>4</v>
      </c>
      <c r="E1656" s="175" t="inlineStr">
        <is>
          <t>1406/04/18</t>
        </is>
      </c>
      <c r="F1656" s="128" t="inlineStr">
        <is>
          <t>1406/04</t>
        </is>
      </c>
      <c r="G1656" s="58" t="inlineStr">
        <is>
          <t>تیر</t>
        </is>
      </c>
      <c r="H1656" s="128" t="inlineStr">
        <is>
          <t>تابستان</t>
        </is>
      </c>
      <c r="I1656" s="128" t="inlineStr">
        <is>
          <t>جمعه</t>
        </is>
      </c>
      <c r="J1656" s="128" t="inlineStr">
        <is>
          <t>بله</t>
        </is>
      </c>
    </row>
    <row r="1657">
      <c r="A1657" s="176" t="n">
        <v>46578</v>
      </c>
      <c r="B1657" s="177" t="n">
        <v>46578</v>
      </c>
      <c r="C1657" s="177" t="n">
        <v>1406</v>
      </c>
      <c r="D1657" s="177" t="n">
        <v>4</v>
      </c>
      <c r="E1657" s="178" t="inlineStr">
        <is>
          <t>1406/04/19</t>
        </is>
      </c>
      <c r="F1657" s="134" t="inlineStr">
        <is>
          <t>1406/04</t>
        </is>
      </c>
      <c r="G1657" s="61" t="inlineStr">
        <is>
          <t>تیر</t>
        </is>
      </c>
      <c r="H1657" s="134" t="inlineStr">
        <is>
          <t>تابستان</t>
        </is>
      </c>
      <c r="I1657" s="134" t="inlineStr">
        <is>
          <t>شنبه</t>
        </is>
      </c>
      <c r="J1657" s="134" t="inlineStr">
        <is>
          <t>خیر</t>
        </is>
      </c>
    </row>
    <row r="1658">
      <c r="A1658" s="173" t="n">
        <v>46579</v>
      </c>
      <c r="B1658" s="174" t="n">
        <v>46579</v>
      </c>
      <c r="C1658" s="174" t="n">
        <v>1406</v>
      </c>
      <c r="D1658" s="174" t="n">
        <v>4</v>
      </c>
      <c r="E1658" s="175" t="inlineStr">
        <is>
          <t>1406/04/20</t>
        </is>
      </c>
      <c r="F1658" s="128" t="inlineStr">
        <is>
          <t>1406/04</t>
        </is>
      </c>
      <c r="G1658" s="58" t="inlineStr">
        <is>
          <t>تیر</t>
        </is>
      </c>
      <c r="H1658" s="128" t="inlineStr">
        <is>
          <t>تابستان</t>
        </is>
      </c>
      <c r="I1658" s="128" t="inlineStr">
        <is>
          <t>یکشنبه</t>
        </is>
      </c>
      <c r="J1658" s="128" t="inlineStr">
        <is>
          <t>خیر</t>
        </is>
      </c>
    </row>
    <row r="1659">
      <c r="A1659" s="176" t="n">
        <v>46580</v>
      </c>
      <c r="B1659" s="177" t="n">
        <v>46580</v>
      </c>
      <c r="C1659" s="177" t="n">
        <v>1406</v>
      </c>
      <c r="D1659" s="177" t="n">
        <v>4</v>
      </c>
      <c r="E1659" s="178" t="inlineStr">
        <is>
          <t>1406/04/21</t>
        </is>
      </c>
      <c r="F1659" s="134" t="inlineStr">
        <is>
          <t>1406/04</t>
        </is>
      </c>
      <c r="G1659" s="61" t="inlineStr">
        <is>
          <t>تیر</t>
        </is>
      </c>
      <c r="H1659" s="134" t="inlineStr">
        <is>
          <t>تابستان</t>
        </is>
      </c>
      <c r="I1659" s="134" t="inlineStr">
        <is>
          <t>دوشنبه</t>
        </is>
      </c>
      <c r="J1659" s="134" t="inlineStr">
        <is>
          <t>بله</t>
        </is>
      </c>
    </row>
    <row r="1660">
      <c r="A1660" s="173" t="n">
        <v>46581</v>
      </c>
      <c r="B1660" s="174" t="n">
        <v>46581</v>
      </c>
      <c r="C1660" s="174" t="n">
        <v>1406</v>
      </c>
      <c r="D1660" s="174" t="n">
        <v>4</v>
      </c>
      <c r="E1660" s="175" t="inlineStr">
        <is>
          <t>1406/04/22</t>
        </is>
      </c>
      <c r="F1660" s="128" t="inlineStr">
        <is>
          <t>1406/04</t>
        </is>
      </c>
      <c r="G1660" s="58" t="inlineStr">
        <is>
          <t>تیر</t>
        </is>
      </c>
      <c r="H1660" s="128" t="inlineStr">
        <is>
          <t>تابستان</t>
        </is>
      </c>
      <c r="I1660" s="128" t="inlineStr">
        <is>
          <t>سه‌شنبه</t>
        </is>
      </c>
      <c r="J1660" s="128" t="inlineStr">
        <is>
          <t>بله</t>
        </is>
      </c>
    </row>
    <row r="1661">
      <c r="A1661" s="176" t="n">
        <v>46582</v>
      </c>
      <c r="B1661" s="177" t="n">
        <v>46582</v>
      </c>
      <c r="C1661" s="177" t="n">
        <v>1406</v>
      </c>
      <c r="D1661" s="177" t="n">
        <v>4</v>
      </c>
      <c r="E1661" s="178" t="inlineStr">
        <is>
          <t>1406/04/23</t>
        </is>
      </c>
      <c r="F1661" s="134" t="inlineStr">
        <is>
          <t>1406/04</t>
        </is>
      </c>
      <c r="G1661" s="61" t="inlineStr">
        <is>
          <t>تیر</t>
        </is>
      </c>
      <c r="H1661" s="134" t="inlineStr">
        <is>
          <t>تابستان</t>
        </is>
      </c>
      <c r="I1661" s="134" t="inlineStr">
        <is>
          <t>چهارشنبه</t>
        </is>
      </c>
      <c r="J1661" s="134" t="inlineStr">
        <is>
          <t>بله</t>
        </is>
      </c>
    </row>
    <row r="1662">
      <c r="A1662" s="173" t="n">
        <v>46583</v>
      </c>
      <c r="B1662" s="174" t="n">
        <v>46583</v>
      </c>
      <c r="C1662" s="174" t="n">
        <v>1406</v>
      </c>
      <c r="D1662" s="174" t="n">
        <v>4</v>
      </c>
      <c r="E1662" s="175" t="inlineStr">
        <is>
          <t>1406/04/24</t>
        </is>
      </c>
      <c r="F1662" s="128" t="inlineStr">
        <is>
          <t>1406/04</t>
        </is>
      </c>
      <c r="G1662" s="58" t="inlineStr">
        <is>
          <t>تیر</t>
        </is>
      </c>
      <c r="H1662" s="128" t="inlineStr">
        <is>
          <t>تابستان</t>
        </is>
      </c>
      <c r="I1662" s="128" t="inlineStr">
        <is>
          <t>پنجشنبه</t>
        </is>
      </c>
      <c r="J1662" s="128" t="inlineStr">
        <is>
          <t>بله</t>
        </is>
      </c>
    </row>
    <row r="1663">
      <c r="A1663" s="176" t="n">
        <v>46584</v>
      </c>
      <c r="B1663" s="177" t="n">
        <v>46584</v>
      </c>
      <c r="C1663" s="177" t="n">
        <v>1406</v>
      </c>
      <c r="D1663" s="177" t="n">
        <v>4</v>
      </c>
      <c r="E1663" s="178" t="inlineStr">
        <is>
          <t>1406/04/25</t>
        </is>
      </c>
      <c r="F1663" s="134" t="inlineStr">
        <is>
          <t>1406/04</t>
        </is>
      </c>
      <c r="G1663" s="61" t="inlineStr">
        <is>
          <t>تیر</t>
        </is>
      </c>
      <c r="H1663" s="134" t="inlineStr">
        <is>
          <t>تابستان</t>
        </is>
      </c>
      <c r="I1663" s="134" t="inlineStr">
        <is>
          <t>جمعه</t>
        </is>
      </c>
      <c r="J1663" s="134" t="inlineStr">
        <is>
          <t>بله</t>
        </is>
      </c>
    </row>
    <row r="1664">
      <c r="A1664" s="173" t="n">
        <v>46585</v>
      </c>
      <c r="B1664" s="174" t="n">
        <v>46585</v>
      </c>
      <c r="C1664" s="174" t="n">
        <v>1406</v>
      </c>
      <c r="D1664" s="174" t="n">
        <v>4</v>
      </c>
      <c r="E1664" s="175" t="inlineStr">
        <is>
          <t>1406/04/26</t>
        </is>
      </c>
      <c r="F1664" s="128" t="inlineStr">
        <is>
          <t>1406/04</t>
        </is>
      </c>
      <c r="G1664" s="58" t="inlineStr">
        <is>
          <t>تیر</t>
        </is>
      </c>
      <c r="H1664" s="128" t="inlineStr">
        <is>
          <t>تابستان</t>
        </is>
      </c>
      <c r="I1664" s="128" t="inlineStr">
        <is>
          <t>شنبه</t>
        </is>
      </c>
      <c r="J1664" s="128" t="inlineStr">
        <is>
          <t>خیر</t>
        </is>
      </c>
    </row>
    <row r="1665">
      <c r="A1665" s="176" t="n">
        <v>46586</v>
      </c>
      <c r="B1665" s="177" t="n">
        <v>46586</v>
      </c>
      <c r="C1665" s="177" t="n">
        <v>1406</v>
      </c>
      <c r="D1665" s="177" t="n">
        <v>4</v>
      </c>
      <c r="E1665" s="178" t="inlineStr">
        <is>
          <t>1406/04/27</t>
        </is>
      </c>
      <c r="F1665" s="134" t="inlineStr">
        <is>
          <t>1406/04</t>
        </is>
      </c>
      <c r="G1665" s="61" t="inlineStr">
        <is>
          <t>تیر</t>
        </is>
      </c>
      <c r="H1665" s="134" t="inlineStr">
        <is>
          <t>تابستان</t>
        </is>
      </c>
      <c r="I1665" s="134" t="inlineStr">
        <is>
          <t>یکشنبه</t>
        </is>
      </c>
      <c r="J1665" s="134" t="inlineStr">
        <is>
          <t>خیر</t>
        </is>
      </c>
    </row>
    <row r="1666">
      <c r="A1666" s="173" t="n">
        <v>46587</v>
      </c>
      <c r="B1666" s="174" t="n">
        <v>46587</v>
      </c>
      <c r="C1666" s="174" t="n">
        <v>1406</v>
      </c>
      <c r="D1666" s="174" t="n">
        <v>4</v>
      </c>
      <c r="E1666" s="175" t="inlineStr">
        <is>
          <t>1406/04/28</t>
        </is>
      </c>
      <c r="F1666" s="128" t="inlineStr">
        <is>
          <t>1406/04</t>
        </is>
      </c>
      <c r="G1666" s="58" t="inlineStr">
        <is>
          <t>تیر</t>
        </is>
      </c>
      <c r="H1666" s="128" t="inlineStr">
        <is>
          <t>تابستان</t>
        </is>
      </c>
      <c r="I1666" s="128" t="inlineStr">
        <is>
          <t>دوشنبه</t>
        </is>
      </c>
      <c r="J1666" s="128" t="inlineStr">
        <is>
          <t>بله</t>
        </is>
      </c>
    </row>
    <row r="1667">
      <c r="A1667" s="176" t="n">
        <v>46588</v>
      </c>
      <c r="B1667" s="177" t="n">
        <v>46588</v>
      </c>
      <c r="C1667" s="177" t="n">
        <v>1406</v>
      </c>
      <c r="D1667" s="177" t="n">
        <v>4</v>
      </c>
      <c r="E1667" s="178" t="inlineStr">
        <is>
          <t>1406/04/29</t>
        </is>
      </c>
      <c r="F1667" s="134" t="inlineStr">
        <is>
          <t>1406/04</t>
        </is>
      </c>
      <c r="G1667" s="61" t="inlineStr">
        <is>
          <t>تیر</t>
        </is>
      </c>
      <c r="H1667" s="134" t="inlineStr">
        <is>
          <t>تابستان</t>
        </is>
      </c>
      <c r="I1667" s="134" t="inlineStr">
        <is>
          <t>سه‌شنبه</t>
        </is>
      </c>
      <c r="J1667" s="134" t="inlineStr">
        <is>
          <t>بله</t>
        </is>
      </c>
    </row>
    <row r="1668">
      <c r="A1668" s="173" t="n">
        <v>46589</v>
      </c>
      <c r="B1668" s="174" t="n">
        <v>46589</v>
      </c>
      <c r="C1668" s="174" t="n">
        <v>1406</v>
      </c>
      <c r="D1668" s="174" t="n">
        <v>4</v>
      </c>
      <c r="E1668" s="175" t="inlineStr">
        <is>
          <t>1406/04/30</t>
        </is>
      </c>
      <c r="F1668" s="128" t="inlineStr">
        <is>
          <t>1406/04</t>
        </is>
      </c>
      <c r="G1668" s="58" t="inlineStr">
        <is>
          <t>تیر</t>
        </is>
      </c>
      <c r="H1668" s="128" t="inlineStr">
        <is>
          <t>تابستان</t>
        </is>
      </c>
      <c r="I1668" s="128" t="inlineStr">
        <is>
          <t>چهارشنبه</t>
        </is>
      </c>
      <c r="J1668" s="128" t="inlineStr">
        <is>
          <t>بله</t>
        </is>
      </c>
    </row>
    <row r="1669">
      <c r="A1669" s="176" t="n">
        <v>46590</v>
      </c>
      <c r="B1669" s="177" t="n">
        <v>46590</v>
      </c>
      <c r="C1669" s="177" t="n">
        <v>1406</v>
      </c>
      <c r="D1669" s="177" t="n">
        <v>4</v>
      </c>
      <c r="E1669" s="178" t="inlineStr">
        <is>
          <t>1406/04/31</t>
        </is>
      </c>
      <c r="F1669" s="134" t="inlineStr">
        <is>
          <t>1406/04</t>
        </is>
      </c>
      <c r="G1669" s="61" t="inlineStr">
        <is>
          <t>تیر</t>
        </is>
      </c>
      <c r="H1669" s="134" t="inlineStr">
        <is>
          <t>تابستان</t>
        </is>
      </c>
      <c r="I1669" s="134" t="inlineStr">
        <is>
          <t>پنجشنبه</t>
        </is>
      </c>
      <c r="J1669" s="134" t="inlineStr">
        <is>
          <t>بله</t>
        </is>
      </c>
    </row>
    <row r="1670">
      <c r="A1670" s="173" t="n">
        <v>46591</v>
      </c>
      <c r="B1670" s="174" t="n">
        <v>46591</v>
      </c>
      <c r="C1670" s="174" t="n">
        <v>1406</v>
      </c>
      <c r="D1670" s="174" t="n">
        <v>5</v>
      </c>
      <c r="E1670" s="175" t="inlineStr">
        <is>
          <t>1406/05/01</t>
        </is>
      </c>
      <c r="F1670" s="128" t="inlineStr">
        <is>
          <t>1406/05</t>
        </is>
      </c>
      <c r="G1670" s="58" t="inlineStr">
        <is>
          <t>مرداد</t>
        </is>
      </c>
      <c r="H1670" s="128" t="inlineStr">
        <is>
          <t>تابستان</t>
        </is>
      </c>
      <c r="I1670" s="128" t="inlineStr">
        <is>
          <t>جمعه</t>
        </is>
      </c>
      <c r="J1670" s="128" t="inlineStr">
        <is>
          <t>بله</t>
        </is>
      </c>
    </row>
    <row r="1671">
      <c r="A1671" s="176" t="n">
        <v>46592</v>
      </c>
      <c r="B1671" s="177" t="n">
        <v>46592</v>
      </c>
      <c r="C1671" s="177" t="n">
        <v>1406</v>
      </c>
      <c r="D1671" s="177" t="n">
        <v>5</v>
      </c>
      <c r="E1671" s="178" t="inlineStr">
        <is>
          <t>1406/05/02</t>
        </is>
      </c>
      <c r="F1671" s="134" t="inlineStr">
        <is>
          <t>1406/05</t>
        </is>
      </c>
      <c r="G1671" s="61" t="inlineStr">
        <is>
          <t>مرداد</t>
        </is>
      </c>
      <c r="H1671" s="134" t="inlineStr">
        <is>
          <t>تابستان</t>
        </is>
      </c>
      <c r="I1671" s="134" t="inlineStr">
        <is>
          <t>شنبه</t>
        </is>
      </c>
      <c r="J1671" s="134" t="inlineStr">
        <is>
          <t>خیر</t>
        </is>
      </c>
    </row>
    <row r="1672">
      <c r="A1672" s="173" t="n">
        <v>46593</v>
      </c>
      <c r="B1672" s="174" t="n">
        <v>46593</v>
      </c>
      <c r="C1672" s="174" t="n">
        <v>1406</v>
      </c>
      <c r="D1672" s="174" t="n">
        <v>5</v>
      </c>
      <c r="E1672" s="175" t="inlineStr">
        <is>
          <t>1406/05/03</t>
        </is>
      </c>
      <c r="F1672" s="128" t="inlineStr">
        <is>
          <t>1406/05</t>
        </is>
      </c>
      <c r="G1672" s="58" t="inlineStr">
        <is>
          <t>مرداد</t>
        </is>
      </c>
      <c r="H1672" s="128" t="inlineStr">
        <is>
          <t>تابستان</t>
        </is>
      </c>
      <c r="I1672" s="128" t="inlineStr">
        <is>
          <t>یکشنبه</t>
        </is>
      </c>
      <c r="J1672" s="128" t="inlineStr">
        <is>
          <t>خیر</t>
        </is>
      </c>
    </row>
    <row r="1673">
      <c r="A1673" s="176" t="n">
        <v>46594</v>
      </c>
      <c r="B1673" s="177" t="n">
        <v>46594</v>
      </c>
      <c r="C1673" s="177" t="n">
        <v>1406</v>
      </c>
      <c r="D1673" s="177" t="n">
        <v>5</v>
      </c>
      <c r="E1673" s="178" t="inlineStr">
        <is>
          <t>1406/05/04</t>
        </is>
      </c>
      <c r="F1673" s="134" t="inlineStr">
        <is>
          <t>1406/05</t>
        </is>
      </c>
      <c r="G1673" s="61" t="inlineStr">
        <is>
          <t>مرداد</t>
        </is>
      </c>
      <c r="H1673" s="134" t="inlineStr">
        <is>
          <t>تابستان</t>
        </is>
      </c>
      <c r="I1673" s="134" t="inlineStr">
        <is>
          <t>دوشنبه</t>
        </is>
      </c>
      <c r="J1673" s="134" t="inlineStr">
        <is>
          <t>بله</t>
        </is>
      </c>
    </row>
    <row r="1674">
      <c r="A1674" s="173" t="n">
        <v>46595</v>
      </c>
      <c r="B1674" s="174" t="n">
        <v>46595</v>
      </c>
      <c r="C1674" s="174" t="n">
        <v>1406</v>
      </c>
      <c r="D1674" s="174" t="n">
        <v>5</v>
      </c>
      <c r="E1674" s="175" t="inlineStr">
        <is>
          <t>1406/05/05</t>
        </is>
      </c>
      <c r="F1674" s="128" t="inlineStr">
        <is>
          <t>1406/05</t>
        </is>
      </c>
      <c r="G1674" s="58" t="inlineStr">
        <is>
          <t>مرداد</t>
        </is>
      </c>
      <c r="H1674" s="128" t="inlineStr">
        <is>
          <t>تابستان</t>
        </is>
      </c>
      <c r="I1674" s="128" t="inlineStr">
        <is>
          <t>سه‌شنبه</t>
        </is>
      </c>
      <c r="J1674" s="128" t="inlineStr">
        <is>
          <t>بله</t>
        </is>
      </c>
    </row>
    <row r="1675">
      <c r="A1675" s="176" t="n">
        <v>46596</v>
      </c>
      <c r="B1675" s="177" t="n">
        <v>46596</v>
      </c>
      <c r="C1675" s="177" t="n">
        <v>1406</v>
      </c>
      <c r="D1675" s="177" t="n">
        <v>5</v>
      </c>
      <c r="E1675" s="178" t="inlineStr">
        <is>
          <t>1406/05/06</t>
        </is>
      </c>
      <c r="F1675" s="134" t="inlineStr">
        <is>
          <t>1406/05</t>
        </is>
      </c>
      <c r="G1675" s="61" t="inlineStr">
        <is>
          <t>مرداد</t>
        </is>
      </c>
      <c r="H1675" s="134" t="inlineStr">
        <is>
          <t>تابستان</t>
        </is>
      </c>
      <c r="I1675" s="134" t="inlineStr">
        <is>
          <t>چهارشنبه</t>
        </is>
      </c>
      <c r="J1675" s="134" t="inlineStr">
        <is>
          <t>بله</t>
        </is>
      </c>
    </row>
    <row r="1676">
      <c r="A1676" s="173" t="n">
        <v>46597</v>
      </c>
      <c r="B1676" s="174" t="n">
        <v>46597</v>
      </c>
      <c r="C1676" s="174" t="n">
        <v>1406</v>
      </c>
      <c r="D1676" s="174" t="n">
        <v>5</v>
      </c>
      <c r="E1676" s="175" t="inlineStr">
        <is>
          <t>1406/05/07</t>
        </is>
      </c>
      <c r="F1676" s="128" t="inlineStr">
        <is>
          <t>1406/05</t>
        </is>
      </c>
      <c r="G1676" s="58" t="inlineStr">
        <is>
          <t>مرداد</t>
        </is>
      </c>
      <c r="H1676" s="128" t="inlineStr">
        <is>
          <t>تابستان</t>
        </is>
      </c>
      <c r="I1676" s="128" t="inlineStr">
        <is>
          <t>پنجشنبه</t>
        </is>
      </c>
      <c r="J1676" s="128" t="inlineStr">
        <is>
          <t>بله</t>
        </is>
      </c>
    </row>
    <row r="1677">
      <c r="A1677" s="176" t="n">
        <v>46598</v>
      </c>
      <c r="B1677" s="177" t="n">
        <v>46598</v>
      </c>
      <c r="C1677" s="177" t="n">
        <v>1406</v>
      </c>
      <c r="D1677" s="177" t="n">
        <v>5</v>
      </c>
      <c r="E1677" s="178" t="inlineStr">
        <is>
          <t>1406/05/08</t>
        </is>
      </c>
      <c r="F1677" s="134" t="inlineStr">
        <is>
          <t>1406/05</t>
        </is>
      </c>
      <c r="G1677" s="61" t="inlineStr">
        <is>
          <t>مرداد</t>
        </is>
      </c>
      <c r="H1677" s="134" t="inlineStr">
        <is>
          <t>تابستان</t>
        </is>
      </c>
      <c r="I1677" s="134" t="inlineStr">
        <is>
          <t>جمعه</t>
        </is>
      </c>
      <c r="J1677" s="134" t="inlineStr">
        <is>
          <t>بله</t>
        </is>
      </c>
    </row>
    <row r="1678">
      <c r="A1678" s="173" t="n">
        <v>46599</v>
      </c>
      <c r="B1678" s="174" t="n">
        <v>46599</v>
      </c>
      <c r="C1678" s="174" t="n">
        <v>1406</v>
      </c>
      <c r="D1678" s="174" t="n">
        <v>5</v>
      </c>
      <c r="E1678" s="175" t="inlineStr">
        <is>
          <t>1406/05/09</t>
        </is>
      </c>
      <c r="F1678" s="128" t="inlineStr">
        <is>
          <t>1406/05</t>
        </is>
      </c>
      <c r="G1678" s="58" t="inlineStr">
        <is>
          <t>مرداد</t>
        </is>
      </c>
      <c r="H1678" s="128" t="inlineStr">
        <is>
          <t>تابستان</t>
        </is>
      </c>
      <c r="I1678" s="128" t="inlineStr">
        <is>
          <t>شنبه</t>
        </is>
      </c>
      <c r="J1678" s="128" t="inlineStr">
        <is>
          <t>خیر</t>
        </is>
      </c>
    </row>
    <row r="1679">
      <c r="A1679" s="176" t="n">
        <v>46600</v>
      </c>
      <c r="B1679" s="177" t="n">
        <v>46600</v>
      </c>
      <c r="C1679" s="177" t="n">
        <v>1406</v>
      </c>
      <c r="D1679" s="177" t="n">
        <v>5</v>
      </c>
      <c r="E1679" s="178" t="inlineStr">
        <is>
          <t>1406/05/10</t>
        </is>
      </c>
      <c r="F1679" s="134" t="inlineStr">
        <is>
          <t>1406/05</t>
        </is>
      </c>
      <c r="G1679" s="61" t="inlineStr">
        <is>
          <t>مرداد</t>
        </is>
      </c>
      <c r="H1679" s="134" t="inlineStr">
        <is>
          <t>تابستان</t>
        </is>
      </c>
      <c r="I1679" s="134" t="inlineStr">
        <is>
          <t>یکشنبه</t>
        </is>
      </c>
      <c r="J1679" s="134" t="inlineStr">
        <is>
          <t>خیر</t>
        </is>
      </c>
    </row>
    <row r="1680">
      <c r="A1680" s="173" t="n">
        <v>46601</v>
      </c>
      <c r="B1680" s="174" t="n">
        <v>46601</v>
      </c>
      <c r="C1680" s="174" t="n">
        <v>1406</v>
      </c>
      <c r="D1680" s="174" t="n">
        <v>5</v>
      </c>
      <c r="E1680" s="175" t="inlineStr">
        <is>
          <t>1406/05/11</t>
        </is>
      </c>
      <c r="F1680" s="128" t="inlineStr">
        <is>
          <t>1406/05</t>
        </is>
      </c>
      <c r="G1680" s="58" t="inlineStr">
        <is>
          <t>مرداد</t>
        </is>
      </c>
      <c r="H1680" s="128" t="inlineStr">
        <is>
          <t>تابستان</t>
        </is>
      </c>
      <c r="I1680" s="128" t="inlineStr">
        <is>
          <t>دوشنبه</t>
        </is>
      </c>
      <c r="J1680" s="128" t="inlineStr">
        <is>
          <t>بله</t>
        </is>
      </c>
    </row>
    <row r="1681">
      <c r="A1681" s="176" t="n">
        <v>46602</v>
      </c>
      <c r="B1681" s="177" t="n">
        <v>46602</v>
      </c>
      <c r="C1681" s="177" t="n">
        <v>1406</v>
      </c>
      <c r="D1681" s="177" t="n">
        <v>5</v>
      </c>
      <c r="E1681" s="178" t="inlineStr">
        <is>
          <t>1406/05/12</t>
        </is>
      </c>
      <c r="F1681" s="134" t="inlineStr">
        <is>
          <t>1406/05</t>
        </is>
      </c>
      <c r="G1681" s="61" t="inlineStr">
        <is>
          <t>مرداد</t>
        </is>
      </c>
      <c r="H1681" s="134" t="inlineStr">
        <is>
          <t>تابستان</t>
        </is>
      </c>
      <c r="I1681" s="134" t="inlineStr">
        <is>
          <t>سه‌شنبه</t>
        </is>
      </c>
      <c r="J1681" s="134" t="inlineStr">
        <is>
          <t>بله</t>
        </is>
      </c>
    </row>
    <row r="1682">
      <c r="A1682" s="173" t="n">
        <v>46603</v>
      </c>
      <c r="B1682" s="174" t="n">
        <v>46603</v>
      </c>
      <c r="C1682" s="174" t="n">
        <v>1406</v>
      </c>
      <c r="D1682" s="174" t="n">
        <v>5</v>
      </c>
      <c r="E1682" s="175" t="inlineStr">
        <is>
          <t>1406/05/13</t>
        </is>
      </c>
      <c r="F1682" s="128" t="inlineStr">
        <is>
          <t>1406/05</t>
        </is>
      </c>
      <c r="G1682" s="58" t="inlineStr">
        <is>
          <t>مرداد</t>
        </is>
      </c>
      <c r="H1682" s="128" t="inlineStr">
        <is>
          <t>تابستان</t>
        </is>
      </c>
      <c r="I1682" s="128" t="inlineStr">
        <is>
          <t>چهارشنبه</t>
        </is>
      </c>
      <c r="J1682" s="128" t="inlineStr">
        <is>
          <t>بله</t>
        </is>
      </c>
    </row>
    <row r="1683">
      <c r="A1683" s="176" t="n">
        <v>46604</v>
      </c>
      <c r="B1683" s="177" t="n">
        <v>46604</v>
      </c>
      <c r="C1683" s="177" t="n">
        <v>1406</v>
      </c>
      <c r="D1683" s="177" t="n">
        <v>5</v>
      </c>
      <c r="E1683" s="178" t="inlineStr">
        <is>
          <t>1406/05/14</t>
        </is>
      </c>
      <c r="F1683" s="134" t="inlineStr">
        <is>
          <t>1406/05</t>
        </is>
      </c>
      <c r="G1683" s="61" t="inlineStr">
        <is>
          <t>مرداد</t>
        </is>
      </c>
      <c r="H1683" s="134" t="inlineStr">
        <is>
          <t>تابستان</t>
        </is>
      </c>
      <c r="I1683" s="134" t="inlineStr">
        <is>
          <t>پنجشنبه</t>
        </is>
      </c>
      <c r="J1683" s="134" t="inlineStr">
        <is>
          <t>بله</t>
        </is>
      </c>
    </row>
    <row r="1684">
      <c r="A1684" s="173" t="n">
        <v>46605</v>
      </c>
      <c r="B1684" s="174" t="n">
        <v>46605</v>
      </c>
      <c r="C1684" s="174" t="n">
        <v>1406</v>
      </c>
      <c r="D1684" s="174" t="n">
        <v>5</v>
      </c>
      <c r="E1684" s="175" t="inlineStr">
        <is>
          <t>1406/05/15</t>
        </is>
      </c>
      <c r="F1684" s="128" t="inlineStr">
        <is>
          <t>1406/05</t>
        </is>
      </c>
      <c r="G1684" s="58" t="inlineStr">
        <is>
          <t>مرداد</t>
        </is>
      </c>
      <c r="H1684" s="128" t="inlineStr">
        <is>
          <t>تابستان</t>
        </is>
      </c>
      <c r="I1684" s="128" t="inlineStr">
        <is>
          <t>جمعه</t>
        </is>
      </c>
      <c r="J1684" s="128" t="inlineStr">
        <is>
          <t>بله</t>
        </is>
      </c>
    </row>
    <row r="1685">
      <c r="A1685" s="176" t="n">
        <v>46606</v>
      </c>
      <c r="B1685" s="177" t="n">
        <v>46606</v>
      </c>
      <c r="C1685" s="177" t="n">
        <v>1406</v>
      </c>
      <c r="D1685" s="177" t="n">
        <v>5</v>
      </c>
      <c r="E1685" s="178" t="inlineStr">
        <is>
          <t>1406/05/16</t>
        </is>
      </c>
      <c r="F1685" s="134" t="inlineStr">
        <is>
          <t>1406/05</t>
        </is>
      </c>
      <c r="G1685" s="61" t="inlineStr">
        <is>
          <t>مرداد</t>
        </is>
      </c>
      <c r="H1685" s="134" t="inlineStr">
        <is>
          <t>تابستان</t>
        </is>
      </c>
      <c r="I1685" s="134" t="inlineStr">
        <is>
          <t>شنبه</t>
        </is>
      </c>
      <c r="J1685" s="134" t="inlineStr">
        <is>
          <t>خیر</t>
        </is>
      </c>
    </row>
    <row r="1686">
      <c r="A1686" s="173" t="n">
        <v>46607</v>
      </c>
      <c r="B1686" s="174" t="n">
        <v>46607</v>
      </c>
      <c r="C1686" s="174" t="n">
        <v>1406</v>
      </c>
      <c r="D1686" s="174" t="n">
        <v>5</v>
      </c>
      <c r="E1686" s="175" t="inlineStr">
        <is>
          <t>1406/05/17</t>
        </is>
      </c>
      <c r="F1686" s="128" t="inlineStr">
        <is>
          <t>1406/05</t>
        </is>
      </c>
      <c r="G1686" s="58" t="inlineStr">
        <is>
          <t>مرداد</t>
        </is>
      </c>
      <c r="H1686" s="128" t="inlineStr">
        <is>
          <t>تابستان</t>
        </is>
      </c>
      <c r="I1686" s="128" t="inlineStr">
        <is>
          <t>یکشنبه</t>
        </is>
      </c>
      <c r="J1686" s="128" t="inlineStr">
        <is>
          <t>خیر</t>
        </is>
      </c>
    </row>
    <row r="1687">
      <c r="A1687" s="176" t="n">
        <v>46608</v>
      </c>
      <c r="B1687" s="177" t="n">
        <v>46608</v>
      </c>
      <c r="C1687" s="177" t="n">
        <v>1406</v>
      </c>
      <c r="D1687" s="177" t="n">
        <v>5</v>
      </c>
      <c r="E1687" s="178" t="inlineStr">
        <is>
          <t>1406/05/18</t>
        </is>
      </c>
      <c r="F1687" s="134" t="inlineStr">
        <is>
          <t>1406/05</t>
        </is>
      </c>
      <c r="G1687" s="61" t="inlineStr">
        <is>
          <t>مرداد</t>
        </is>
      </c>
      <c r="H1687" s="134" t="inlineStr">
        <is>
          <t>تابستان</t>
        </is>
      </c>
      <c r="I1687" s="134" t="inlineStr">
        <is>
          <t>دوشنبه</t>
        </is>
      </c>
      <c r="J1687" s="134" t="inlineStr">
        <is>
          <t>بله</t>
        </is>
      </c>
    </row>
    <row r="1688">
      <c r="A1688" s="173" t="n">
        <v>46609</v>
      </c>
      <c r="B1688" s="174" t="n">
        <v>46609</v>
      </c>
      <c r="C1688" s="174" t="n">
        <v>1406</v>
      </c>
      <c r="D1688" s="174" t="n">
        <v>5</v>
      </c>
      <c r="E1688" s="175" t="inlineStr">
        <is>
          <t>1406/05/19</t>
        </is>
      </c>
      <c r="F1688" s="128" t="inlineStr">
        <is>
          <t>1406/05</t>
        </is>
      </c>
      <c r="G1688" s="58" t="inlineStr">
        <is>
          <t>مرداد</t>
        </is>
      </c>
      <c r="H1688" s="128" t="inlineStr">
        <is>
          <t>تابستان</t>
        </is>
      </c>
      <c r="I1688" s="128" t="inlineStr">
        <is>
          <t>سه‌شنبه</t>
        </is>
      </c>
      <c r="J1688" s="128" t="inlineStr">
        <is>
          <t>بله</t>
        </is>
      </c>
    </row>
    <row r="1689">
      <c r="A1689" s="176" t="n">
        <v>46610</v>
      </c>
      <c r="B1689" s="177" t="n">
        <v>46610</v>
      </c>
      <c r="C1689" s="177" t="n">
        <v>1406</v>
      </c>
      <c r="D1689" s="177" t="n">
        <v>5</v>
      </c>
      <c r="E1689" s="178" t="inlineStr">
        <is>
          <t>1406/05/20</t>
        </is>
      </c>
      <c r="F1689" s="134" t="inlineStr">
        <is>
          <t>1406/05</t>
        </is>
      </c>
      <c r="G1689" s="61" t="inlineStr">
        <is>
          <t>مرداد</t>
        </is>
      </c>
      <c r="H1689" s="134" t="inlineStr">
        <is>
          <t>تابستان</t>
        </is>
      </c>
      <c r="I1689" s="134" t="inlineStr">
        <is>
          <t>چهارشنبه</t>
        </is>
      </c>
      <c r="J1689" s="134" t="inlineStr">
        <is>
          <t>بله</t>
        </is>
      </c>
    </row>
    <row r="1690">
      <c r="A1690" s="173" t="n">
        <v>46611</v>
      </c>
      <c r="B1690" s="174" t="n">
        <v>46611</v>
      </c>
      <c r="C1690" s="174" t="n">
        <v>1406</v>
      </c>
      <c r="D1690" s="174" t="n">
        <v>5</v>
      </c>
      <c r="E1690" s="175" t="inlineStr">
        <is>
          <t>1406/05/21</t>
        </is>
      </c>
      <c r="F1690" s="128" t="inlineStr">
        <is>
          <t>1406/05</t>
        </is>
      </c>
      <c r="G1690" s="58" t="inlineStr">
        <is>
          <t>مرداد</t>
        </is>
      </c>
      <c r="H1690" s="128" t="inlineStr">
        <is>
          <t>تابستان</t>
        </is>
      </c>
      <c r="I1690" s="128" t="inlineStr">
        <is>
          <t>پنجشنبه</t>
        </is>
      </c>
      <c r="J1690" s="128" t="inlineStr">
        <is>
          <t>بله</t>
        </is>
      </c>
    </row>
    <row r="1691">
      <c r="A1691" s="176" t="n">
        <v>46612</v>
      </c>
      <c r="B1691" s="177" t="n">
        <v>46612</v>
      </c>
      <c r="C1691" s="177" t="n">
        <v>1406</v>
      </c>
      <c r="D1691" s="177" t="n">
        <v>5</v>
      </c>
      <c r="E1691" s="178" t="inlineStr">
        <is>
          <t>1406/05/22</t>
        </is>
      </c>
      <c r="F1691" s="134" t="inlineStr">
        <is>
          <t>1406/05</t>
        </is>
      </c>
      <c r="G1691" s="61" t="inlineStr">
        <is>
          <t>مرداد</t>
        </is>
      </c>
      <c r="H1691" s="134" t="inlineStr">
        <is>
          <t>تابستان</t>
        </is>
      </c>
      <c r="I1691" s="134" t="inlineStr">
        <is>
          <t>جمعه</t>
        </is>
      </c>
      <c r="J1691" s="134" t="inlineStr">
        <is>
          <t>بله</t>
        </is>
      </c>
    </row>
    <row r="1692">
      <c r="A1692" s="173" t="n">
        <v>46613</v>
      </c>
      <c r="B1692" s="174" t="n">
        <v>46613</v>
      </c>
      <c r="C1692" s="174" t="n">
        <v>1406</v>
      </c>
      <c r="D1692" s="174" t="n">
        <v>5</v>
      </c>
      <c r="E1692" s="175" t="inlineStr">
        <is>
          <t>1406/05/23</t>
        </is>
      </c>
      <c r="F1692" s="128" t="inlineStr">
        <is>
          <t>1406/05</t>
        </is>
      </c>
      <c r="G1692" s="58" t="inlineStr">
        <is>
          <t>مرداد</t>
        </is>
      </c>
      <c r="H1692" s="128" t="inlineStr">
        <is>
          <t>تابستان</t>
        </is>
      </c>
      <c r="I1692" s="128" t="inlineStr">
        <is>
          <t>شنبه</t>
        </is>
      </c>
      <c r="J1692" s="128" t="inlineStr">
        <is>
          <t>خیر</t>
        </is>
      </c>
    </row>
    <row r="1693">
      <c r="A1693" s="176" t="n">
        <v>46614</v>
      </c>
      <c r="B1693" s="177" t="n">
        <v>46614</v>
      </c>
      <c r="C1693" s="177" t="n">
        <v>1406</v>
      </c>
      <c r="D1693" s="177" t="n">
        <v>5</v>
      </c>
      <c r="E1693" s="178" t="inlineStr">
        <is>
          <t>1406/05/24</t>
        </is>
      </c>
      <c r="F1693" s="134" t="inlineStr">
        <is>
          <t>1406/05</t>
        </is>
      </c>
      <c r="G1693" s="61" t="inlineStr">
        <is>
          <t>مرداد</t>
        </is>
      </c>
      <c r="H1693" s="134" t="inlineStr">
        <is>
          <t>تابستان</t>
        </is>
      </c>
      <c r="I1693" s="134" t="inlineStr">
        <is>
          <t>یکشنبه</t>
        </is>
      </c>
      <c r="J1693" s="134" t="inlineStr">
        <is>
          <t>خیر</t>
        </is>
      </c>
    </row>
    <row r="1694">
      <c r="A1694" s="173" t="n">
        <v>46615</v>
      </c>
      <c r="B1694" s="174" t="n">
        <v>46615</v>
      </c>
      <c r="C1694" s="174" t="n">
        <v>1406</v>
      </c>
      <c r="D1694" s="174" t="n">
        <v>5</v>
      </c>
      <c r="E1694" s="175" t="inlineStr">
        <is>
          <t>1406/05/25</t>
        </is>
      </c>
      <c r="F1694" s="128" t="inlineStr">
        <is>
          <t>1406/05</t>
        </is>
      </c>
      <c r="G1694" s="58" t="inlineStr">
        <is>
          <t>مرداد</t>
        </is>
      </c>
      <c r="H1694" s="128" t="inlineStr">
        <is>
          <t>تابستان</t>
        </is>
      </c>
      <c r="I1694" s="128" t="inlineStr">
        <is>
          <t>دوشنبه</t>
        </is>
      </c>
      <c r="J1694" s="128" t="inlineStr">
        <is>
          <t>بله</t>
        </is>
      </c>
    </row>
    <row r="1695">
      <c r="A1695" s="176" t="n">
        <v>46616</v>
      </c>
      <c r="B1695" s="177" t="n">
        <v>46616</v>
      </c>
      <c r="C1695" s="177" t="n">
        <v>1406</v>
      </c>
      <c r="D1695" s="177" t="n">
        <v>5</v>
      </c>
      <c r="E1695" s="178" t="inlineStr">
        <is>
          <t>1406/05/26</t>
        </is>
      </c>
      <c r="F1695" s="134" t="inlineStr">
        <is>
          <t>1406/05</t>
        </is>
      </c>
      <c r="G1695" s="61" t="inlineStr">
        <is>
          <t>مرداد</t>
        </is>
      </c>
      <c r="H1695" s="134" t="inlineStr">
        <is>
          <t>تابستان</t>
        </is>
      </c>
      <c r="I1695" s="134" t="inlineStr">
        <is>
          <t>سه‌شنبه</t>
        </is>
      </c>
      <c r="J1695" s="134" t="inlineStr">
        <is>
          <t>بله</t>
        </is>
      </c>
    </row>
    <row r="1696">
      <c r="A1696" s="173" t="n">
        <v>46617</v>
      </c>
      <c r="B1696" s="174" t="n">
        <v>46617</v>
      </c>
      <c r="C1696" s="174" t="n">
        <v>1406</v>
      </c>
      <c r="D1696" s="174" t="n">
        <v>5</v>
      </c>
      <c r="E1696" s="175" t="inlineStr">
        <is>
          <t>1406/05/27</t>
        </is>
      </c>
      <c r="F1696" s="128" t="inlineStr">
        <is>
          <t>1406/05</t>
        </is>
      </c>
      <c r="G1696" s="58" t="inlineStr">
        <is>
          <t>مرداد</t>
        </is>
      </c>
      <c r="H1696" s="128" t="inlineStr">
        <is>
          <t>تابستان</t>
        </is>
      </c>
      <c r="I1696" s="128" t="inlineStr">
        <is>
          <t>چهارشنبه</t>
        </is>
      </c>
      <c r="J1696" s="128" t="inlineStr">
        <is>
          <t>بله</t>
        </is>
      </c>
    </row>
    <row r="1697">
      <c r="A1697" s="176" t="n">
        <v>46618</v>
      </c>
      <c r="B1697" s="177" t="n">
        <v>46618</v>
      </c>
      <c r="C1697" s="177" t="n">
        <v>1406</v>
      </c>
      <c r="D1697" s="177" t="n">
        <v>5</v>
      </c>
      <c r="E1697" s="178" t="inlineStr">
        <is>
          <t>1406/05/28</t>
        </is>
      </c>
      <c r="F1697" s="134" t="inlineStr">
        <is>
          <t>1406/05</t>
        </is>
      </c>
      <c r="G1697" s="61" t="inlineStr">
        <is>
          <t>مرداد</t>
        </is>
      </c>
      <c r="H1697" s="134" t="inlineStr">
        <is>
          <t>تابستان</t>
        </is>
      </c>
      <c r="I1697" s="134" t="inlineStr">
        <is>
          <t>پنجشنبه</t>
        </is>
      </c>
      <c r="J1697" s="134" t="inlineStr">
        <is>
          <t>بله</t>
        </is>
      </c>
    </row>
    <row r="1698">
      <c r="A1698" s="173" t="n">
        <v>46619</v>
      </c>
      <c r="B1698" s="174" t="n">
        <v>46619</v>
      </c>
      <c r="C1698" s="174" t="n">
        <v>1406</v>
      </c>
      <c r="D1698" s="174" t="n">
        <v>5</v>
      </c>
      <c r="E1698" s="175" t="inlineStr">
        <is>
          <t>1406/05/29</t>
        </is>
      </c>
      <c r="F1698" s="128" t="inlineStr">
        <is>
          <t>1406/05</t>
        </is>
      </c>
      <c r="G1698" s="58" t="inlineStr">
        <is>
          <t>مرداد</t>
        </is>
      </c>
      <c r="H1698" s="128" t="inlineStr">
        <is>
          <t>تابستان</t>
        </is>
      </c>
      <c r="I1698" s="128" t="inlineStr">
        <is>
          <t>جمعه</t>
        </is>
      </c>
      <c r="J1698" s="128" t="inlineStr">
        <is>
          <t>بله</t>
        </is>
      </c>
    </row>
    <row r="1699">
      <c r="A1699" s="176" t="n">
        <v>46620</v>
      </c>
      <c r="B1699" s="177" t="n">
        <v>46620</v>
      </c>
      <c r="C1699" s="177" t="n">
        <v>1406</v>
      </c>
      <c r="D1699" s="177" t="n">
        <v>5</v>
      </c>
      <c r="E1699" s="178" t="inlineStr">
        <is>
          <t>1406/05/30</t>
        </is>
      </c>
      <c r="F1699" s="134" t="inlineStr">
        <is>
          <t>1406/05</t>
        </is>
      </c>
      <c r="G1699" s="61" t="inlineStr">
        <is>
          <t>مرداد</t>
        </is>
      </c>
      <c r="H1699" s="134" t="inlineStr">
        <is>
          <t>تابستان</t>
        </is>
      </c>
      <c r="I1699" s="134" t="inlineStr">
        <is>
          <t>شنبه</t>
        </is>
      </c>
      <c r="J1699" s="134" t="inlineStr">
        <is>
          <t>خیر</t>
        </is>
      </c>
    </row>
    <row r="1700">
      <c r="A1700" s="173" t="n">
        <v>46621</v>
      </c>
      <c r="B1700" s="174" t="n">
        <v>46621</v>
      </c>
      <c r="C1700" s="174" t="n">
        <v>1406</v>
      </c>
      <c r="D1700" s="174" t="n">
        <v>5</v>
      </c>
      <c r="E1700" s="175" t="inlineStr">
        <is>
          <t>1406/05/31</t>
        </is>
      </c>
      <c r="F1700" s="128" t="inlineStr">
        <is>
          <t>1406/05</t>
        </is>
      </c>
      <c r="G1700" s="58" t="inlineStr">
        <is>
          <t>مرداد</t>
        </is>
      </c>
      <c r="H1700" s="128" t="inlineStr">
        <is>
          <t>تابستان</t>
        </is>
      </c>
      <c r="I1700" s="128" t="inlineStr">
        <is>
          <t>یکشنبه</t>
        </is>
      </c>
      <c r="J1700" s="128" t="inlineStr">
        <is>
          <t>خیر</t>
        </is>
      </c>
    </row>
    <row r="1701">
      <c r="A1701" s="176" t="n">
        <v>46622</v>
      </c>
      <c r="B1701" s="177" t="n">
        <v>46622</v>
      </c>
      <c r="C1701" s="177" t="n">
        <v>1406</v>
      </c>
      <c r="D1701" s="177" t="n">
        <v>6</v>
      </c>
      <c r="E1701" s="178" t="inlineStr">
        <is>
          <t>1406/06/01</t>
        </is>
      </c>
      <c r="F1701" s="134" t="inlineStr">
        <is>
          <t>1406/06</t>
        </is>
      </c>
      <c r="G1701" s="61" t="inlineStr">
        <is>
          <t>شهریور</t>
        </is>
      </c>
      <c r="H1701" s="134" t="inlineStr">
        <is>
          <t>تابستان</t>
        </is>
      </c>
      <c r="I1701" s="134" t="inlineStr">
        <is>
          <t>دوشنبه</t>
        </is>
      </c>
      <c r="J1701" s="134" t="inlineStr">
        <is>
          <t>بله</t>
        </is>
      </c>
    </row>
    <row r="1702">
      <c r="A1702" s="173" t="n">
        <v>46623</v>
      </c>
      <c r="B1702" s="174" t="n">
        <v>46623</v>
      </c>
      <c r="C1702" s="174" t="n">
        <v>1406</v>
      </c>
      <c r="D1702" s="174" t="n">
        <v>6</v>
      </c>
      <c r="E1702" s="175" t="inlineStr">
        <is>
          <t>1406/06/02</t>
        </is>
      </c>
      <c r="F1702" s="128" t="inlineStr">
        <is>
          <t>1406/06</t>
        </is>
      </c>
      <c r="G1702" s="58" t="inlineStr">
        <is>
          <t>شهریور</t>
        </is>
      </c>
      <c r="H1702" s="128" t="inlineStr">
        <is>
          <t>تابستان</t>
        </is>
      </c>
      <c r="I1702" s="128" t="inlineStr">
        <is>
          <t>سه‌شنبه</t>
        </is>
      </c>
      <c r="J1702" s="128" t="inlineStr">
        <is>
          <t>بله</t>
        </is>
      </c>
    </row>
    <row r="1703">
      <c r="A1703" s="176" t="n">
        <v>46624</v>
      </c>
      <c r="B1703" s="177" t="n">
        <v>46624</v>
      </c>
      <c r="C1703" s="177" t="n">
        <v>1406</v>
      </c>
      <c r="D1703" s="177" t="n">
        <v>6</v>
      </c>
      <c r="E1703" s="178" t="inlineStr">
        <is>
          <t>1406/06/03</t>
        </is>
      </c>
      <c r="F1703" s="134" t="inlineStr">
        <is>
          <t>1406/06</t>
        </is>
      </c>
      <c r="G1703" s="61" t="inlineStr">
        <is>
          <t>شهریور</t>
        </is>
      </c>
      <c r="H1703" s="134" t="inlineStr">
        <is>
          <t>تابستان</t>
        </is>
      </c>
      <c r="I1703" s="134" t="inlineStr">
        <is>
          <t>چهارشنبه</t>
        </is>
      </c>
      <c r="J1703" s="134" t="inlineStr">
        <is>
          <t>بله</t>
        </is>
      </c>
    </row>
    <row r="1704">
      <c r="A1704" s="173" t="n">
        <v>46625</v>
      </c>
      <c r="B1704" s="174" t="n">
        <v>46625</v>
      </c>
      <c r="C1704" s="174" t="n">
        <v>1406</v>
      </c>
      <c r="D1704" s="174" t="n">
        <v>6</v>
      </c>
      <c r="E1704" s="175" t="inlineStr">
        <is>
          <t>1406/06/04</t>
        </is>
      </c>
      <c r="F1704" s="128" t="inlineStr">
        <is>
          <t>1406/06</t>
        </is>
      </c>
      <c r="G1704" s="58" t="inlineStr">
        <is>
          <t>شهریور</t>
        </is>
      </c>
      <c r="H1704" s="128" t="inlineStr">
        <is>
          <t>تابستان</t>
        </is>
      </c>
      <c r="I1704" s="128" t="inlineStr">
        <is>
          <t>پنجشنبه</t>
        </is>
      </c>
      <c r="J1704" s="128" t="inlineStr">
        <is>
          <t>بله</t>
        </is>
      </c>
    </row>
    <row r="1705">
      <c r="A1705" s="176" t="n">
        <v>46626</v>
      </c>
      <c r="B1705" s="177" t="n">
        <v>46626</v>
      </c>
      <c r="C1705" s="177" t="n">
        <v>1406</v>
      </c>
      <c r="D1705" s="177" t="n">
        <v>6</v>
      </c>
      <c r="E1705" s="178" t="inlineStr">
        <is>
          <t>1406/06/05</t>
        </is>
      </c>
      <c r="F1705" s="134" t="inlineStr">
        <is>
          <t>1406/06</t>
        </is>
      </c>
      <c r="G1705" s="61" t="inlineStr">
        <is>
          <t>شهریور</t>
        </is>
      </c>
      <c r="H1705" s="134" t="inlineStr">
        <is>
          <t>تابستان</t>
        </is>
      </c>
      <c r="I1705" s="134" t="inlineStr">
        <is>
          <t>جمعه</t>
        </is>
      </c>
      <c r="J1705" s="134" t="inlineStr">
        <is>
          <t>بله</t>
        </is>
      </c>
    </row>
    <row r="1706">
      <c r="A1706" s="173" t="n">
        <v>46627</v>
      </c>
      <c r="B1706" s="174" t="n">
        <v>46627</v>
      </c>
      <c r="C1706" s="174" t="n">
        <v>1406</v>
      </c>
      <c r="D1706" s="174" t="n">
        <v>6</v>
      </c>
      <c r="E1706" s="175" t="inlineStr">
        <is>
          <t>1406/06/06</t>
        </is>
      </c>
      <c r="F1706" s="128" t="inlineStr">
        <is>
          <t>1406/06</t>
        </is>
      </c>
      <c r="G1706" s="58" t="inlineStr">
        <is>
          <t>شهریور</t>
        </is>
      </c>
      <c r="H1706" s="128" t="inlineStr">
        <is>
          <t>تابستان</t>
        </is>
      </c>
      <c r="I1706" s="128" t="inlineStr">
        <is>
          <t>شنبه</t>
        </is>
      </c>
      <c r="J1706" s="128" t="inlineStr">
        <is>
          <t>خیر</t>
        </is>
      </c>
    </row>
    <row r="1707">
      <c r="A1707" s="176" t="n">
        <v>46628</v>
      </c>
      <c r="B1707" s="177" t="n">
        <v>46628</v>
      </c>
      <c r="C1707" s="177" t="n">
        <v>1406</v>
      </c>
      <c r="D1707" s="177" t="n">
        <v>6</v>
      </c>
      <c r="E1707" s="178" t="inlineStr">
        <is>
          <t>1406/06/07</t>
        </is>
      </c>
      <c r="F1707" s="134" t="inlineStr">
        <is>
          <t>1406/06</t>
        </is>
      </c>
      <c r="G1707" s="61" t="inlineStr">
        <is>
          <t>شهریور</t>
        </is>
      </c>
      <c r="H1707" s="134" t="inlineStr">
        <is>
          <t>تابستان</t>
        </is>
      </c>
      <c r="I1707" s="134" t="inlineStr">
        <is>
          <t>یکشنبه</t>
        </is>
      </c>
      <c r="J1707" s="134" t="inlineStr">
        <is>
          <t>خیر</t>
        </is>
      </c>
    </row>
    <row r="1708">
      <c r="A1708" s="173" t="n">
        <v>46629</v>
      </c>
      <c r="B1708" s="174" t="n">
        <v>46629</v>
      </c>
      <c r="C1708" s="174" t="n">
        <v>1406</v>
      </c>
      <c r="D1708" s="174" t="n">
        <v>6</v>
      </c>
      <c r="E1708" s="175" t="inlineStr">
        <is>
          <t>1406/06/08</t>
        </is>
      </c>
      <c r="F1708" s="128" t="inlineStr">
        <is>
          <t>1406/06</t>
        </is>
      </c>
      <c r="G1708" s="58" t="inlineStr">
        <is>
          <t>شهریور</t>
        </is>
      </c>
      <c r="H1708" s="128" t="inlineStr">
        <is>
          <t>تابستان</t>
        </is>
      </c>
      <c r="I1708" s="128" t="inlineStr">
        <is>
          <t>دوشنبه</t>
        </is>
      </c>
      <c r="J1708" s="128" t="inlineStr">
        <is>
          <t>بله</t>
        </is>
      </c>
    </row>
    <row r="1709">
      <c r="A1709" s="176" t="n">
        <v>46630</v>
      </c>
      <c r="B1709" s="177" t="n">
        <v>46630</v>
      </c>
      <c r="C1709" s="177" t="n">
        <v>1406</v>
      </c>
      <c r="D1709" s="177" t="n">
        <v>6</v>
      </c>
      <c r="E1709" s="178" t="inlineStr">
        <is>
          <t>1406/06/09</t>
        </is>
      </c>
      <c r="F1709" s="134" t="inlineStr">
        <is>
          <t>1406/06</t>
        </is>
      </c>
      <c r="G1709" s="61" t="inlineStr">
        <is>
          <t>شهریور</t>
        </is>
      </c>
      <c r="H1709" s="134" t="inlineStr">
        <is>
          <t>تابستان</t>
        </is>
      </c>
      <c r="I1709" s="134" t="inlineStr">
        <is>
          <t>سه‌شنبه</t>
        </is>
      </c>
      <c r="J1709" s="134" t="inlineStr">
        <is>
          <t>بله</t>
        </is>
      </c>
    </row>
    <row r="1710">
      <c r="A1710" s="173" t="n">
        <v>46631</v>
      </c>
      <c r="B1710" s="174" t="n">
        <v>46631</v>
      </c>
      <c r="C1710" s="174" t="n">
        <v>1406</v>
      </c>
      <c r="D1710" s="174" t="n">
        <v>6</v>
      </c>
      <c r="E1710" s="175" t="inlineStr">
        <is>
          <t>1406/06/10</t>
        </is>
      </c>
      <c r="F1710" s="128" t="inlineStr">
        <is>
          <t>1406/06</t>
        </is>
      </c>
      <c r="G1710" s="58" t="inlineStr">
        <is>
          <t>شهریور</t>
        </is>
      </c>
      <c r="H1710" s="128" t="inlineStr">
        <is>
          <t>تابستان</t>
        </is>
      </c>
      <c r="I1710" s="128" t="inlineStr">
        <is>
          <t>چهارشنبه</t>
        </is>
      </c>
      <c r="J1710" s="128" t="inlineStr">
        <is>
          <t>بله</t>
        </is>
      </c>
    </row>
    <row r="1711">
      <c r="A1711" s="176" t="n">
        <v>46632</v>
      </c>
      <c r="B1711" s="177" t="n">
        <v>46632</v>
      </c>
      <c r="C1711" s="177" t="n">
        <v>1406</v>
      </c>
      <c r="D1711" s="177" t="n">
        <v>6</v>
      </c>
      <c r="E1711" s="178" t="inlineStr">
        <is>
          <t>1406/06/11</t>
        </is>
      </c>
      <c r="F1711" s="134" t="inlineStr">
        <is>
          <t>1406/06</t>
        </is>
      </c>
      <c r="G1711" s="61" t="inlineStr">
        <is>
          <t>شهریور</t>
        </is>
      </c>
      <c r="H1711" s="134" t="inlineStr">
        <is>
          <t>تابستان</t>
        </is>
      </c>
      <c r="I1711" s="134" t="inlineStr">
        <is>
          <t>پنجشنبه</t>
        </is>
      </c>
      <c r="J1711" s="134" t="inlineStr">
        <is>
          <t>بله</t>
        </is>
      </c>
    </row>
    <row r="1712">
      <c r="A1712" s="173" t="n">
        <v>46633</v>
      </c>
      <c r="B1712" s="174" t="n">
        <v>46633</v>
      </c>
      <c r="C1712" s="174" t="n">
        <v>1406</v>
      </c>
      <c r="D1712" s="174" t="n">
        <v>6</v>
      </c>
      <c r="E1712" s="175" t="inlineStr">
        <is>
          <t>1406/06/12</t>
        </is>
      </c>
      <c r="F1712" s="128" t="inlineStr">
        <is>
          <t>1406/06</t>
        </is>
      </c>
      <c r="G1712" s="58" t="inlineStr">
        <is>
          <t>شهریور</t>
        </is>
      </c>
      <c r="H1712" s="128" t="inlineStr">
        <is>
          <t>تابستان</t>
        </is>
      </c>
      <c r="I1712" s="128" t="inlineStr">
        <is>
          <t>جمعه</t>
        </is>
      </c>
      <c r="J1712" s="128" t="inlineStr">
        <is>
          <t>بله</t>
        </is>
      </c>
    </row>
    <row r="1713">
      <c r="A1713" s="176" t="n">
        <v>46634</v>
      </c>
      <c r="B1713" s="177" t="n">
        <v>46634</v>
      </c>
      <c r="C1713" s="177" t="n">
        <v>1406</v>
      </c>
      <c r="D1713" s="177" t="n">
        <v>6</v>
      </c>
      <c r="E1713" s="178" t="inlineStr">
        <is>
          <t>1406/06/13</t>
        </is>
      </c>
      <c r="F1713" s="134" t="inlineStr">
        <is>
          <t>1406/06</t>
        </is>
      </c>
      <c r="G1713" s="61" t="inlineStr">
        <is>
          <t>شهریور</t>
        </is>
      </c>
      <c r="H1713" s="134" t="inlineStr">
        <is>
          <t>تابستان</t>
        </is>
      </c>
      <c r="I1713" s="134" t="inlineStr">
        <is>
          <t>شنبه</t>
        </is>
      </c>
      <c r="J1713" s="134" t="inlineStr">
        <is>
          <t>خیر</t>
        </is>
      </c>
    </row>
    <row r="1714">
      <c r="A1714" s="173" t="n">
        <v>46635</v>
      </c>
      <c r="B1714" s="174" t="n">
        <v>46635</v>
      </c>
      <c r="C1714" s="174" t="n">
        <v>1406</v>
      </c>
      <c r="D1714" s="174" t="n">
        <v>6</v>
      </c>
      <c r="E1714" s="175" t="inlineStr">
        <is>
          <t>1406/06/14</t>
        </is>
      </c>
      <c r="F1714" s="128" t="inlineStr">
        <is>
          <t>1406/06</t>
        </is>
      </c>
      <c r="G1714" s="58" t="inlineStr">
        <is>
          <t>شهریور</t>
        </is>
      </c>
      <c r="H1714" s="128" t="inlineStr">
        <is>
          <t>تابستان</t>
        </is>
      </c>
      <c r="I1714" s="128" t="inlineStr">
        <is>
          <t>یکشنبه</t>
        </is>
      </c>
      <c r="J1714" s="128" t="inlineStr">
        <is>
          <t>خیر</t>
        </is>
      </c>
    </row>
    <row r="1715">
      <c r="A1715" s="176" t="n">
        <v>46636</v>
      </c>
      <c r="B1715" s="177" t="n">
        <v>46636</v>
      </c>
      <c r="C1715" s="177" t="n">
        <v>1406</v>
      </c>
      <c r="D1715" s="177" t="n">
        <v>6</v>
      </c>
      <c r="E1715" s="178" t="inlineStr">
        <is>
          <t>1406/06/15</t>
        </is>
      </c>
      <c r="F1715" s="134" t="inlineStr">
        <is>
          <t>1406/06</t>
        </is>
      </c>
      <c r="G1715" s="61" t="inlineStr">
        <is>
          <t>شهریور</t>
        </is>
      </c>
      <c r="H1715" s="134" t="inlineStr">
        <is>
          <t>تابستان</t>
        </is>
      </c>
      <c r="I1715" s="134" t="inlineStr">
        <is>
          <t>دوشنبه</t>
        </is>
      </c>
      <c r="J1715" s="134" t="inlineStr">
        <is>
          <t>بله</t>
        </is>
      </c>
    </row>
    <row r="1716">
      <c r="A1716" s="173" t="n">
        <v>46637</v>
      </c>
      <c r="B1716" s="174" t="n">
        <v>46637</v>
      </c>
      <c r="C1716" s="174" t="n">
        <v>1406</v>
      </c>
      <c r="D1716" s="174" t="n">
        <v>6</v>
      </c>
      <c r="E1716" s="175" t="inlineStr">
        <is>
          <t>1406/06/16</t>
        </is>
      </c>
      <c r="F1716" s="128" t="inlineStr">
        <is>
          <t>1406/06</t>
        </is>
      </c>
      <c r="G1716" s="58" t="inlineStr">
        <is>
          <t>شهریور</t>
        </is>
      </c>
      <c r="H1716" s="128" t="inlineStr">
        <is>
          <t>تابستان</t>
        </is>
      </c>
      <c r="I1716" s="128" t="inlineStr">
        <is>
          <t>سه‌شنبه</t>
        </is>
      </c>
      <c r="J1716" s="128" t="inlineStr">
        <is>
          <t>بله</t>
        </is>
      </c>
    </row>
    <row r="1717">
      <c r="A1717" s="176" t="n">
        <v>46638</v>
      </c>
      <c r="B1717" s="177" t="n">
        <v>46638</v>
      </c>
      <c r="C1717" s="177" t="n">
        <v>1406</v>
      </c>
      <c r="D1717" s="177" t="n">
        <v>6</v>
      </c>
      <c r="E1717" s="178" t="inlineStr">
        <is>
          <t>1406/06/17</t>
        </is>
      </c>
      <c r="F1717" s="134" t="inlineStr">
        <is>
          <t>1406/06</t>
        </is>
      </c>
      <c r="G1717" s="61" t="inlineStr">
        <is>
          <t>شهریور</t>
        </is>
      </c>
      <c r="H1717" s="134" t="inlineStr">
        <is>
          <t>تابستان</t>
        </is>
      </c>
      <c r="I1717" s="134" t="inlineStr">
        <is>
          <t>چهارشنبه</t>
        </is>
      </c>
      <c r="J1717" s="134" t="inlineStr">
        <is>
          <t>بله</t>
        </is>
      </c>
    </row>
    <row r="1718">
      <c r="A1718" s="173" t="n">
        <v>46639</v>
      </c>
      <c r="B1718" s="174" t="n">
        <v>46639</v>
      </c>
      <c r="C1718" s="174" t="n">
        <v>1406</v>
      </c>
      <c r="D1718" s="174" t="n">
        <v>6</v>
      </c>
      <c r="E1718" s="175" t="inlineStr">
        <is>
          <t>1406/06/18</t>
        </is>
      </c>
      <c r="F1718" s="128" t="inlineStr">
        <is>
          <t>1406/06</t>
        </is>
      </c>
      <c r="G1718" s="58" t="inlineStr">
        <is>
          <t>شهریور</t>
        </is>
      </c>
      <c r="H1718" s="128" t="inlineStr">
        <is>
          <t>تابستان</t>
        </is>
      </c>
      <c r="I1718" s="128" t="inlineStr">
        <is>
          <t>پنجشنبه</t>
        </is>
      </c>
      <c r="J1718" s="128" t="inlineStr">
        <is>
          <t>بله</t>
        </is>
      </c>
    </row>
    <row r="1719">
      <c r="A1719" s="176" t="n">
        <v>46640</v>
      </c>
      <c r="B1719" s="177" t="n">
        <v>46640</v>
      </c>
      <c r="C1719" s="177" t="n">
        <v>1406</v>
      </c>
      <c r="D1719" s="177" t="n">
        <v>6</v>
      </c>
      <c r="E1719" s="178" t="inlineStr">
        <is>
          <t>1406/06/19</t>
        </is>
      </c>
      <c r="F1719" s="134" t="inlineStr">
        <is>
          <t>1406/06</t>
        </is>
      </c>
      <c r="G1719" s="61" t="inlineStr">
        <is>
          <t>شهریور</t>
        </is>
      </c>
      <c r="H1719" s="134" t="inlineStr">
        <is>
          <t>تابستان</t>
        </is>
      </c>
      <c r="I1719" s="134" t="inlineStr">
        <is>
          <t>جمعه</t>
        </is>
      </c>
      <c r="J1719" s="134" t="inlineStr">
        <is>
          <t>بله</t>
        </is>
      </c>
    </row>
    <row r="1720">
      <c r="A1720" s="173" t="n">
        <v>46641</v>
      </c>
      <c r="B1720" s="174" t="n">
        <v>46641</v>
      </c>
      <c r="C1720" s="174" t="n">
        <v>1406</v>
      </c>
      <c r="D1720" s="174" t="n">
        <v>6</v>
      </c>
      <c r="E1720" s="175" t="inlineStr">
        <is>
          <t>1406/06/20</t>
        </is>
      </c>
      <c r="F1720" s="128" t="inlineStr">
        <is>
          <t>1406/06</t>
        </is>
      </c>
      <c r="G1720" s="58" t="inlineStr">
        <is>
          <t>شهریور</t>
        </is>
      </c>
      <c r="H1720" s="128" t="inlineStr">
        <is>
          <t>تابستان</t>
        </is>
      </c>
      <c r="I1720" s="128" t="inlineStr">
        <is>
          <t>شنبه</t>
        </is>
      </c>
      <c r="J1720" s="128" t="inlineStr">
        <is>
          <t>خیر</t>
        </is>
      </c>
    </row>
    <row r="1721">
      <c r="A1721" s="176" t="n">
        <v>46642</v>
      </c>
      <c r="B1721" s="177" t="n">
        <v>46642</v>
      </c>
      <c r="C1721" s="177" t="n">
        <v>1406</v>
      </c>
      <c r="D1721" s="177" t="n">
        <v>6</v>
      </c>
      <c r="E1721" s="178" t="inlineStr">
        <is>
          <t>1406/06/21</t>
        </is>
      </c>
      <c r="F1721" s="134" t="inlineStr">
        <is>
          <t>1406/06</t>
        </is>
      </c>
      <c r="G1721" s="61" t="inlineStr">
        <is>
          <t>شهریور</t>
        </is>
      </c>
      <c r="H1721" s="134" t="inlineStr">
        <is>
          <t>تابستان</t>
        </is>
      </c>
      <c r="I1721" s="134" t="inlineStr">
        <is>
          <t>یکشنبه</t>
        </is>
      </c>
      <c r="J1721" s="134" t="inlineStr">
        <is>
          <t>خیر</t>
        </is>
      </c>
    </row>
    <row r="1722">
      <c r="A1722" s="173" t="n">
        <v>46643</v>
      </c>
      <c r="B1722" s="174" t="n">
        <v>46643</v>
      </c>
      <c r="C1722" s="174" t="n">
        <v>1406</v>
      </c>
      <c r="D1722" s="174" t="n">
        <v>6</v>
      </c>
      <c r="E1722" s="175" t="inlineStr">
        <is>
          <t>1406/06/22</t>
        </is>
      </c>
      <c r="F1722" s="128" t="inlineStr">
        <is>
          <t>1406/06</t>
        </is>
      </c>
      <c r="G1722" s="58" t="inlineStr">
        <is>
          <t>شهریور</t>
        </is>
      </c>
      <c r="H1722" s="128" t="inlineStr">
        <is>
          <t>تابستان</t>
        </is>
      </c>
      <c r="I1722" s="128" t="inlineStr">
        <is>
          <t>دوشنبه</t>
        </is>
      </c>
      <c r="J1722" s="128" t="inlineStr">
        <is>
          <t>بله</t>
        </is>
      </c>
    </row>
    <row r="1723">
      <c r="A1723" s="176" t="n">
        <v>46644</v>
      </c>
      <c r="B1723" s="177" t="n">
        <v>46644</v>
      </c>
      <c r="C1723" s="177" t="n">
        <v>1406</v>
      </c>
      <c r="D1723" s="177" t="n">
        <v>6</v>
      </c>
      <c r="E1723" s="178" t="inlineStr">
        <is>
          <t>1406/06/23</t>
        </is>
      </c>
      <c r="F1723" s="134" t="inlineStr">
        <is>
          <t>1406/06</t>
        </is>
      </c>
      <c r="G1723" s="61" t="inlineStr">
        <is>
          <t>شهریور</t>
        </is>
      </c>
      <c r="H1723" s="134" t="inlineStr">
        <is>
          <t>تابستان</t>
        </is>
      </c>
      <c r="I1723" s="134" t="inlineStr">
        <is>
          <t>سه‌شنبه</t>
        </is>
      </c>
      <c r="J1723" s="134" t="inlineStr">
        <is>
          <t>بله</t>
        </is>
      </c>
    </row>
    <row r="1724">
      <c r="A1724" s="173" t="n">
        <v>46645</v>
      </c>
      <c r="B1724" s="174" t="n">
        <v>46645</v>
      </c>
      <c r="C1724" s="174" t="n">
        <v>1406</v>
      </c>
      <c r="D1724" s="174" t="n">
        <v>6</v>
      </c>
      <c r="E1724" s="175" t="inlineStr">
        <is>
          <t>1406/06/24</t>
        </is>
      </c>
      <c r="F1724" s="128" t="inlineStr">
        <is>
          <t>1406/06</t>
        </is>
      </c>
      <c r="G1724" s="58" t="inlineStr">
        <is>
          <t>شهریور</t>
        </is>
      </c>
      <c r="H1724" s="128" t="inlineStr">
        <is>
          <t>تابستان</t>
        </is>
      </c>
      <c r="I1724" s="128" t="inlineStr">
        <is>
          <t>چهارشنبه</t>
        </is>
      </c>
      <c r="J1724" s="128" t="inlineStr">
        <is>
          <t>بله</t>
        </is>
      </c>
    </row>
    <row r="1725">
      <c r="A1725" s="176" t="n">
        <v>46646</v>
      </c>
      <c r="B1725" s="177" t="n">
        <v>46646</v>
      </c>
      <c r="C1725" s="177" t="n">
        <v>1406</v>
      </c>
      <c r="D1725" s="177" t="n">
        <v>6</v>
      </c>
      <c r="E1725" s="178" t="inlineStr">
        <is>
          <t>1406/06/25</t>
        </is>
      </c>
      <c r="F1725" s="134" t="inlineStr">
        <is>
          <t>1406/06</t>
        </is>
      </c>
      <c r="G1725" s="61" t="inlineStr">
        <is>
          <t>شهریور</t>
        </is>
      </c>
      <c r="H1725" s="134" t="inlineStr">
        <is>
          <t>تابستان</t>
        </is>
      </c>
      <c r="I1725" s="134" t="inlineStr">
        <is>
          <t>پنجشنبه</t>
        </is>
      </c>
      <c r="J1725" s="134" t="inlineStr">
        <is>
          <t>بله</t>
        </is>
      </c>
    </row>
    <row r="1726">
      <c r="A1726" s="173" t="n">
        <v>46647</v>
      </c>
      <c r="B1726" s="174" t="n">
        <v>46647</v>
      </c>
      <c r="C1726" s="174" t="n">
        <v>1406</v>
      </c>
      <c r="D1726" s="174" t="n">
        <v>6</v>
      </c>
      <c r="E1726" s="175" t="inlineStr">
        <is>
          <t>1406/06/26</t>
        </is>
      </c>
      <c r="F1726" s="128" t="inlineStr">
        <is>
          <t>1406/06</t>
        </is>
      </c>
      <c r="G1726" s="58" t="inlineStr">
        <is>
          <t>شهریور</t>
        </is>
      </c>
      <c r="H1726" s="128" t="inlineStr">
        <is>
          <t>تابستان</t>
        </is>
      </c>
      <c r="I1726" s="128" t="inlineStr">
        <is>
          <t>جمعه</t>
        </is>
      </c>
      <c r="J1726" s="128" t="inlineStr">
        <is>
          <t>بله</t>
        </is>
      </c>
    </row>
    <row r="1727">
      <c r="A1727" s="176" t="n">
        <v>46648</v>
      </c>
      <c r="B1727" s="177" t="n">
        <v>46648</v>
      </c>
      <c r="C1727" s="177" t="n">
        <v>1406</v>
      </c>
      <c r="D1727" s="177" t="n">
        <v>6</v>
      </c>
      <c r="E1727" s="178" t="inlineStr">
        <is>
          <t>1406/06/27</t>
        </is>
      </c>
      <c r="F1727" s="134" t="inlineStr">
        <is>
          <t>1406/06</t>
        </is>
      </c>
      <c r="G1727" s="61" t="inlineStr">
        <is>
          <t>شهریور</t>
        </is>
      </c>
      <c r="H1727" s="134" t="inlineStr">
        <is>
          <t>تابستان</t>
        </is>
      </c>
      <c r="I1727" s="134" t="inlineStr">
        <is>
          <t>شنبه</t>
        </is>
      </c>
      <c r="J1727" s="134" t="inlineStr">
        <is>
          <t>خیر</t>
        </is>
      </c>
    </row>
    <row r="1728">
      <c r="A1728" s="173" t="n">
        <v>46649</v>
      </c>
      <c r="B1728" s="174" t="n">
        <v>46649</v>
      </c>
      <c r="C1728" s="174" t="n">
        <v>1406</v>
      </c>
      <c r="D1728" s="174" t="n">
        <v>6</v>
      </c>
      <c r="E1728" s="175" t="inlineStr">
        <is>
          <t>1406/06/28</t>
        </is>
      </c>
      <c r="F1728" s="128" t="inlineStr">
        <is>
          <t>1406/06</t>
        </is>
      </c>
      <c r="G1728" s="58" t="inlineStr">
        <is>
          <t>شهریور</t>
        </is>
      </c>
      <c r="H1728" s="128" t="inlineStr">
        <is>
          <t>تابستان</t>
        </is>
      </c>
      <c r="I1728" s="128" t="inlineStr">
        <is>
          <t>یکشنبه</t>
        </is>
      </c>
      <c r="J1728" s="128" t="inlineStr">
        <is>
          <t>خیر</t>
        </is>
      </c>
    </row>
    <row r="1729">
      <c r="A1729" s="176" t="n">
        <v>46650</v>
      </c>
      <c r="B1729" s="177" t="n">
        <v>46650</v>
      </c>
      <c r="C1729" s="177" t="n">
        <v>1406</v>
      </c>
      <c r="D1729" s="177" t="n">
        <v>6</v>
      </c>
      <c r="E1729" s="178" t="inlineStr">
        <is>
          <t>1406/06/29</t>
        </is>
      </c>
      <c r="F1729" s="134" t="inlineStr">
        <is>
          <t>1406/06</t>
        </is>
      </c>
      <c r="G1729" s="61" t="inlineStr">
        <is>
          <t>شهریور</t>
        </is>
      </c>
      <c r="H1729" s="134" t="inlineStr">
        <is>
          <t>تابستان</t>
        </is>
      </c>
      <c r="I1729" s="134" t="inlineStr">
        <is>
          <t>دوشنبه</t>
        </is>
      </c>
      <c r="J1729" s="134" t="inlineStr">
        <is>
          <t>بله</t>
        </is>
      </c>
    </row>
    <row r="1730">
      <c r="A1730" s="173" t="n">
        <v>46651</v>
      </c>
      <c r="B1730" s="174" t="n">
        <v>46651</v>
      </c>
      <c r="C1730" s="174" t="n">
        <v>1406</v>
      </c>
      <c r="D1730" s="174" t="n">
        <v>6</v>
      </c>
      <c r="E1730" s="175" t="inlineStr">
        <is>
          <t>1406/06/30</t>
        </is>
      </c>
      <c r="F1730" s="128" t="inlineStr">
        <is>
          <t>1406/06</t>
        </is>
      </c>
      <c r="G1730" s="58" t="inlineStr">
        <is>
          <t>شهریور</t>
        </is>
      </c>
      <c r="H1730" s="128" t="inlineStr">
        <is>
          <t>تابستان</t>
        </is>
      </c>
      <c r="I1730" s="128" t="inlineStr">
        <is>
          <t>سه‌شنبه</t>
        </is>
      </c>
      <c r="J1730" s="128" t="inlineStr">
        <is>
          <t>بله</t>
        </is>
      </c>
    </row>
    <row r="1731">
      <c r="A1731" s="176" t="n">
        <v>46652</v>
      </c>
      <c r="B1731" s="177" t="n">
        <v>46652</v>
      </c>
      <c r="C1731" s="177" t="n">
        <v>1406</v>
      </c>
      <c r="D1731" s="177" t="n">
        <v>6</v>
      </c>
      <c r="E1731" s="178" t="inlineStr">
        <is>
          <t>1406/06/31</t>
        </is>
      </c>
      <c r="F1731" s="134" t="inlineStr">
        <is>
          <t>1406/06</t>
        </is>
      </c>
      <c r="G1731" s="61" t="inlineStr">
        <is>
          <t>شهریور</t>
        </is>
      </c>
      <c r="H1731" s="134" t="inlineStr">
        <is>
          <t>تابستان</t>
        </is>
      </c>
      <c r="I1731" s="134" t="inlineStr">
        <is>
          <t>چهارشنبه</t>
        </is>
      </c>
      <c r="J1731" s="134" t="inlineStr">
        <is>
          <t>بله</t>
        </is>
      </c>
    </row>
    <row r="1732">
      <c r="A1732" s="173" t="n">
        <v>46653</v>
      </c>
      <c r="B1732" s="174" t="n">
        <v>46653</v>
      </c>
      <c r="C1732" s="174" t="n">
        <v>1406</v>
      </c>
      <c r="D1732" s="174" t="n">
        <v>7</v>
      </c>
      <c r="E1732" s="175" t="inlineStr">
        <is>
          <t>1406/07/01</t>
        </is>
      </c>
      <c r="F1732" s="128" t="inlineStr">
        <is>
          <t>1406/07</t>
        </is>
      </c>
      <c r="G1732" s="58" t="inlineStr">
        <is>
          <t>مهر</t>
        </is>
      </c>
      <c r="H1732" s="128" t="inlineStr">
        <is>
          <t>پاییز</t>
        </is>
      </c>
      <c r="I1732" s="128" t="inlineStr">
        <is>
          <t>پنجشنبه</t>
        </is>
      </c>
      <c r="J1732" s="128" t="inlineStr">
        <is>
          <t>بله</t>
        </is>
      </c>
    </row>
    <row r="1733">
      <c r="A1733" s="176" t="n">
        <v>46654</v>
      </c>
      <c r="B1733" s="177" t="n">
        <v>46654</v>
      </c>
      <c r="C1733" s="177" t="n">
        <v>1406</v>
      </c>
      <c r="D1733" s="177" t="n">
        <v>7</v>
      </c>
      <c r="E1733" s="178" t="inlineStr">
        <is>
          <t>1406/07/02</t>
        </is>
      </c>
      <c r="F1733" s="134" t="inlineStr">
        <is>
          <t>1406/07</t>
        </is>
      </c>
      <c r="G1733" s="61" t="inlineStr">
        <is>
          <t>مهر</t>
        </is>
      </c>
      <c r="H1733" s="134" t="inlineStr">
        <is>
          <t>پاییز</t>
        </is>
      </c>
      <c r="I1733" s="134" t="inlineStr">
        <is>
          <t>جمعه</t>
        </is>
      </c>
      <c r="J1733" s="134" t="inlineStr">
        <is>
          <t>بله</t>
        </is>
      </c>
    </row>
    <row r="1734">
      <c r="A1734" s="173" t="n">
        <v>46655</v>
      </c>
      <c r="B1734" s="174" t="n">
        <v>46655</v>
      </c>
      <c r="C1734" s="174" t="n">
        <v>1406</v>
      </c>
      <c r="D1734" s="174" t="n">
        <v>7</v>
      </c>
      <c r="E1734" s="175" t="inlineStr">
        <is>
          <t>1406/07/03</t>
        </is>
      </c>
      <c r="F1734" s="128" t="inlineStr">
        <is>
          <t>1406/07</t>
        </is>
      </c>
      <c r="G1734" s="58" t="inlineStr">
        <is>
          <t>مهر</t>
        </is>
      </c>
      <c r="H1734" s="128" t="inlineStr">
        <is>
          <t>پاییز</t>
        </is>
      </c>
      <c r="I1734" s="128" t="inlineStr">
        <is>
          <t>شنبه</t>
        </is>
      </c>
      <c r="J1734" s="128" t="inlineStr">
        <is>
          <t>خیر</t>
        </is>
      </c>
    </row>
    <row r="1735">
      <c r="A1735" s="176" t="n">
        <v>46656</v>
      </c>
      <c r="B1735" s="177" t="n">
        <v>46656</v>
      </c>
      <c r="C1735" s="177" t="n">
        <v>1406</v>
      </c>
      <c r="D1735" s="177" t="n">
        <v>7</v>
      </c>
      <c r="E1735" s="178" t="inlineStr">
        <is>
          <t>1406/07/04</t>
        </is>
      </c>
      <c r="F1735" s="134" t="inlineStr">
        <is>
          <t>1406/07</t>
        </is>
      </c>
      <c r="G1735" s="61" t="inlineStr">
        <is>
          <t>مهر</t>
        </is>
      </c>
      <c r="H1735" s="134" t="inlineStr">
        <is>
          <t>پاییز</t>
        </is>
      </c>
      <c r="I1735" s="134" t="inlineStr">
        <is>
          <t>یکشنبه</t>
        </is>
      </c>
      <c r="J1735" s="134" t="inlineStr">
        <is>
          <t>خیر</t>
        </is>
      </c>
    </row>
    <row r="1736">
      <c r="A1736" s="173" t="n">
        <v>46657</v>
      </c>
      <c r="B1736" s="174" t="n">
        <v>46657</v>
      </c>
      <c r="C1736" s="174" t="n">
        <v>1406</v>
      </c>
      <c r="D1736" s="174" t="n">
        <v>7</v>
      </c>
      <c r="E1736" s="175" t="inlineStr">
        <is>
          <t>1406/07/05</t>
        </is>
      </c>
      <c r="F1736" s="128" t="inlineStr">
        <is>
          <t>1406/07</t>
        </is>
      </c>
      <c r="G1736" s="58" t="inlineStr">
        <is>
          <t>مهر</t>
        </is>
      </c>
      <c r="H1736" s="128" t="inlineStr">
        <is>
          <t>پاییز</t>
        </is>
      </c>
      <c r="I1736" s="128" t="inlineStr">
        <is>
          <t>دوشنبه</t>
        </is>
      </c>
      <c r="J1736" s="128" t="inlineStr">
        <is>
          <t>بله</t>
        </is>
      </c>
    </row>
    <row r="1737">
      <c r="A1737" s="176" t="n">
        <v>46658</v>
      </c>
      <c r="B1737" s="177" t="n">
        <v>46658</v>
      </c>
      <c r="C1737" s="177" t="n">
        <v>1406</v>
      </c>
      <c r="D1737" s="177" t="n">
        <v>7</v>
      </c>
      <c r="E1737" s="178" t="inlineStr">
        <is>
          <t>1406/07/06</t>
        </is>
      </c>
      <c r="F1737" s="134" t="inlineStr">
        <is>
          <t>1406/07</t>
        </is>
      </c>
      <c r="G1737" s="61" t="inlineStr">
        <is>
          <t>مهر</t>
        </is>
      </c>
      <c r="H1737" s="134" t="inlineStr">
        <is>
          <t>پاییز</t>
        </is>
      </c>
      <c r="I1737" s="134" t="inlineStr">
        <is>
          <t>سه‌شنبه</t>
        </is>
      </c>
      <c r="J1737" s="134" t="inlineStr">
        <is>
          <t>بله</t>
        </is>
      </c>
    </row>
    <row r="1738">
      <c r="A1738" s="173" t="n">
        <v>46659</v>
      </c>
      <c r="B1738" s="174" t="n">
        <v>46659</v>
      </c>
      <c r="C1738" s="174" t="n">
        <v>1406</v>
      </c>
      <c r="D1738" s="174" t="n">
        <v>7</v>
      </c>
      <c r="E1738" s="175" t="inlineStr">
        <is>
          <t>1406/07/07</t>
        </is>
      </c>
      <c r="F1738" s="128" t="inlineStr">
        <is>
          <t>1406/07</t>
        </is>
      </c>
      <c r="G1738" s="58" t="inlineStr">
        <is>
          <t>مهر</t>
        </is>
      </c>
      <c r="H1738" s="128" t="inlineStr">
        <is>
          <t>پاییز</t>
        </is>
      </c>
      <c r="I1738" s="128" t="inlineStr">
        <is>
          <t>چهارشنبه</t>
        </is>
      </c>
      <c r="J1738" s="128" t="inlineStr">
        <is>
          <t>بله</t>
        </is>
      </c>
    </row>
    <row r="1739">
      <c r="A1739" s="176" t="n">
        <v>46660</v>
      </c>
      <c r="B1739" s="177" t="n">
        <v>46660</v>
      </c>
      <c r="C1739" s="177" t="n">
        <v>1406</v>
      </c>
      <c r="D1739" s="177" t="n">
        <v>7</v>
      </c>
      <c r="E1739" s="178" t="inlineStr">
        <is>
          <t>1406/07/08</t>
        </is>
      </c>
      <c r="F1739" s="134" t="inlineStr">
        <is>
          <t>1406/07</t>
        </is>
      </c>
      <c r="G1739" s="61" t="inlineStr">
        <is>
          <t>مهر</t>
        </is>
      </c>
      <c r="H1739" s="134" t="inlineStr">
        <is>
          <t>پاییز</t>
        </is>
      </c>
      <c r="I1739" s="134" t="inlineStr">
        <is>
          <t>پنجشنبه</t>
        </is>
      </c>
      <c r="J1739" s="134" t="inlineStr">
        <is>
          <t>بله</t>
        </is>
      </c>
    </row>
    <row r="1740">
      <c r="A1740" s="173" t="n">
        <v>46661</v>
      </c>
      <c r="B1740" s="174" t="n">
        <v>46661</v>
      </c>
      <c r="C1740" s="174" t="n">
        <v>1406</v>
      </c>
      <c r="D1740" s="174" t="n">
        <v>7</v>
      </c>
      <c r="E1740" s="175" t="inlineStr">
        <is>
          <t>1406/07/09</t>
        </is>
      </c>
      <c r="F1740" s="128" t="inlineStr">
        <is>
          <t>1406/07</t>
        </is>
      </c>
      <c r="G1740" s="58" t="inlineStr">
        <is>
          <t>مهر</t>
        </is>
      </c>
      <c r="H1740" s="128" t="inlineStr">
        <is>
          <t>پاییز</t>
        </is>
      </c>
      <c r="I1740" s="128" t="inlineStr">
        <is>
          <t>جمعه</t>
        </is>
      </c>
      <c r="J1740" s="128" t="inlineStr">
        <is>
          <t>بله</t>
        </is>
      </c>
    </row>
    <row r="1741">
      <c r="A1741" s="176" t="n">
        <v>46662</v>
      </c>
      <c r="B1741" s="177" t="n">
        <v>46662</v>
      </c>
      <c r="C1741" s="177" t="n">
        <v>1406</v>
      </c>
      <c r="D1741" s="177" t="n">
        <v>7</v>
      </c>
      <c r="E1741" s="178" t="inlineStr">
        <is>
          <t>1406/07/10</t>
        </is>
      </c>
      <c r="F1741" s="134" t="inlineStr">
        <is>
          <t>1406/07</t>
        </is>
      </c>
      <c r="G1741" s="61" t="inlineStr">
        <is>
          <t>مهر</t>
        </is>
      </c>
      <c r="H1741" s="134" t="inlineStr">
        <is>
          <t>پاییز</t>
        </is>
      </c>
      <c r="I1741" s="134" t="inlineStr">
        <is>
          <t>شنبه</t>
        </is>
      </c>
      <c r="J1741" s="134" t="inlineStr">
        <is>
          <t>خیر</t>
        </is>
      </c>
    </row>
    <row r="1742">
      <c r="A1742" s="173" t="n">
        <v>46663</v>
      </c>
      <c r="B1742" s="174" t="n">
        <v>46663</v>
      </c>
      <c r="C1742" s="174" t="n">
        <v>1406</v>
      </c>
      <c r="D1742" s="174" t="n">
        <v>7</v>
      </c>
      <c r="E1742" s="175" t="inlineStr">
        <is>
          <t>1406/07/11</t>
        </is>
      </c>
      <c r="F1742" s="128" t="inlineStr">
        <is>
          <t>1406/07</t>
        </is>
      </c>
      <c r="G1742" s="58" t="inlineStr">
        <is>
          <t>مهر</t>
        </is>
      </c>
      <c r="H1742" s="128" t="inlineStr">
        <is>
          <t>پاییز</t>
        </is>
      </c>
      <c r="I1742" s="128" t="inlineStr">
        <is>
          <t>یکشنبه</t>
        </is>
      </c>
      <c r="J1742" s="128" t="inlineStr">
        <is>
          <t>خیر</t>
        </is>
      </c>
    </row>
    <row r="1743">
      <c r="A1743" s="176" t="n">
        <v>46664</v>
      </c>
      <c r="B1743" s="177" t="n">
        <v>46664</v>
      </c>
      <c r="C1743" s="177" t="n">
        <v>1406</v>
      </c>
      <c r="D1743" s="177" t="n">
        <v>7</v>
      </c>
      <c r="E1743" s="178" t="inlineStr">
        <is>
          <t>1406/07/12</t>
        </is>
      </c>
      <c r="F1743" s="134" t="inlineStr">
        <is>
          <t>1406/07</t>
        </is>
      </c>
      <c r="G1743" s="61" t="inlineStr">
        <is>
          <t>مهر</t>
        </is>
      </c>
      <c r="H1743" s="134" t="inlineStr">
        <is>
          <t>پاییز</t>
        </is>
      </c>
      <c r="I1743" s="134" t="inlineStr">
        <is>
          <t>دوشنبه</t>
        </is>
      </c>
      <c r="J1743" s="134" t="inlineStr">
        <is>
          <t>بله</t>
        </is>
      </c>
    </row>
    <row r="1744">
      <c r="A1744" s="173" t="n">
        <v>46665</v>
      </c>
      <c r="B1744" s="174" t="n">
        <v>46665</v>
      </c>
      <c r="C1744" s="174" t="n">
        <v>1406</v>
      </c>
      <c r="D1744" s="174" t="n">
        <v>7</v>
      </c>
      <c r="E1744" s="175" t="inlineStr">
        <is>
          <t>1406/07/13</t>
        </is>
      </c>
      <c r="F1744" s="128" t="inlineStr">
        <is>
          <t>1406/07</t>
        </is>
      </c>
      <c r="G1744" s="58" t="inlineStr">
        <is>
          <t>مهر</t>
        </is>
      </c>
      <c r="H1744" s="128" t="inlineStr">
        <is>
          <t>پاییز</t>
        </is>
      </c>
      <c r="I1744" s="128" t="inlineStr">
        <is>
          <t>سه‌شنبه</t>
        </is>
      </c>
      <c r="J1744" s="128" t="inlineStr">
        <is>
          <t>بله</t>
        </is>
      </c>
    </row>
    <row r="1745">
      <c r="A1745" s="176" t="n">
        <v>46666</v>
      </c>
      <c r="B1745" s="177" t="n">
        <v>46666</v>
      </c>
      <c r="C1745" s="177" t="n">
        <v>1406</v>
      </c>
      <c r="D1745" s="177" t="n">
        <v>7</v>
      </c>
      <c r="E1745" s="178" t="inlineStr">
        <is>
          <t>1406/07/14</t>
        </is>
      </c>
      <c r="F1745" s="134" t="inlineStr">
        <is>
          <t>1406/07</t>
        </is>
      </c>
      <c r="G1745" s="61" t="inlineStr">
        <is>
          <t>مهر</t>
        </is>
      </c>
      <c r="H1745" s="134" t="inlineStr">
        <is>
          <t>پاییز</t>
        </is>
      </c>
      <c r="I1745" s="134" t="inlineStr">
        <is>
          <t>چهارشنبه</t>
        </is>
      </c>
      <c r="J1745" s="134" t="inlineStr">
        <is>
          <t>بله</t>
        </is>
      </c>
    </row>
    <row r="1746">
      <c r="A1746" s="173" t="n">
        <v>46667</v>
      </c>
      <c r="B1746" s="174" t="n">
        <v>46667</v>
      </c>
      <c r="C1746" s="174" t="n">
        <v>1406</v>
      </c>
      <c r="D1746" s="174" t="n">
        <v>7</v>
      </c>
      <c r="E1746" s="175" t="inlineStr">
        <is>
          <t>1406/07/15</t>
        </is>
      </c>
      <c r="F1746" s="128" t="inlineStr">
        <is>
          <t>1406/07</t>
        </is>
      </c>
      <c r="G1746" s="58" t="inlineStr">
        <is>
          <t>مهر</t>
        </is>
      </c>
      <c r="H1746" s="128" t="inlineStr">
        <is>
          <t>پاییز</t>
        </is>
      </c>
      <c r="I1746" s="128" t="inlineStr">
        <is>
          <t>پنجشنبه</t>
        </is>
      </c>
      <c r="J1746" s="128" t="inlineStr">
        <is>
          <t>بله</t>
        </is>
      </c>
    </row>
    <row r="1747">
      <c r="A1747" s="176" t="n">
        <v>46668</v>
      </c>
      <c r="B1747" s="177" t="n">
        <v>46668</v>
      </c>
      <c r="C1747" s="177" t="n">
        <v>1406</v>
      </c>
      <c r="D1747" s="177" t="n">
        <v>7</v>
      </c>
      <c r="E1747" s="178" t="inlineStr">
        <is>
          <t>1406/07/16</t>
        </is>
      </c>
      <c r="F1747" s="134" t="inlineStr">
        <is>
          <t>1406/07</t>
        </is>
      </c>
      <c r="G1747" s="61" t="inlineStr">
        <is>
          <t>مهر</t>
        </is>
      </c>
      <c r="H1747" s="134" t="inlineStr">
        <is>
          <t>پاییز</t>
        </is>
      </c>
      <c r="I1747" s="134" t="inlineStr">
        <is>
          <t>جمعه</t>
        </is>
      </c>
      <c r="J1747" s="134" t="inlineStr">
        <is>
          <t>بله</t>
        </is>
      </c>
    </row>
    <row r="1748">
      <c r="A1748" s="173" t="n">
        <v>46669</v>
      </c>
      <c r="B1748" s="174" t="n">
        <v>46669</v>
      </c>
      <c r="C1748" s="174" t="n">
        <v>1406</v>
      </c>
      <c r="D1748" s="174" t="n">
        <v>7</v>
      </c>
      <c r="E1748" s="175" t="inlineStr">
        <is>
          <t>1406/07/17</t>
        </is>
      </c>
      <c r="F1748" s="128" t="inlineStr">
        <is>
          <t>1406/07</t>
        </is>
      </c>
      <c r="G1748" s="58" t="inlineStr">
        <is>
          <t>مهر</t>
        </is>
      </c>
      <c r="H1748" s="128" t="inlineStr">
        <is>
          <t>پاییز</t>
        </is>
      </c>
      <c r="I1748" s="128" t="inlineStr">
        <is>
          <t>شنبه</t>
        </is>
      </c>
      <c r="J1748" s="128" t="inlineStr">
        <is>
          <t>خیر</t>
        </is>
      </c>
    </row>
    <row r="1749">
      <c r="A1749" s="176" t="n">
        <v>46670</v>
      </c>
      <c r="B1749" s="177" t="n">
        <v>46670</v>
      </c>
      <c r="C1749" s="177" t="n">
        <v>1406</v>
      </c>
      <c r="D1749" s="177" t="n">
        <v>7</v>
      </c>
      <c r="E1749" s="178" t="inlineStr">
        <is>
          <t>1406/07/18</t>
        </is>
      </c>
      <c r="F1749" s="134" t="inlineStr">
        <is>
          <t>1406/07</t>
        </is>
      </c>
      <c r="G1749" s="61" t="inlineStr">
        <is>
          <t>مهر</t>
        </is>
      </c>
      <c r="H1749" s="134" t="inlineStr">
        <is>
          <t>پاییز</t>
        </is>
      </c>
      <c r="I1749" s="134" t="inlineStr">
        <is>
          <t>یکشنبه</t>
        </is>
      </c>
      <c r="J1749" s="134" t="inlineStr">
        <is>
          <t>خیر</t>
        </is>
      </c>
    </row>
    <row r="1750">
      <c r="A1750" s="173" t="n">
        <v>46671</v>
      </c>
      <c r="B1750" s="174" t="n">
        <v>46671</v>
      </c>
      <c r="C1750" s="174" t="n">
        <v>1406</v>
      </c>
      <c r="D1750" s="174" t="n">
        <v>7</v>
      </c>
      <c r="E1750" s="175" t="inlineStr">
        <is>
          <t>1406/07/19</t>
        </is>
      </c>
      <c r="F1750" s="128" t="inlineStr">
        <is>
          <t>1406/07</t>
        </is>
      </c>
      <c r="G1750" s="58" t="inlineStr">
        <is>
          <t>مهر</t>
        </is>
      </c>
      <c r="H1750" s="128" t="inlineStr">
        <is>
          <t>پاییز</t>
        </is>
      </c>
      <c r="I1750" s="128" t="inlineStr">
        <is>
          <t>دوشنبه</t>
        </is>
      </c>
      <c r="J1750" s="128" t="inlineStr">
        <is>
          <t>بله</t>
        </is>
      </c>
    </row>
    <row r="1751">
      <c r="A1751" s="176" t="n">
        <v>46672</v>
      </c>
      <c r="B1751" s="177" t="n">
        <v>46672</v>
      </c>
      <c r="C1751" s="177" t="n">
        <v>1406</v>
      </c>
      <c r="D1751" s="177" t="n">
        <v>7</v>
      </c>
      <c r="E1751" s="178" t="inlineStr">
        <is>
          <t>1406/07/20</t>
        </is>
      </c>
      <c r="F1751" s="134" t="inlineStr">
        <is>
          <t>1406/07</t>
        </is>
      </c>
      <c r="G1751" s="61" t="inlineStr">
        <is>
          <t>مهر</t>
        </is>
      </c>
      <c r="H1751" s="134" t="inlineStr">
        <is>
          <t>پاییز</t>
        </is>
      </c>
      <c r="I1751" s="134" t="inlineStr">
        <is>
          <t>سه‌شنبه</t>
        </is>
      </c>
      <c r="J1751" s="134" t="inlineStr">
        <is>
          <t>بله</t>
        </is>
      </c>
    </row>
    <row r="1752">
      <c r="A1752" s="173" t="n">
        <v>46673</v>
      </c>
      <c r="B1752" s="174" t="n">
        <v>46673</v>
      </c>
      <c r="C1752" s="174" t="n">
        <v>1406</v>
      </c>
      <c r="D1752" s="174" t="n">
        <v>7</v>
      </c>
      <c r="E1752" s="175" t="inlineStr">
        <is>
          <t>1406/07/21</t>
        </is>
      </c>
      <c r="F1752" s="128" t="inlineStr">
        <is>
          <t>1406/07</t>
        </is>
      </c>
      <c r="G1752" s="58" t="inlineStr">
        <is>
          <t>مهر</t>
        </is>
      </c>
      <c r="H1752" s="128" t="inlineStr">
        <is>
          <t>پاییز</t>
        </is>
      </c>
      <c r="I1752" s="128" t="inlineStr">
        <is>
          <t>چهارشنبه</t>
        </is>
      </c>
      <c r="J1752" s="128" t="inlineStr">
        <is>
          <t>بله</t>
        </is>
      </c>
    </row>
    <row r="1753">
      <c r="A1753" s="176" t="n">
        <v>46674</v>
      </c>
      <c r="B1753" s="177" t="n">
        <v>46674</v>
      </c>
      <c r="C1753" s="177" t="n">
        <v>1406</v>
      </c>
      <c r="D1753" s="177" t="n">
        <v>7</v>
      </c>
      <c r="E1753" s="178" t="inlineStr">
        <is>
          <t>1406/07/22</t>
        </is>
      </c>
      <c r="F1753" s="134" t="inlineStr">
        <is>
          <t>1406/07</t>
        </is>
      </c>
      <c r="G1753" s="61" t="inlineStr">
        <is>
          <t>مهر</t>
        </is>
      </c>
      <c r="H1753" s="134" t="inlineStr">
        <is>
          <t>پاییز</t>
        </is>
      </c>
      <c r="I1753" s="134" t="inlineStr">
        <is>
          <t>پنجشنبه</t>
        </is>
      </c>
      <c r="J1753" s="134" t="inlineStr">
        <is>
          <t>بله</t>
        </is>
      </c>
    </row>
    <row r="1754">
      <c r="A1754" s="173" t="n">
        <v>46675</v>
      </c>
      <c r="B1754" s="174" t="n">
        <v>46675</v>
      </c>
      <c r="C1754" s="174" t="n">
        <v>1406</v>
      </c>
      <c r="D1754" s="174" t="n">
        <v>7</v>
      </c>
      <c r="E1754" s="175" t="inlineStr">
        <is>
          <t>1406/07/23</t>
        </is>
      </c>
      <c r="F1754" s="128" t="inlineStr">
        <is>
          <t>1406/07</t>
        </is>
      </c>
      <c r="G1754" s="58" t="inlineStr">
        <is>
          <t>مهر</t>
        </is>
      </c>
      <c r="H1754" s="128" t="inlineStr">
        <is>
          <t>پاییز</t>
        </is>
      </c>
      <c r="I1754" s="128" t="inlineStr">
        <is>
          <t>جمعه</t>
        </is>
      </c>
      <c r="J1754" s="128" t="inlineStr">
        <is>
          <t>بله</t>
        </is>
      </c>
    </row>
    <row r="1755">
      <c r="A1755" s="176" t="n">
        <v>46676</v>
      </c>
      <c r="B1755" s="177" t="n">
        <v>46676</v>
      </c>
      <c r="C1755" s="177" t="n">
        <v>1406</v>
      </c>
      <c r="D1755" s="177" t="n">
        <v>7</v>
      </c>
      <c r="E1755" s="178" t="inlineStr">
        <is>
          <t>1406/07/24</t>
        </is>
      </c>
      <c r="F1755" s="134" t="inlineStr">
        <is>
          <t>1406/07</t>
        </is>
      </c>
      <c r="G1755" s="61" t="inlineStr">
        <is>
          <t>مهر</t>
        </is>
      </c>
      <c r="H1755" s="134" t="inlineStr">
        <is>
          <t>پاییز</t>
        </is>
      </c>
      <c r="I1755" s="134" t="inlineStr">
        <is>
          <t>شنبه</t>
        </is>
      </c>
      <c r="J1755" s="134" t="inlineStr">
        <is>
          <t>خیر</t>
        </is>
      </c>
    </row>
    <row r="1756">
      <c r="A1756" s="173" t="n">
        <v>46677</v>
      </c>
      <c r="B1756" s="174" t="n">
        <v>46677</v>
      </c>
      <c r="C1756" s="174" t="n">
        <v>1406</v>
      </c>
      <c r="D1756" s="174" t="n">
        <v>7</v>
      </c>
      <c r="E1756" s="175" t="inlineStr">
        <is>
          <t>1406/07/25</t>
        </is>
      </c>
      <c r="F1756" s="128" t="inlineStr">
        <is>
          <t>1406/07</t>
        </is>
      </c>
      <c r="G1756" s="58" t="inlineStr">
        <is>
          <t>مهر</t>
        </is>
      </c>
      <c r="H1756" s="128" t="inlineStr">
        <is>
          <t>پاییز</t>
        </is>
      </c>
      <c r="I1756" s="128" t="inlineStr">
        <is>
          <t>یکشنبه</t>
        </is>
      </c>
      <c r="J1756" s="128" t="inlineStr">
        <is>
          <t>خیر</t>
        </is>
      </c>
    </row>
    <row r="1757">
      <c r="A1757" s="176" t="n">
        <v>46678</v>
      </c>
      <c r="B1757" s="177" t="n">
        <v>46678</v>
      </c>
      <c r="C1757" s="177" t="n">
        <v>1406</v>
      </c>
      <c r="D1757" s="177" t="n">
        <v>7</v>
      </c>
      <c r="E1757" s="178" t="inlineStr">
        <is>
          <t>1406/07/26</t>
        </is>
      </c>
      <c r="F1757" s="134" t="inlineStr">
        <is>
          <t>1406/07</t>
        </is>
      </c>
      <c r="G1757" s="61" t="inlineStr">
        <is>
          <t>مهر</t>
        </is>
      </c>
      <c r="H1757" s="134" t="inlineStr">
        <is>
          <t>پاییز</t>
        </is>
      </c>
      <c r="I1757" s="134" t="inlineStr">
        <is>
          <t>دوشنبه</t>
        </is>
      </c>
      <c r="J1757" s="134" t="inlineStr">
        <is>
          <t>بله</t>
        </is>
      </c>
    </row>
    <row r="1758">
      <c r="A1758" s="173" t="n">
        <v>46679</v>
      </c>
      <c r="B1758" s="174" t="n">
        <v>46679</v>
      </c>
      <c r="C1758" s="174" t="n">
        <v>1406</v>
      </c>
      <c r="D1758" s="174" t="n">
        <v>7</v>
      </c>
      <c r="E1758" s="175" t="inlineStr">
        <is>
          <t>1406/07/27</t>
        </is>
      </c>
      <c r="F1758" s="128" t="inlineStr">
        <is>
          <t>1406/07</t>
        </is>
      </c>
      <c r="G1758" s="58" t="inlineStr">
        <is>
          <t>مهر</t>
        </is>
      </c>
      <c r="H1758" s="128" t="inlineStr">
        <is>
          <t>پاییز</t>
        </is>
      </c>
      <c r="I1758" s="128" t="inlineStr">
        <is>
          <t>سه‌شنبه</t>
        </is>
      </c>
      <c r="J1758" s="128" t="inlineStr">
        <is>
          <t>بله</t>
        </is>
      </c>
    </row>
    <row r="1759">
      <c r="A1759" s="176" t="n">
        <v>46680</v>
      </c>
      <c r="B1759" s="177" t="n">
        <v>46680</v>
      </c>
      <c r="C1759" s="177" t="n">
        <v>1406</v>
      </c>
      <c r="D1759" s="177" t="n">
        <v>7</v>
      </c>
      <c r="E1759" s="178" t="inlineStr">
        <is>
          <t>1406/07/28</t>
        </is>
      </c>
      <c r="F1759" s="134" t="inlineStr">
        <is>
          <t>1406/07</t>
        </is>
      </c>
      <c r="G1759" s="61" t="inlineStr">
        <is>
          <t>مهر</t>
        </is>
      </c>
      <c r="H1759" s="134" t="inlineStr">
        <is>
          <t>پاییز</t>
        </is>
      </c>
      <c r="I1759" s="134" t="inlineStr">
        <is>
          <t>چهارشنبه</t>
        </is>
      </c>
      <c r="J1759" s="134" t="inlineStr">
        <is>
          <t>بله</t>
        </is>
      </c>
    </row>
    <row r="1760">
      <c r="A1760" s="173" t="n">
        <v>46681</v>
      </c>
      <c r="B1760" s="174" t="n">
        <v>46681</v>
      </c>
      <c r="C1760" s="174" t="n">
        <v>1406</v>
      </c>
      <c r="D1760" s="174" t="n">
        <v>7</v>
      </c>
      <c r="E1760" s="175" t="inlineStr">
        <is>
          <t>1406/07/29</t>
        </is>
      </c>
      <c r="F1760" s="128" t="inlineStr">
        <is>
          <t>1406/07</t>
        </is>
      </c>
      <c r="G1760" s="58" t="inlineStr">
        <is>
          <t>مهر</t>
        </is>
      </c>
      <c r="H1760" s="128" t="inlineStr">
        <is>
          <t>پاییز</t>
        </is>
      </c>
      <c r="I1760" s="128" t="inlineStr">
        <is>
          <t>پنجشنبه</t>
        </is>
      </c>
      <c r="J1760" s="128" t="inlineStr">
        <is>
          <t>بله</t>
        </is>
      </c>
    </row>
    <row r="1761">
      <c r="A1761" s="176" t="n">
        <v>46682</v>
      </c>
      <c r="B1761" s="177" t="n">
        <v>46682</v>
      </c>
      <c r="C1761" s="177" t="n">
        <v>1406</v>
      </c>
      <c r="D1761" s="177" t="n">
        <v>7</v>
      </c>
      <c r="E1761" s="178" t="inlineStr">
        <is>
          <t>1406/07/30</t>
        </is>
      </c>
      <c r="F1761" s="134" t="inlineStr">
        <is>
          <t>1406/07</t>
        </is>
      </c>
      <c r="G1761" s="61" t="inlineStr">
        <is>
          <t>مهر</t>
        </is>
      </c>
      <c r="H1761" s="134" t="inlineStr">
        <is>
          <t>پاییز</t>
        </is>
      </c>
      <c r="I1761" s="134" t="inlineStr">
        <is>
          <t>جمعه</t>
        </is>
      </c>
      <c r="J1761" s="134" t="inlineStr">
        <is>
          <t>بله</t>
        </is>
      </c>
    </row>
    <row r="1762">
      <c r="A1762" s="173" t="n">
        <v>46683</v>
      </c>
      <c r="B1762" s="174" t="n">
        <v>46683</v>
      </c>
      <c r="C1762" s="174" t="n">
        <v>1406</v>
      </c>
      <c r="D1762" s="174" t="n">
        <v>8</v>
      </c>
      <c r="E1762" s="175" t="inlineStr">
        <is>
          <t>1406/08/01</t>
        </is>
      </c>
      <c r="F1762" s="128" t="inlineStr">
        <is>
          <t>1406/08</t>
        </is>
      </c>
      <c r="G1762" s="58" t="inlineStr">
        <is>
          <t>آبان</t>
        </is>
      </c>
      <c r="H1762" s="128" t="inlineStr">
        <is>
          <t>پاییز</t>
        </is>
      </c>
      <c r="I1762" s="128" t="inlineStr">
        <is>
          <t>شنبه</t>
        </is>
      </c>
      <c r="J1762" s="128" t="inlineStr">
        <is>
          <t>خیر</t>
        </is>
      </c>
    </row>
    <row r="1763">
      <c r="A1763" s="176" t="n">
        <v>46684</v>
      </c>
      <c r="B1763" s="177" t="n">
        <v>46684</v>
      </c>
      <c r="C1763" s="177" t="n">
        <v>1406</v>
      </c>
      <c r="D1763" s="177" t="n">
        <v>8</v>
      </c>
      <c r="E1763" s="178" t="inlineStr">
        <is>
          <t>1406/08/02</t>
        </is>
      </c>
      <c r="F1763" s="134" t="inlineStr">
        <is>
          <t>1406/08</t>
        </is>
      </c>
      <c r="G1763" s="61" t="inlineStr">
        <is>
          <t>آبان</t>
        </is>
      </c>
      <c r="H1763" s="134" t="inlineStr">
        <is>
          <t>پاییز</t>
        </is>
      </c>
      <c r="I1763" s="134" t="inlineStr">
        <is>
          <t>یکشنبه</t>
        </is>
      </c>
      <c r="J1763" s="134" t="inlineStr">
        <is>
          <t>خیر</t>
        </is>
      </c>
    </row>
    <row r="1764">
      <c r="A1764" s="173" t="n">
        <v>46685</v>
      </c>
      <c r="B1764" s="174" t="n">
        <v>46685</v>
      </c>
      <c r="C1764" s="174" t="n">
        <v>1406</v>
      </c>
      <c r="D1764" s="174" t="n">
        <v>8</v>
      </c>
      <c r="E1764" s="175" t="inlineStr">
        <is>
          <t>1406/08/03</t>
        </is>
      </c>
      <c r="F1764" s="128" t="inlineStr">
        <is>
          <t>1406/08</t>
        </is>
      </c>
      <c r="G1764" s="58" t="inlineStr">
        <is>
          <t>آبان</t>
        </is>
      </c>
      <c r="H1764" s="128" t="inlineStr">
        <is>
          <t>پاییز</t>
        </is>
      </c>
      <c r="I1764" s="128" t="inlineStr">
        <is>
          <t>دوشنبه</t>
        </is>
      </c>
      <c r="J1764" s="128" t="inlineStr">
        <is>
          <t>بله</t>
        </is>
      </c>
    </row>
    <row r="1765">
      <c r="A1765" s="176" t="n">
        <v>46686</v>
      </c>
      <c r="B1765" s="177" t="n">
        <v>46686</v>
      </c>
      <c r="C1765" s="177" t="n">
        <v>1406</v>
      </c>
      <c r="D1765" s="177" t="n">
        <v>8</v>
      </c>
      <c r="E1765" s="178" t="inlineStr">
        <is>
          <t>1406/08/04</t>
        </is>
      </c>
      <c r="F1765" s="134" t="inlineStr">
        <is>
          <t>1406/08</t>
        </is>
      </c>
      <c r="G1765" s="61" t="inlineStr">
        <is>
          <t>آبان</t>
        </is>
      </c>
      <c r="H1765" s="134" t="inlineStr">
        <is>
          <t>پاییز</t>
        </is>
      </c>
      <c r="I1765" s="134" t="inlineStr">
        <is>
          <t>سه‌شنبه</t>
        </is>
      </c>
      <c r="J1765" s="134" t="inlineStr">
        <is>
          <t>بله</t>
        </is>
      </c>
    </row>
    <row r="1766">
      <c r="A1766" s="173" t="n">
        <v>46687</v>
      </c>
      <c r="B1766" s="174" t="n">
        <v>46687</v>
      </c>
      <c r="C1766" s="174" t="n">
        <v>1406</v>
      </c>
      <c r="D1766" s="174" t="n">
        <v>8</v>
      </c>
      <c r="E1766" s="175" t="inlineStr">
        <is>
          <t>1406/08/05</t>
        </is>
      </c>
      <c r="F1766" s="128" t="inlineStr">
        <is>
          <t>1406/08</t>
        </is>
      </c>
      <c r="G1766" s="58" t="inlineStr">
        <is>
          <t>آبان</t>
        </is>
      </c>
      <c r="H1766" s="128" t="inlineStr">
        <is>
          <t>پاییز</t>
        </is>
      </c>
      <c r="I1766" s="128" t="inlineStr">
        <is>
          <t>چهارشنبه</t>
        </is>
      </c>
      <c r="J1766" s="128" t="inlineStr">
        <is>
          <t>بله</t>
        </is>
      </c>
    </row>
    <row r="1767">
      <c r="A1767" s="176" t="n">
        <v>46688</v>
      </c>
      <c r="B1767" s="177" t="n">
        <v>46688</v>
      </c>
      <c r="C1767" s="177" t="n">
        <v>1406</v>
      </c>
      <c r="D1767" s="177" t="n">
        <v>8</v>
      </c>
      <c r="E1767" s="178" t="inlineStr">
        <is>
          <t>1406/08/06</t>
        </is>
      </c>
      <c r="F1767" s="134" t="inlineStr">
        <is>
          <t>1406/08</t>
        </is>
      </c>
      <c r="G1767" s="61" t="inlineStr">
        <is>
          <t>آبان</t>
        </is>
      </c>
      <c r="H1767" s="134" t="inlineStr">
        <is>
          <t>پاییز</t>
        </is>
      </c>
      <c r="I1767" s="134" t="inlineStr">
        <is>
          <t>پنجشنبه</t>
        </is>
      </c>
      <c r="J1767" s="134" t="inlineStr">
        <is>
          <t>بله</t>
        </is>
      </c>
    </row>
    <row r="1768">
      <c r="A1768" s="173" t="n">
        <v>46689</v>
      </c>
      <c r="B1768" s="174" t="n">
        <v>46689</v>
      </c>
      <c r="C1768" s="174" t="n">
        <v>1406</v>
      </c>
      <c r="D1768" s="174" t="n">
        <v>8</v>
      </c>
      <c r="E1768" s="175" t="inlineStr">
        <is>
          <t>1406/08/07</t>
        </is>
      </c>
      <c r="F1768" s="128" t="inlineStr">
        <is>
          <t>1406/08</t>
        </is>
      </c>
      <c r="G1768" s="58" t="inlineStr">
        <is>
          <t>آبان</t>
        </is>
      </c>
      <c r="H1768" s="128" t="inlineStr">
        <is>
          <t>پاییز</t>
        </is>
      </c>
      <c r="I1768" s="128" t="inlineStr">
        <is>
          <t>جمعه</t>
        </is>
      </c>
      <c r="J1768" s="128" t="inlineStr">
        <is>
          <t>بله</t>
        </is>
      </c>
    </row>
    <row r="1769">
      <c r="A1769" s="176" t="n">
        <v>46690</v>
      </c>
      <c r="B1769" s="177" t="n">
        <v>46690</v>
      </c>
      <c r="C1769" s="177" t="n">
        <v>1406</v>
      </c>
      <c r="D1769" s="177" t="n">
        <v>8</v>
      </c>
      <c r="E1769" s="178" t="inlineStr">
        <is>
          <t>1406/08/08</t>
        </is>
      </c>
      <c r="F1769" s="134" t="inlineStr">
        <is>
          <t>1406/08</t>
        </is>
      </c>
      <c r="G1769" s="61" t="inlineStr">
        <is>
          <t>آبان</t>
        </is>
      </c>
      <c r="H1769" s="134" t="inlineStr">
        <is>
          <t>پاییز</t>
        </is>
      </c>
      <c r="I1769" s="134" t="inlineStr">
        <is>
          <t>شنبه</t>
        </is>
      </c>
      <c r="J1769" s="134" t="inlineStr">
        <is>
          <t>خیر</t>
        </is>
      </c>
    </row>
    <row r="1770">
      <c r="A1770" s="173" t="n">
        <v>46691</v>
      </c>
      <c r="B1770" s="174" t="n">
        <v>46691</v>
      </c>
      <c r="C1770" s="174" t="n">
        <v>1406</v>
      </c>
      <c r="D1770" s="174" t="n">
        <v>8</v>
      </c>
      <c r="E1770" s="175" t="inlineStr">
        <is>
          <t>1406/08/09</t>
        </is>
      </c>
      <c r="F1770" s="128" t="inlineStr">
        <is>
          <t>1406/08</t>
        </is>
      </c>
      <c r="G1770" s="58" t="inlineStr">
        <is>
          <t>آبان</t>
        </is>
      </c>
      <c r="H1770" s="128" t="inlineStr">
        <is>
          <t>پاییز</t>
        </is>
      </c>
      <c r="I1770" s="128" t="inlineStr">
        <is>
          <t>یکشنبه</t>
        </is>
      </c>
      <c r="J1770" s="128" t="inlineStr">
        <is>
          <t>خیر</t>
        </is>
      </c>
    </row>
    <row r="1771">
      <c r="A1771" s="176" t="n">
        <v>46692</v>
      </c>
      <c r="B1771" s="177" t="n">
        <v>46692</v>
      </c>
      <c r="C1771" s="177" t="n">
        <v>1406</v>
      </c>
      <c r="D1771" s="177" t="n">
        <v>8</v>
      </c>
      <c r="E1771" s="178" t="inlineStr">
        <is>
          <t>1406/08/10</t>
        </is>
      </c>
      <c r="F1771" s="134" t="inlineStr">
        <is>
          <t>1406/08</t>
        </is>
      </c>
      <c r="G1771" s="61" t="inlineStr">
        <is>
          <t>آبان</t>
        </is>
      </c>
      <c r="H1771" s="134" t="inlineStr">
        <is>
          <t>پاییز</t>
        </is>
      </c>
      <c r="I1771" s="134" t="inlineStr">
        <is>
          <t>دوشنبه</t>
        </is>
      </c>
      <c r="J1771" s="134" t="inlineStr">
        <is>
          <t>بله</t>
        </is>
      </c>
    </row>
    <row r="1772">
      <c r="A1772" s="173" t="n">
        <v>46693</v>
      </c>
      <c r="B1772" s="174" t="n">
        <v>46693</v>
      </c>
      <c r="C1772" s="174" t="n">
        <v>1406</v>
      </c>
      <c r="D1772" s="174" t="n">
        <v>8</v>
      </c>
      <c r="E1772" s="175" t="inlineStr">
        <is>
          <t>1406/08/11</t>
        </is>
      </c>
      <c r="F1772" s="128" t="inlineStr">
        <is>
          <t>1406/08</t>
        </is>
      </c>
      <c r="G1772" s="58" t="inlineStr">
        <is>
          <t>آبان</t>
        </is>
      </c>
      <c r="H1772" s="128" t="inlineStr">
        <is>
          <t>پاییز</t>
        </is>
      </c>
      <c r="I1772" s="128" t="inlineStr">
        <is>
          <t>سه‌شنبه</t>
        </is>
      </c>
      <c r="J1772" s="128" t="inlineStr">
        <is>
          <t>بله</t>
        </is>
      </c>
    </row>
    <row r="1773">
      <c r="A1773" s="176" t="n">
        <v>46694</v>
      </c>
      <c r="B1773" s="177" t="n">
        <v>46694</v>
      </c>
      <c r="C1773" s="177" t="n">
        <v>1406</v>
      </c>
      <c r="D1773" s="177" t="n">
        <v>8</v>
      </c>
      <c r="E1773" s="178" t="inlineStr">
        <is>
          <t>1406/08/12</t>
        </is>
      </c>
      <c r="F1773" s="134" t="inlineStr">
        <is>
          <t>1406/08</t>
        </is>
      </c>
      <c r="G1773" s="61" t="inlineStr">
        <is>
          <t>آبان</t>
        </is>
      </c>
      <c r="H1773" s="134" t="inlineStr">
        <is>
          <t>پاییز</t>
        </is>
      </c>
      <c r="I1773" s="134" t="inlineStr">
        <is>
          <t>چهارشنبه</t>
        </is>
      </c>
      <c r="J1773" s="134" t="inlineStr">
        <is>
          <t>بله</t>
        </is>
      </c>
    </row>
    <row r="1774">
      <c r="A1774" s="173" t="n">
        <v>46695</v>
      </c>
      <c r="B1774" s="174" t="n">
        <v>46695</v>
      </c>
      <c r="C1774" s="174" t="n">
        <v>1406</v>
      </c>
      <c r="D1774" s="174" t="n">
        <v>8</v>
      </c>
      <c r="E1774" s="175" t="inlineStr">
        <is>
          <t>1406/08/13</t>
        </is>
      </c>
      <c r="F1774" s="128" t="inlineStr">
        <is>
          <t>1406/08</t>
        </is>
      </c>
      <c r="G1774" s="58" t="inlineStr">
        <is>
          <t>آبان</t>
        </is>
      </c>
      <c r="H1774" s="128" t="inlineStr">
        <is>
          <t>پاییز</t>
        </is>
      </c>
      <c r="I1774" s="128" t="inlineStr">
        <is>
          <t>پنجشنبه</t>
        </is>
      </c>
      <c r="J1774" s="128" t="inlineStr">
        <is>
          <t>بله</t>
        </is>
      </c>
    </row>
    <row r="1775">
      <c r="A1775" s="176" t="n">
        <v>46696</v>
      </c>
      <c r="B1775" s="177" t="n">
        <v>46696</v>
      </c>
      <c r="C1775" s="177" t="n">
        <v>1406</v>
      </c>
      <c r="D1775" s="177" t="n">
        <v>8</v>
      </c>
      <c r="E1775" s="178" t="inlineStr">
        <is>
          <t>1406/08/14</t>
        </is>
      </c>
      <c r="F1775" s="134" t="inlineStr">
        <is>
          <t>1406/08</t>
        </is>
      </c>
      <c r="G1775" s="61" t="inlineStr">
        <is>
          <t>آبان</t>
        </is>
      </c>
      <c r="H1775" s="134" t="inlineStr">
        <is>
          <t>پاییز</t>
        </is>
      </c>
      <c r="I1775" s="134" t="inlineStr">
        <is>
          <t>جمعه</t>
        </is>
      </c>
      <c r="J1775" s="134" t="inlineStr">
        <is>
          <t>بله</t>
        </is>
      </c>
    </row>
    <row r="1776">
      <c r="A1776" s="173" t="n">
        <v>46697</v>
      </c>
      <c r="B1776" s="174" t="n">
        <v>46697</v>
      </c>
      <c r="C1776" s="174" t="n">
        <v>1406</v>
      </c>
      <c r="D1776" s="174" t="n">
        <v>8</v>
      </c>
      <c r="E1776" s="175" t="inlineStr">
        <is>
          <t>1406/08/15</t>
        </is>
      </c>
      <c r="F1776" s="128" t="inlineStr">
        <is>
          <t>1406/08</t>
        </is>
      </c>
      <c r="G1776" s="58" t="inlineStr">
        <is>
          <t>آبان</t>
        </is>
      </c>
      <c r="H1776" s="128" t="inlineStr">
        <is>
          <t>پاییز</t>
        </is>
      </c>
      <c r="I1776" s="128" t="inlineStr">
        <is>
          <t>شنبه</t>
        </is>
      </c>
      <c r="J1776" s="128" t="inlineStr">
        <is>
          <t>خیر</t>
        </is>
      </c>
    </row>
    <row r="1777">
      <c r="A1777" s="176" t="n">
        <v>46698</v>
      </c>
      <c r="B1777" s="177" t="n">
        <v>46698</v>
      </c>
      <c r="C1777" s="177" t="n">
        <v>1406</v>
      </c>
      <c r="D1777" s="177" t="n">
        <v>8</v>
      </c>
      <c r="E1777" s="178" t="inlineStr">
        <is>
          <t>1406/08/16</t>
        </is>
      </c>
      <c r="F1777" s="134" t="inlineStr">
        <is>
          <t>1406/08</t>
        </is>
      </c>
      <c r="G1777" s="61" t="inlineStr">
        <is>
          <t>آبان</t>
        </is>
      </c>
      <c r="H1777" s="134" t="inlineStr">
        <is>
          <t>پاییز</t>
        </is>
      </c>
      <c r="I1777" s="134" t="inlineStr">
        <is>
          <t>یکشنبه</t>
        </is>
      </c>
      <c r="J1777" s="134" t="inlineStr">
        <is>
          <t>خیر</t>
        </is>
      </c>
    </row>
    <row r="1778">
      <c r="A1778" s="173" t="n">
        <v>46699</v>
      </c>
      <c r="B1778" s="174" t="n">
        <v>46699</v>
      </c>
      <c r="C1778" s="174" t="n">
        <v>1406</v>
      </c>
      <c r="D1778" s="174" t="n">
        <v>8</v>
      </c>
      <c r="E1778" s="175" t="inlineStr">
        <is>
          <t>1406/08/17</t>
        </is>
      </c>
      <c r="F1778" s="128" t="inlineStr">
        <is>
          <t>1406/08</t>
        </is>
      </c>
      <c r="G1778" s="58" t="inlineStr">
        <is>
          <t>آبان</t>
        </is>
      </c>
      <c r="H1778" s="128" t="inlineStr">
        <is>
          <t>پاییز</t>
        </is>
      </c>
      <c r="I1778" s="128" t="inlineStr">
        <is>
          <t>دوشنبه</t>
        </is>
      </c>
      <c r="J1778" s="128" t="inlineStr">
        <is>
          <t>بله</t>
        </is>
      </c>
    </row>
    <row r="1779">
      <c r="A1779" s="176" t="n">
        <v>46700</v>
      </c>
      <c r="B1779" s="177" t="n">
        <v>46700</v>
      </c>
      <c r="C1779" s="177" t="n">
        <v>1406</v>
      </c>
      <c r="D1779" s="177" t="n">
        <v>8</v>
      </c>
      <c r="E1779" s="178" t="inlineStr">
        <is>
          <t>1406/08/18</t>
        </is>
      </c>
      <c r="F1779" s="134" t="inlineStr">
        <is>
          <t>1406/08</t>
        </is>
      </c>
      <c r="G1779" s="61" t="inlineStr">
        <is>
          <t>آبان</t>
        </is>
      </c>
      <c r="H1779" s="134" t="inlineStr">
        <is>
          <t>پاییز</t>
        </is>
      </c>
      <c r="I1779" s="134" t="inlineStr">
        <is>
          <t>سه‌شنبه</t>
        </is>
      </c>
      <c r="J1779" s="134" t="inlineStr">
        <is>
          <t>بله</t>
        </is>
      </c>
    </row>
    <row r="1780">
      <c r="A1780" s="173" t="n">
        <v>46701</v>
      </c>
      <c r="B1780" s="174" t="n">
        <v>46701</v>
      </c>
      <c r="C1780" s="174" t="n">
        <v>1406</v>
      </c>
      <c r="D1780" s="174" t="n">
        <v>8</v>
      </c>
      <c r="E1780" s="175" t="inlineStr">
        <is>
          <t>1406/08/19</t>
        </is>
      </c>
      <c r="F1780" s="128" t="inlineStr">
        <is>
          <t>1406/08</t>
        </is>
      </c>
      <c r="G1780" s="58" t="inlineStr">
        <is>
          <t>آبان</t>
        </is>
      </c>
      <c r="H1780" s="128" t="inlineStr">
        <is>
          <t>پاییز</t>
        </is>
      </c>
      <c r="I1780" s="128" t="inlineStr">
        <is>
          <t>چهارشنبه</t>
        </is>
      </c>
      <c r="J1780" s="128" t="inlineStr">
        <is>
          <t>بله</t>
        </is>
      </c>
    </row>
    <row r="1781">
      <c r="A1781" s="176" t="n">
        <v>46702</v>
      </c>
      <c r="B1781" s="177" t="n">
        <v>46702</v>
      </c>
      <c r="C1781" s="177" t="n">
        <v>1406</v>
      </c>
      <c r="D1781" s="177" t="n">
        <v>8</v>
      </c>
      <c r="E1781" s="178" t="inlineStr">
        <is>
          <t>1406/08/20</t>
        </is>
      </c>
      <c r="F1781" s="134" t="inlineStr">
        <is>
          <t>1406/08</t>
        </is>
      </c>
      <c r="G1781" s="61" t="inlineStr">
        <is>
          <t>آبان</t>
        </is>
      </c>
      <c r="H1781" s="134" t="inlineStr">
        <is>
          <t>پاییز</t>
        </is>
      </c>
      <c r="I1781" s="134" t="inlineStr">
        <is>
          <t>پنجشنبه</t>
        </is>
      </c>
      <c r="J1781" s="134" t="inlineStr">
        <is>
          <t>بله</t>
        </is>
      </c>
    </row>
    <row r="1782">
      <c r="A1782" s="173" t="n">
        <v>46703</v>
      </c>
      <c r="B1782" s="174" t="n">
        <v>46703</v>
      </c>
      <c r="C1782" s="174" t="n">
        <v>1406</v>
      </c>
      <c r="D1782" s="174" t="n">
        <v>8</v>
      </c>
      <c r="E1782" s="175" t="inlineStr">
        <is>
          <t>1406/08/21</t>
        </is>
      </c>
      <c r="F1782" s="128" t="inlineStr">
        <is>
          <t>1406/08</t>
        </is>
      </c>
      <c r="G1782" s="58" t="inlineStr">
        <is>
          <t>آبان</t>
        </is>
      </c>
      <c r="H1782" s="128" t="inlineStr">
        <is>
          <t>پاییز</t>
        </is>
      </c>
      <c r="I1782" s="128" t="inlineStr">
        <is>
          <t>جمعه</t>
        </is>
      </c>
      <c r="J1782" s="128" t="inlineStr">
        <is>
          <t>بله</t>
        </is>
      </c>
    </row>
    <row r="1783">
      <c r="A1783" s="176" t="n">
        <v>46704</v>
      </c>
      <c r="B1783" s="177" t="n">
        <v>46704</v>
      </c>
      <c r="C1783" s="177" t="n">
        <v>1406</v>
      </c>
      <c r="D1783" s="177" t="n">
        <v>8</v>
      </c>
      <c r="E1783" s="178" t="inlineStr">
        <is>
          <t>1406/08/22</t>
        </is>
      </c>
      <c r="F1783" s="134" t="inlineStr">
        <is>
          <t>1406/08</t>
        </is>
      </c>
      <c r="G1783" s="61" t="inlineStr">
        <is>
          <t>آبان</t>
        </is>
      </c>
      <c r="H1783" s="134" t="inlineStr">
        <is>
          <t>پاییز</t>
        </is>
      </c>
      <c r="I1783" s="134" t="inlineStr">
        <is>
          <t>شنبه</t>
        </is>
      </c>
      <c r="J1783" s="134" t="inlineStr">
        <is>
          <t>خیر</t>
        </is>
      </c>
    </row>
    <row r="1784">
      <c r="A1784" s="173" t="n">
        <v>46705</v>
      </c>
      <c r="B1784" s="174" t="n">
        <v>46705</v>
      </c>
      <c r="C1784" s="174" t="n">
        <v>1406</v>
      </c>
      <c r="D1784" s="174" t="n">
        <v>8</v>
      </c>
      <c r="E1784" s="175" t="inlineStr">
        <is>
          <t>1406/08/23</t>
        </is>
      </c>
      <c r="F1784" s="128" t="inlineStr">
        <is>
          <t>1406/08</t>
        </is>
      </c>
      <c r="G1784" s="58" t="inlineStr">
        <is>
          <t>آبان</t>
        </is>
      </c>
      <c r="H1784" s="128" t="inlineStr">
        <is>
          <t>پاییز</t>
        </is>
      </c>
      <c r="I1784" s="128" t="inlineStr">
        <is>
          <t>یکشنبه</t>
        </is>
      </c>
      <c r="J1784" s="128" t="inlineStr">
        <is>
          <t>خیر</t>
        </is>
      </c>
    </row>
    <row r="1785">
      <c r="A1785" s="176" t="n">
        <v>46706</v>
      </c>
      <c r="B1785" s="177" t="n">
        <v>46706</v>
      </c>
      <c r="C1785" s="177" t="n">
        <v>1406</v>
      </c>
      <c r="D1785" s="177" t="n">
        <v>8</v>
      </c>
      <c r="E1785" s="178" t="inlineStr">
        <is>
          <t>1406/08/24</t>
        </is>
      </c>
      <c r="F1785" s="134" t="inlineStr">
        <is>
          <t>1406/08</t>
        </is>
      </c>
      <c r="G1785" s="61" t="inlineStr">
        <is>
          <t>آبان</t>
        </is>
      </c>
      <c r="H1785" s="134" t="inlineStr">
        <is>
          <t>پاییز</t>
        </is>
      </c>
      <c r="I1785" s="134" t="inlineStr">
        <is>
          <t>دوشنبه</t>
        </is>
      </c>
      <c r="J1785" s="134" t="inlineStr">
        <is>
          <t>بله</t>
        </is>
      </c>
    </row>
    <row r="1786">
      <c r="A1786" s="173" t="n">
        <v>46707</v>
      </c>
      <c r="B1786" s="174" t="n">
        <v>46707</v>
      </c>
      <c r="C1786" s="174" t="n">
        <v>1406</v>
      </c>
      <c r="D1786" s="174" t="n">
        <v>8</v>
      </c>
      <c r="E1786" s="175" t="inlineStr">
        <is>
          <t>1406/08/25</t>
        </is>
      </c>
      <c r="F1786" s="128" t="inlineStr">
        <is>
          <t>1406/08</t>
        </is>
      </c>
      <c r="G1786" s="58" t="inlineStr">
        <is>
          <t>آبان</t>
        </is>
      </c>
      <c r="H1786" s="128" t="inlineStr">
        <is>
          <t>پاییز</t>
        </is>
      </c>
      <c r="I1786" s="128" t="inlineStr">
        <is>
          <t>سه‌شنبه</t>
        </is>
      </c>
      <c r="J1786" s="128" t="inlineStr">
        <is>
          <t>بله</t>
        </is>
      </c>
    </row>
    <row r="1787">
      <c r="A1787" s="176" t="n">
        <v>46708</v>
      </c>
      <c r="B1787" s="177" t="n">
        <v>46708</v>
      </c>
      <c r="C1787" s="177" t="n">
        <v>1406</v>
      </c>
      <c r="D1787" s="177" t="n">
        <v>8</v>
      </c>
      <c r="E1787" s="178" t="inlineStr">
        <is>
          <t>1406/08/26</t>
        </is>
      </c>
      <c r="F1787" s="134" t="inlineStr">
        <is>
          <t>1406/08</t>
        </is>
      </c>
      <c r="G1787" s="61" t="inlineStr">
        <is>
          <t>آبان</t>
        </is>
      </c>
      <c r="H1787" s="134" t="inlineStr">
        <is>
          <t>پاییز</t>
        </is>
      </c>
      <c r="I1787" s="134" t="inlineStr">
        <is>
          <t>چهارشنبه</t>
        </is>
      </c>
      <c r="J1787" s="134" t="inlineStr">
        <is>
          <t>بله</t>
        </is>
      </c>
    </row>
    <row r="1788">
      <c r="A1788" s="173" t="n">
        <v>46709</v>
      </c>
      <c r="B1788" s="174" t="n">
        <v>46709</v>
      </c>
      <c r="C1788" s="174" t="n">
        <v>1406</v>
      </c>
      <c r="D1788" s="174" t="n">
        <v>8</v>
      </c>
      <c r="E1788" s="175" t="inlineStr">
        <is>
          <t>1406/08/27</t>
        </is>
      </c>
      <c r="F1788" s="128" t="inlineStr">
        <is>
          <t>1406/08</t>
        </is>
      </c>
      <c r="G1788" s="58" t="inlineStr">
        <is>
          <t>آبان</t>
        </is>
      </c>
      <c r="H1788" s="128" t="inlineStr">
        <is>
          <t>پاییز</t>
        </is>
      </c>
      <c r="I1788" s="128" t="inlineStr">
        <is>
          <t>پنجشنبه</t>
        </is>
      </c>
      <c r="J1788" s="128" t="inlineStr">
        <is>
          <t>بله</t>
        </is>
      </c>
    </row>
    <row r="1789">
      <c r="A1789" s="176" t="n">
        <v>46710</v>
      </c>
      <c r="B1789" s="177" t="n">
        <v>46710</v>
      </c>
      <c r="C1789" s="177" t="n">
        <v>1406</v>
      </c>
      <c r="D1789" s="177" t="n">
        <v>8</v>
      </c>
      <c r="E1789" s="178" t="inlineStr">
        <is>
          <t>1406/08/28</t>
        </is>
      </c>
      <c r="F1789" s="134" t="inlineStr">
        <is>
          <t>1406/08</t>
        </is>
      </c>
      <c r="G1789" s="61" t="inlineStr">
        <is>
          <t>آبان</t>
        </is>
      </c>
      <c r="H1789" s="134" t="inlineStr">
        <is>
          <t>پاییز</t>
        </is>
      </c>
      <c r="I1789" s="134" t="inlineStr">
        <is>
          <t>جمعه</t>
        </is>
      </c>
      <c r="J1789" s="134" t="inlineStr">
        <is>
          <t>بله</t>
        </is>
      </c>
    </row>
    <row r="1790">
      <c r="A1790" s="173" t="n">
        <v>46711</v>
      </c>
      <c r="B1790" s="174" t="n">
        <v>46711</v>
      </c>
      <c r="C1790" s="174" t="n">
        <v>1406</v>
      </c>
      <c r="D1790" s="174" t="n">
        <v>8</v>
      </c>
      <c r="E1790" s="175" t="inlineStr">
        <is>
          <t>1406/08/29</t>
        </is>
      </c>
      <c r="F1790" s="128" t="inlineStr">
        <is>
          <t>1406/08</t>
        </is>
      </c>
      <c r="G1790" s="58" t="inlineStr">
        <is>
          <t>آبان</t>
        </is>
      </c>
      <c r="H1790" s="128" t="inlineStr">
        <is>
          <t>پاییز</t>
        </is>
      </c>
      <c r="I1790" s="128" t="inlineStr">
        <is>
          <t>شنبه</t>
        </is>
      </c>
      <c r="J1790" s="128" t="inlineStr">
        <is>
          <t>خیر</t>
        </is>
      </c>
    </row>
    <row r="1791">
      <c r="A1791" s="176" t="n">
        <v>46712</v>
      </c>
      <c r="B1791" s="177" t="n">
        <v>46712</v>
      </c>
      <c r="C1791" s="177" t="n">
        <v>1406</v>
      </c>
      <c r="D1791" s="177" t="n">
        <v>8</v>
      </c>
      <c r="E1791" s="178" t="inlineStr">
        <is>
          <t>1406/08/30</t>
        </is>
      </c>
      <c r="F1791" s="134" t="inlineStr">
        <is>
          <t>1406/08</t>
        </is>
      </c>
      <c r="G1791" s="61" t="inlineStr">
        <is>
          <t>آبان</t>
        </is>
      </c>
      <c r="H1791" s="134" t="inlineStr">
        <is>
          <t>پاییز</t>
        </is>
      </c>
      <c r="I1791" s="134" t="inlineStr">
        <is>
          <t>یکشنبه</t>
        </is>
      </c>
      <c r="J1791" s="134" t="inlineStr">
        <is>
          <t>خیر</t>
        </is>
      </c>
    </row>
    <row r="1792">
      <c r="A1792" s="173" t="n">
        <v>46713</v>
      </c>
      <c r="B1792" s="174" t="n">
        <v>46713</v>
      </c>
      <c r="C1792" s="174" t="n">
        <v>1406</v>
      </c>
      <c r="D1792" s="174" t="n">
        <v>9</v>
      </c>
      <c r="E1792" s="175" t="inlineStr">
        <is>
          <t>1406/09/01</t>
        </is>
      </c>
      <c r="F1792" s="128" t="inlineStr">
        <is>
          <t>1406/09</t>
        </is>
      </c>
      <c r="G1792" s="58" t="inlineStr">
        <is>
          <t>آذر</t>
        </is>
      </c>
      <c r="H1792" s="128" t="inlineStr">
        <is>
          <t>پاییز</t>
        </is>
      </c>
      <c r="I1792" s="128" t="inlineStr">
        <is>
          <t>دوشنبه</t>
        </is>
      </c>
      <c r="J1792" s="128" t="inlineStr">
        <is>
          <t>بله</t>
        </is>
      </c>
    </row>
    <row r="1793">
      <c r="A1793" s="176" t="n">
        <v>46714</v>
      </c>
      <c r="B1793" s="177" t="n">
        <v>46714</v>
      </c>
      <c r="C1793" s="177" t="n">
        <v>1406</v>
      </c>
      <c r="D1793" s="177" t="n">
        <v>9</v>
      </c>
      <c r="E1793" s="178" t="inlineStr">
        <is>
          <t>1406/09/02</t>
        </is>
      </c>
      <c r="F1793" s="134" t="inlineStr">
        <is>
          <t>1406/09</t>
        </is>
      </c>
      <c r="G1793" s="61" t="inlineStr">
        <is>
          <t>آذر</t>
        </is>
      </c>
      <c r="H1793" s="134" t="inlineStr">
        <is>
          <t>پاییز</t>
        </is>
      </c>
      <c r="I1793" s="134" t="inlineStr">
        <is>
          <t>سه‌شنبه</t>
        </is>
      </c>
      <c r="J1793" s="134" t="inlineStr">
        <is>
          <t>بله</t>
        </is>
      </c>
    </row>
    <row r="1794">
      <c r="A1794" s="173" t="n">
        <v>46715</v>
      </c>
      <c r="B1794" s="174" t="n">
        <v>46715</v>
      </c>
      <c r="C1794" s="174" t="n">
        <v>1406</v>
      </c>
      <c r="D1794" s="174" t="n">
        <v>9</v>
      </c>
      <c r="E1794" s="175" t="inlineStr">
        <is>
          <t>1406/09/03</t>
        </is>
      </c>
      <c r="F1794" s="128" t="inlineStr">
        <is>
          <t>1406/09</t>
        </is>
      </c>
      <c r="G1794" s="58" t="inlineStr">
        <is>
          <t>آذر</t>
        </is>
      </c>
      <c r="H1794" s="128" t="inlineStr">
        <is>
          <t>پاییز</t>
        </is>
      </c>
      <c r="I1794" s="128" t="inlineStr">
        <is>
          <t>چهارشنبه</t>
        </is>
      </c>
      <c r="J1794" s="128" t="inlineStr">
        <is>
          <t>بله</t>
        </is>
      </c>
    </row>
    <row r="1795">
      <c r="A1795" s="176" t="n">
        <v>46716</v>
      </c>
      <c r="B1795" s="177" t="n">
        <v>46716</v>
      </c>
      <c r="C1795" s="177" t="n">
        <v>1406</v>
      </c>
      <c r="D1795" s="177" t="n">
        <v>9</v>
      </c>
      <c r="E1795" s="178" t="inlineStr">
        <is>
          <t>1406/09/04</t>
        </is>
      </c>
      <c r="F1795" s="134" t="inlineStr">
        <is>
          <t>1406/09</t>
        </is>
      </c>
      <c r="G1795" s="61" t="inlineStr">
        <is>
          <t>آذر</t>
        </is>
      </c>
      <c r="H1795" s="134" t="inlineStr">
        <is>
          <t>پاییز</t>
        </is>
      </c>
      <c r="I1795" s="134" t="inlineStr">
        <is>
          <t>پنجشنبه</t>
        </is>
      </c>
      <c r="J1795" s="134" t="inlineStr">
        <is>
          <t>بله</t>
        </is>
      </c>
    </row>
    <row r="1796">
      <c r="A1796" s="173" t="n">
        <v>46717</v>
      </c>
      <c r="B1796" s="174" t="n">
        <v>46717</v>
      </c>
      <c r="C1796" s="174" t="n">
        <v>1406</v>
      </c>
      <c r="D1796" s="174" t="n">
        <v>9</v>
      </c>
      <c r="E1796" s="175" t="inlineStr">
        <is>
          <t>1406/09/05</t>
        </is>
      </c>
      <c r="F1796" s="128" t="inlineStr">
        <is>
          <t>1406/09</t>
        </is>
      </c>
      <c r="G1796" s="58" t="inlineStr">
        <is>
          <t>آذر</t>
        </is>
      </c>
      <c r="H1796" s="128" t="inlineStr">
        <is>
          <t>پاییز</t>
        </is>
      </c>
      <c r="I1796" s="128" t="inlineStr">
        <is>
          <t>جمعه</t>
        </is>
      </c>
      <c r="J1796" s="128" t="inlineStr">
        <is>
          <t>بله</t>
        </is>
      </c>
    </row>
    <row r="1797">
      <c r="A1797" s="176" t="n">
        <v>46718</v>
      </c>
      <c r="B1797" s="177" t="n">
        <v>46718</v>
      </c>
      <c r="C1797" s="177" t="n">
        <v>1406</v>
      </c>
      <c r="D1797" s="177" t="n">
        <v>9</v>
      </c>
      <c r="E1797" s="178" t="inlineStr">
        <is>
          <t>1406/09/06</t>
        </is>
      </c>
      <c r="F1797" s="134" t="inlineStr">
        <is>
          <t>1406/09</t>
        </is>
      </c>
      <c r="G1797" s="61" t="inlineStr">
        <is>
          <t>آذر</t>
        </is>
      </c>
      <c r="H1797" s="134" t="inlineStr">
        <is>
          <t>پاییز</t>
        </is>
      </c>
      <c r="I1797" s="134" t="inlineStr">
        <is>
          <t>شنبه</t>
        </is>
      </c>
      <c r="J1797" s="134" t="inlineStr">
        <is>
          <t>خیر</t>
        </is>
      </c>
    </row>
    <row r="1798">
      <c r="A1798" s="173" t="n">
        <v>46719</v>
      </c>
      <c r="B1798" s="174" t="n">
        <v>46719</v>
      </c>
      <c r="C1798" s="174" t="n">
        <v>1406</v>
      </c>
      <c r="D1798" s="174" t="n">
        <v>9</v>
      </c>
      <c r="E1798" s="175" t="inlineStr">
        <is>
          <t>1406/09/07</t>
        </is>
      </c>
      <c r="F1798" s="128" t="inlineStr">
        <is>
          <t>1406/09</t>
        </is>
      </c>
      <c r="G1798" s="58" t="inlineStr">
        <is>
          <t>آذر</t>
        </is>
      </c>
      <c r="H1798" s="128" t="inlineStr">
        <is>
          <t>پاییز</t>
        </is>
      </c>
      <c r="I1798" s="128" t="inlineStr">
        <is>
          <t>یکشنبه</t>
        </is>
      </c>
      <c r="J1798" s="128" t="inlineStr">
        <is>
          <t>خیر</t>
        </is>
      </c>
    </row>
    <row r="1799">
      <c r="A1799" s="176" t="n">
        <v>46720</v>
      </c>
      <c r="B1799" s="177" t="n">
        <v>46720</v>
      </c>
      <c r="C1799" s="177" t="n">
        <v>1406</v>
      </c>
      <c r="D1799" s="177" t="n">
        <v>9</v>
      </c>
      <c r="E1799" s="178" t="inlineStr">
        <is>
          <t>1406/09/08</t>
        </is>
      </c>
      <c r="F1799" s="134" t="inlineStr">
        <is>
          <t>1406/09</t>
        </is>
      </c>
      <c r="G1799" s="61" t="inlineStr">
        <is>
          <t>آذر</t>
        </is>
      </c>
      <c r="H1799" s="134" t="inlineStr">
        <is>
          <t>پاییز</t>
        </is>
      </c>
      <c r="I1799" s="134" t="inlineStr">
        <is>
          <t>دوشنبه</t>
        </is>
      </c>
      <c r="J1799" s="134" t="inlineStr">
        <is>
          <t>بله</t>
        </is>
      </c>
    </row>
    <row r="1800">
      <c r="A1800" s="173" t="n">
        <v>46721</v>
      </c>
      <c r="B1800" s="174" t="n">
        <v>46721</v>
      </c>
      <c r="C1800" s="174" t="n">
        <v>1406</v>
      </c>
      <c r="D1800" s="174" t="n">
        <v>9</v>
      </c>
      <c r="E1800" s="175" t="inlineStr">
        <is>
          <t>1406/09/09</t>
        </is>
      </c>
      <c r="F1800" s="128" t="inlineStr">
        <is>
          <t>1406/09</t>
        </is>
      </c>
      <c r="G1800" s="58" t="inlineStr">
        <is>
          <t>آذر</t>
        </is>
      </c>
      <c r="H1800" s="128" t="inlineStr">
        <is>
          <t>پاییز</t>
        </is>
      </c>
      <c r="I1800" s="128" t="inlineStr">
        <is>
          <t>سه‌شنبه</t>
        </is>
      </c>
      <c r="J1800" s="128" t="inlineStr">
        <is>
          <t>بله</t>
        </is>
      </c>
    </row>
    <row r="1801">
      <c r="A1801" s="176" t="n">
        <v>46722</v>
      </c>
      <c r="B1801" s="177" t="n">
        <v>46722</v>
      </c>
      <c r="C1801" s="177" t="n">
        <v>1406</v>
      </c>
      <c r="D1801" s="177" t="n">
        <v>9</v>
      </c>
      <c r="E1801" s="178" t="inlineStr">
        <is>
          <t>1406/09/10</t>
        </is>
      </c>
      <c r="F1801" s="134" t="inlineStr">
        <is>
          <t>1406/09</t>
        </is>
      </c>
      <c r="G1801" s="61" t="inlineStr">
        <is>
          <t>آذر</t>
        </is>
      </c>
      <c r="H1801" s="134" t="inlineStr">
        <is>
          <t>پاییز</t>
        </is>
      </c>
      <c r="I1801" s="134" t="inlineStr">
        <is>
          <t>چهارشنبه</t>
        </is>
      </c>
      <c r="J1801" s="134" t="inlineStr">
        <is>
          <t>بله</t>
        </is>
      </c>
    </row>
    <row r="1802">
      <c r="A1802" s="173" t="n">
        <v>46723</v>
      </c>
      <c r="B1802" s="174" t="n">
        <v>46723</v>
      </c>
      <c r="C1802" s="174" t="n">
        <v>1406</v>
      </c>
      <c r="D1802" s="174" t="n">
        <v>9</v>
      </c>
      <c r="E1802" s="175" t="inlineStr">
        <is>
          <t>1406/09/11</t>
        </is>
      </c>
      <c r="F1802" s="128" t="inlineStr">
        <is>
          <t>1406/09</t>
        </is>
      </c>
      <c r="G1802" s="58" t="inlineStr">
        <is>
          <t>آذر</t>
        </is>
      </c>
      <c r="H1802" s="128" t="inlineStr">
        <is>
          <t>پاییز</t>
        </is>
      </c>
      <c r="I1802" s="128" t="inlineStr">
        <is>
          <t>پنجشنبه</t>
        </is>
      </c>
      <c r="J1802" s="128" t="inlineStr">
        <is>
          <t>بله</t>
        </is>
      </c>
    </row>
    <row r="1803">
      <c r="A1803" s="176" t="n">
        <v>46724</v>
      </c>
      <c r="B1803" s="177" t="n">
        <v>46724</v>
      </c>
      <c r="C1803" s="177" t="n">
        <v>1406</v>
      </c>
      <c r="D1803" s="177" t="n">
        <v>9</v>
      </c>
      <c r="E1803" s="178" t="inlineStr">
        <is>
          <t>1406/09/12</t>
        </is>
      </c>
      <c r="F1803" s="134" t="inlineStr">
        <is>
          <t>1406/09</t>
        </is>
      </c>
      <c r="G1803" s="61" t="inlineStr">
        <is>
          <t>آذر</t>
        </is>
      </c>
      <c r="H1803" s="134" t="inlineStr">
        <is>
          <t>پاییز</t>
        </is>
      </c>
      <c r="I1803" s="134" t="inlineStr">
        <is>
          <t>جمعه</t>
        </is>
      </c>
      <c r="J1803" s="134" t="inlineStr">
        <is>
          <t>بله</t>
        </is>
      </c>
    </row>
    <row r="1804">
      <c r="A1804" s="173" t="n">
        <v>46725</v>
      </c>
      <c r="B1804" s="174" t="n">
        <v>46725</v>
      </c>
      <c r="C1804" s="174" t="n">
        <v>1406</v>
      </c>
      <c r="D1804" s="174" t="n">
        <v>9</v>
      </c>
      <c r="E1804" s="175" t="inlineStr">
        <is>
          <t>1406/09/13</t>
        </is>
      </c>
      <c r="F1804" s="128" t="inlineStr">
        <is>
          <t>1406/09</t>
        </is>
      </c>
      <c r="G1804" s="58" t="inlineStr">
        <is>
          <t>آذر</t>
        </is>
      </c>
      <c r="H1804" s="128" t="inlineStr">
        <is>
          <t>پاییز</t>
        </is>
      </c>
      <c r="I1804" s="128" t="inlineStr">
        <is>
          <t>شنبه</t>
        </is>
      </c>
      <c r="J1804" s="128" t="inlineStr">
        <is>
          <t>خیر</t>
        </is>
      </c>
    </row>
    <row r="1805">
      <c r="A1805" s="176" t="n">
        <v>46726</v>
      </c>
      <c r="B1805" s="177" t="n">
        <v>46726</v>
      </c>
      <c r="C1805" s="177" t="n">
        <v>1406</v>
      </c>
      <c r="D1805" s="177" t="n">
        <v>9</v>
      </c>
      <c r="E1805" s="178" t="inlineStr">
        <is>
          <t>1406/09/14</t>
        </is>
      </c>
      <c r="F1805" s="134" t="inlineStr">
        <is>
          <t>1406/09</t>
        </is>
      </c>
      <c r="G1805" s="61" t="inlineStr">
        <is>
          <t>آذر</t>
        </is>
      </c>
      <c r="H1805" s="134" t="inlineStr">
        <is>
          <t>پاییز</t>
        </is>
      </c>
      <c r="I1805" s="134" t="inlineStr">
        <is>
          <t>یکشنبه</t>
        </is>
      </c>
      <c r="J1805" s="134" t="inlineStr">
        <is>
          <t>خیر</t>
        </is>
      </c>
    </row>
    <row r="1806">
      <c r="A1806" s="173" t="n">
        <v>46727</v>
      </c>
      <c r="B1806" s="174" t="n">
        <v>46727</v>
      </c>
      <c r="C1806" s="174" t="n">
        <v>1406</v>
      </c>
      <c r="D1806" s="174" t="n">
        <v>9</v>
      </c>
      <c r="E1806" s="175" t="inlineStr">
        <is>
          <t>1406/09/15</t>
        </is>
      </c>
      <c r="F1806" s="128" t="inlineStr">
        <is>
          <t>1406/09</t>
        </is>
      </c>
      <c r="G1806" s="58" t="inlineStr">
        <is>
          <t>آذر</t>
        </is>
      </c>
      <c r="H1806" s="128" t="inlineStr">
        <is>
          <t>پاییز</t>
        </is>
      </c>
      <c r="I1806" s="128" t="inlineStr">
        <is>
          <t>دوشنبه</t>
        </is>
      </c>
      <c r="J1806" s="128" t="inlineStr">
        <is>
          <t>بله</t>
        </is>
      </c>
    </row>
    <row r="1807">
      <c r="A1807" s="176" t="n">
        <v>46728</v>
      </c>
      <c r="B1807" s="177" t="n">
        <v>46728</v>
      </c>
      <c r="C1807" s="177" t="n">
        <v>1406</v>
      </c>
      <c r="D1807" s="177" t="n">
        <v>9</v>
      </c>
      <c r="E1807" s="178" t="inlineStr">
        <is>
          <t>1406/09/16</t>
        </is>
      </c>
      <c r="F1807" s="134" t="inlineStr">
        <is>
          <t>1406/09</t>
        </is>
      </c>
      <c r="G1807" s="61" t="inlineStr">
        <is>
          <t>آذر</t>
        </is>
      </c>
      <c r="H1807" s="134" t="inlineStr">
        <is>
          <t>پاییز</t>
        </is>
      </c>
      <c r="I1807" s="134" t="inlineStr">
        <is>
          <t>سه‌شنبه</t>
        </is>
      </c>
      <c r="J1807" s="134" t="inlineStr">
        <is>
          <t>بله</t>
        </is>
      </c>
    </row>
    <row r="1808">
      <c r="A1808" s="173" t="n">
        <v>46729</v>
      </c>
      <c r="B1808" s="174" t="n">
        <v>46729</v>
      </c>
      <c r="C1808" s="174" t="n">
        <v>1406</v>
      </c>
      <c r="D1808" s="174" t="n">
        <v>9</v>
      </c>
      <c r="E1808" s="175" t="inlineStr">
        <is>
          <t>1406/09/17</t>
        </is>
      </c>
      <c r="F1808" s="128" t="inlineStr">
        <is>
          <t>1406/09</t>
        </is>
      </c>
      <c r="G1808" s="58" t="inlineStr">
        <is>
          <t>آذر</t>
        </is>
      </c>
      <c r="H1808" s="128" t="inlineStr">
        <is>
          <t>پاییز</t>
        </is>
      </c>
      <c r="I1808" s="128" t="inlineStr">
        <is>
          <t>چهارشنبه</t>
        </is>
      </c>
      <c r="J1808" s="128" t="inlineStr">
        <is>
          <t>بله</t>
        </is>
      </c>
    </row>
    <row r="1809">
      <c r="A1809" s="176" t="n">
        <v>46730</v>
      </c>
      <c r="B1809" s="177" t="n">
        <v>46730</v>
      </c>
      <c r="C1809" s="177" t="n">
        <v>1406</v>
      </c>
      <c r="D1809" s="177" t="n">
        <v>9</v>
      </c>
      <c r="E1809" s="178" t="inlineStr">
        <is>
          <t>1406/09/18</t>
        </is>
      </c>
      <c r="F1809" s="134" t="inlineStr">
        <is>
          <t>1406/09</t>
        </is>
      </c>
      <c r="G1809" s="61" t="inlineStr">
        <is>
          <t>آذر</t>
        </is>
      </c>
      <c r="H1809" s="134" t="inlineStr">
        <is>
          <t>پاییز</t>
        </is>
      </c>
      <c r="I1809" s="134" t="inlineStr">
        <is>
          <t>پنجشنبه</t>
        </is>
      </c>
      <c r="J1809" s="134" t="inlineStr">
        <is>
          <t>بله</t>
        </is>
      </c>
    </row>
    <row r="1810">
      <c r="A1810" s="173" t="n">
        <v>46731</v>
      </c>
      <c r="B1810" s="174" t="n">
        <v>46731</v>
      </c>
      <c r="C1810" s="174" t="n">
        <v>1406</v>
      </c>
      <c r="D1810" s="174" t="n">
        <v>9</v>
      </c>
      <c r="E1810" s="175" t="inlineStr">
        <is>
          <t>1406/09/19</t>
        </is>
      </c>
      <c r="F1810" s="128" t="inlineStr">
        <is>
          <t>1406/09</t>
        </is>
      </c>
      <c r="G1810" s="58" t="inlineStr">
        <is>
          <t>آذر</t>
        </is>
      </c>
      <c r="H1810" s="128" t="inlineStr">
        <is>
          <t>پاییز</t>
        </is>
      </c>
      <c r="I1810" s="128" t="inlineStr">
        <is>
          <t>جمعه</t>
        </is>
      </c>
      <c r="J1810" s="128" t="inlineStr">
        <is>
          <t>بله</t>
        </is>
      </c>
    </row>
    <row r="1811">
      <c r="A1811" s="176" t="n">
        <v>46732</v>
      </c>
      <c r="B1811" s="177" t="n">
        <v>46732</v>
      </c>
      <c r="C1811" s="177" t="n">
        <v>1406</v>
      </c>
      <c r="D1811" s="177" t="n">
        <v>9</v>
      </c>
      <c r="E1811" s="178" t="inlineStr">
        <is>
          <t>1406/09/20</t>
        </is>
      </c>
      <c r="F1811" s="134" t="inlineStr">
        <is>
          <t>1406/09</t>
        </is>
      </c>
      <c r="G1811" s="61" t="inlineStr">
        <is>
          <t>آذر</t>
        </is>
      </c>
      <c r="H1811" s="134" t="inlineStr">
        <is>
          <t>پاییز</t>
        </is>
      </c>
      <c r="I1811" s="134" t="inlineStr">
        <is>
          <t>شنبه</t>
        </is>
      </c>
      <c r="J1811" s="134" t="inlineStr">
        <is>
          <t>خیر</t>
        </is>
      </c>
    </row>
    <row r="1812">
      <c r="A1812" s="173" t="n">
        <v>46733</v>
      </c>
      <c r="B1812" s="174" t="n">
        <v>46733</v>
      </c>
      <c r="C1812" s="174" t="n">
        <v>1406</v>
      </c>
      <c r="D1812" s="174" t="n">
        <v>9</v>
      </c>
      <c r="E1812" s="175" t="inlineStr">
        <is>
          <t>1406/09/21</t>
        </is>
      </c>
      <c r="F1812" s="128" t="inlineStr">
        <is>
          <t>1406/09</t>
        </is>
      </c>
      <c r="G1812" s="58" t="inlineStr">
        <is>
          <t>آذر</t>
        </is>
      </c>
      <c r="H1812" s="128" t="inlineStr">
        <is>
          <t>پاییز</t>
        </is>
      </c>
      <c r="I1812" s="128" t="inlineStr">
        <is>
          <t>یکشنبه</t>
        </is>
      </c>
      <c r="J1812" s="128" t="inlineStr">
        <is>
          <t>خیر</t>
        </is>
      </c>
    </row>
    <row r="1813">
      <c r="A1813" s="176" t="n">
        <v>46734</v>
      </c>
      <c r="B1813" s="177" t="n">
        <v>46734</v>
      </c>
      <c r="C1813" s="177" t="n">
        <v>1406</v>
      </c>
      <c r="D1813" s="177" t="n">
        <v>9</v>
      </c>
      <c r="E1813" s="178" t="inlineStr">
        <is>
          <t>1406/09/22</t>
        </is>
      </c>
      <c r="F1813" s="134" t="inlineStr">
        <is>
          <t>1406/09</t>
        </is>
      </c>
      <c r="G1813" s="61" t="inlineStr">
        <is>
          <t>آذر</t>
        </is>
      </c>
      <c r="H1813" s="134" t="inlineStr">
        <is>
          <t>پاییز</t>
        </is>
      </c>
      <c r="I1813" s="134" t="inlineStr">
        <is>
          <t>دوشنبه</t>
        </is>
      </c>
      <c r="J1813" s="134" t="inlineStr">
        <is>
          <t>بله</t>
        </is>
      </c>
    </row>
    <row r="1814">
      <c r="A1814" s="173" t="n">
        <v>46735</v>
      </c>
      <c r="B1814" s="174" t="n">
        <v>46735</v>
      </c>
      <c r="C1814" s="174" t="n">
        <v>1406</v>
      </c>
      <c r="D1814" s="174" t="n">
        <v>9</v>
      </c>
      <c r="E1814" s="175" t="inlineStr">
        <is>
          <t>1406/09/23</t>
        </is>
      </c>
      <c r="F1814" s="128" t="inlineStr">
        <is>
          <t>1406/09</t>
        </is>
      </c>
      <c r="G1814" s="58" t="inlineStr">
        <is>
          <t>آذر</t>
        </is>
      </c>
      <c r="H1814" s="128" t="inlineStr">
        <is>
          <t>پاییز</t>
        </is>
      </c>
      <c r="I1814" s="128" t="inlineStr">
        <is>
          <t>سه‌شنبه</t>
        </is>
      </c>
      <c r="J1814" s="128" t="inlineStr">
        <is>
          <t>بله</t>
        </is>
      </c>
    </row>
    <row r="1815">
      <c r="A1815" s="176" t="n">
        <v>46736</v>
      </c>
      <c r="B1815" s="177" t="n">
        <v>46736</v>
      </c>
      <c r="C1815" s="177" t="n">
        <v>1406</v>
      </c>
      <c r="D1815" s="177" t="n">
        <v>9</v>
      </c>
      <c r="E1815" s="178" t="inlineStr">
        <is>
          <t>1406/09/24</t>
        </is>
      </c>
      <c r="F1815" s="134" t="inlineStr">
        <is>
          <t>1406/09</t>
        </is>
      </c>
      <c r="G1815" s="61" t="inlineStr">
        <is>
          <t>آذر</t>
        </is>
      </c>
      <c r="H1815" s="134" t="inlineStr">
        <is>
          <t>پاییز</t>
        </is>
      </c>
      <c r="I1815" s="134" t="inlineStr">
        <is>
          <t>چهارشنبه</t>
        </is>
      </c>
      <c r="J1815" s="134" t="inlineStr">
        <is>
          <t>بله</t>
        </is>
      </c>
    </row>
    <row r="1816">
      <c r="A1816" s="173" t="n">
        <v>46737</v>
      </c>
      <c r="B1816" s="174" t="n">
        <v>46737</v>
      </c>
      <c r="C1816" s="174" t="n">
        <v>1406</v>
      </c>
      <c r="D1816" s="174" t="n">
        <v>9</v>
      </c>
      <c r="E1816" s="175" t="inlineStr">
        <is>
          <t>1406/09/25</t>
        </is>
      </c>
      <c r="F1816" s="128" t="inlineStr">
        <is>
          <t>1406/09</t>
        </is>
      </c>
      <c r="G1816" s="58" t="inlineStr">
        <is>
          <t>آذر</t>
        </is>
      </c>
      <c r="H1816" s="128" t="inlineStr">
        <is>
          <t>پاییز</t>
        </is>
      </c>
      <c r="I1816" s="128" t="inlineStr">
        <is>
          <t>پنجشنبه</t>
        </is>
      </c>
      <c r="J1816" s="128" t="inlineStr">
        <is>
          <t>بله</t>
        </is>
      </c>
    </row>
    <row r="1817">
      <c r="A1817" s="176" t="n">
        <v>46738</v>
      </c>
      <c r="B1817" s="177" t="n">
        <v>46738</v>
      </c>
      <c r="C1817" s="177" t="n">
        <v>1406</v>
      </c>
      <c r="D1817" s="177" t="n">
        <v>9</v>
      </c>
      <c r="E1817" s="178" t="inlineStr">
        <is>
          <t>1406/09/26</t>
        </is>
      </c>
      <c r="F1817" s="134" t="inlineStr">
        <is>
          <t>1406/09</t>
        </is>
      </c>
      <c r="G1817" s="61" t="inlineStr">
        <is>
          <t>آذر</t>
        </is>
      </c>
      <c r="H1817" s="134" t="inlineStr">
        <is>
          <t>پاییز</t>
        </is>
      </c>
      <c r="I1817" s="134" t="inlineStr">
        <is>
          <t>جمعه</t>
        </is>
      </c>
      <c r="J1817" s="134" t="inlineStr">
        <is>
          <t>بله</t>
        </is>
      </c>
    </row>
    <row r="1818">
      <c r="A1818" s="173" t="n">
        <v>46739</v>
      </c>
      <c r="B1818" s="174" t="n">
        <v>46739</v>
      </c>
      <c r="C1818" s="174" t="n">
        <v>1406</v>
      </c>
      <c r="D1818" s="174" t="n">
        <v>9</v>
      </c>
      <c r="E1818" s="175" t="inlineStr">
        <is>
          <t>1406/09/27</t>
        </is>
      </c>
      <c r="F1818" s="128" t="inlineStr">
        <is>
          <t>1406/09</t>
        </is>
      </c>
      <c r="G1818" s="58" t="inlineStr">
        <is>
          <t>آذر</t>
        </is>
      </c>
      <c r="H1818" s="128" t="inlineStr">
        <is>
          <t>پاییز</t>
        </is>
      </c>
      <c r="I1818" s="128" t="inlineStr">
        <is>
          <t>شنبه</t>
        </is>
      </c>
      <c r="J1818" s="128" t="inlineStr">
        <is>
          <t>خیر</t>
        </is>
      </c>
    </row>
    <row r="1819">
      <c r="A1819" s="176" t="n">
        <v>46740</v>
      </c>
      <c r="B1819" s="177" t="n">
        <v>46740</v>
      </c>
      <c r="C1819" s="177" t="n">
        <v>1406</v>
      </c>
      <c r="D1819" s="177" t="n">
        <v>9</v>
      </c>
      <c r="E1819" s="178" t="inlineStr">
        <is>
          <t>1406/09/28</t>
        </is>
      </c>
      <c r="F1819" s="134" t="inlineStr">
        <is>
          <t>1406/09</t>
        </is>
      </c>
      <c r="G1819" s="61" t="inlineStr">
        <is>
          <t>آذر</t>
        </is>
      </c>
      <c r="H1819" s="134" t="inlineStr">
        <is>
          <t>پاییز</t>
        </is>
      </c>
      <c r="I1819" s="134" t="inlineStr">
        <is>
          <t>یکشنبه</t>
        </is>
      </c>
      <c r="J1819" s="134" t="inlineStr">
        <is>
          <t>خیر</t>
        </is>
      </c>
    </row>
    <row r="1820">
      <c r="A1820" s="173" t="n">
        <v>46741</v>
      </c>
      <c r="B1820" s="174" t="n">
        <v>46741</v>
      </c>
      <c r="C1820" s="174" t="n">
        <v>1406</v>
      </c>
      <c r="D1820" s="174" t="n">
        <v>9</v>
      </c>
      <c r="E1820" s="175" t="inlineStr">
        <is>
          <t>1406/09/29</t>
        </is>
      </c>
      <c r="F1820" s="128" t="inlineStr">
        <is>
          <t>1406/09</t>
        </is>
      </c>
      <c r="G1820" s="58" t="inlineStr">
        <is>
          <t>آذر</t>
        </is>
      </c>
      <c r="H1820" s="128" t="inlineStr">
        <is>
          <t>پاییز</t>
        </is>
      </c>
      <c r="I1820" s="128" t="inlineStr">
        <is>
          <t>دوشنبه</t>
        </is>
      </c>
      <c r="J1820" s="128" t="inlineStr">
        <is>
          <t>بله</t>
        </is>
      </c>
    </row>
    <row r="1821">
      <c r="A1821" s="176" t="n">
        <v>46742</v>
      </c>
      <c r="B1821" s="177" t="n">
        <v>46742</v>
      </c>
      <c r="C1821" s="177" t="n">
        <v>1406</v>
      </c>
      <c r="D1821" s="177" t="n">
        <v>9</v>
      </c>
      <c r="E1821" s="178" t="inlineStr">
        <is>
          <t>1406/09/30</t>
        </is>
      </c>
      <c r="F1821" s="134" t="inlineStr">
        <is>
          <t>1406/09</t>
        </is>
      </c>
      <c r="G1821" s="61" t="inlineStr">
        <is>
          <t>آذر</t>
        </is>
      </c>
      <c r="H1821" s="134" t="inlineStr">
        <is>
          <t>پاییز</t>
        </is>
      </c>
      <c r="I1821" s="134" t="inlineStr">
        <is>
          <t>سه‌شنبه</t>
        </is>
      </c>
      <c r="J1821" s="134" t="inlineStr">
        <is>
          <t>بله</t>
        </is>
      </c>
    </row>
    <row r="1822">
      <c r="A1822" s="173" t="n">
        <v>46743</v>
      </c>
      <c r="B1822" s="174" t="n">
        <v>46743</v>
      </c>
      <c r="C1822" s="174" t="n">
        <v>1406</v>
      </c>
      <c r="D1822" s="174" t="n">
        <v>10</v>
      </c>
      <c r="E1822" s="175" t="inlineStr">
        <is>
          <t>1406/10/01</t>
        </is>
      </c>
      <c r="F1822" s="128" t="inlineStr">
        <is>
          <t>1406/10</t>
        </is>
      </c>
      <c r="G1822" s="58" t="inlineStr">
        <is>
          <t>دی</t>
        </is>
      </c>
      <c r="H1822" s="128" t="inlineStr">
        <is>
          <t>زمستان</t>
        </is>
      </c>
      <c r="I1822" s="128" t="inlineStr">
        <is>
          <t>چهارشنبه</t>
        </is>
      </c>
      <c r="J1822" s="128" t="inlineStr">
        <is>
          <t>بله</t>
        </is>
      </c>
    </row>
    <row r="1823">
      <c r="A1823" s="176" t="n">
        <v>46744</v>
      </c>
      <c r="B1823" s="177" t="n">
        <v>46744</v>
      </c>
      <c r="C1823" s="177" t="n">
        <v>1406</v>
      </c>
      <c r="D1823" s="177" t="n">
        <v>10</v>
      </c>
      <c r="E1823" s="178" t="inlineStr">
        <is>
          <t>1406/10/02</t>
        </is>
      </c>
      <c r="F1823" s="134" t="inlineStr">
        <is>
          <t>1406/10</t>
        </is>
      </c>
      <c r="G1823" s="61" t="inlineStr">
        <is>
          <t>دی</t>
        </is>
      </c>
      <c r="H1823" s="134" t="inlineStr">
        <is>
          <t>زمستان</t>
        </is>
      </c>
      <c r="I1823" s="134" t="inlineStr">
        <is>
          <t>پنجشنبه</t>
        </is>
      </c>
      <c r="J1823" s="134" t="inlineStr">
        <is>
          <t>بله</t>
        </is>
      </c>
    </row>
    <row r="1824">
      <c r="A1824" s="173" t="n">
        <v>46745</v>
      </c>
      <c r="B1824" s="174" t="n">
        <v>46745</v>
      </c>
      <c r="C1824" s="174" t="n">
        <v>1406</v>
      </c>
      <c r="D1824" s="174" t="n">
        <v>10</v>
      </c>
      <c r="E1824" s="175" t="inlineStr">
        <is>
          <t>1406/10/03</t>
        </is>
      </c>
      <c r="F1824" s="128" t="inlineStr">
        <is>
          <t>1406/10</t>
        </is>
      </c>
      <c r="G1824" s="58" t="inlineStr">
        <is>
          <t>دی</t>
        </is>
      </c>
      <c r="H1824" s="128" t="inlineStr">
        <is>
          <t>زمستان</t>
        </is>
      </c>
      <c r="I1824" s="128" t="inlineStr">
        <is>
          <t>جمعه</t>
        </is>
      </c>
      <c r="J1824" s="128" t="inlineStr">
        <is>
          <t>بله</t>
        </is>
      </c>
    </row>
    <row r="1825">
      <c r="A1825" s="176" t="n">
        <v>46746</v>
      </c>
      <c r="B1825" s="177" t="n">
        <v>46746</v>
      </c>
      <c r="C1825" s="177" t="n">
        <v>1406</v>
      </c>
      <c r="D1825" s="177" t="n">
        <v>10</v>
      </c>
      <c r="E1825" s="178" t="inlineStr">
        <is>
          <t>1406/10/04</t>
        </is>
      </c>
      <c r="F1825" s="134" t="inlineStr">
        <is>
          <t>1406/10</t>
        </is>
      </c>
      <c r="G1825" s="61" t="inlineStr">
        <is>
          <t>دی</t>
        </is>
      </c>
      <c r="H1825" s="134" t="inlineStr">
        <is>
          <t>زمستان</t>
        </is>
      </c>
      <c r="I1825" s="134" t="inlineStr">
        <is>
          <t>شنبه</t>
        </is>
      </c>
      <c r="J1825" s="134" t="inlineStr">
        <is>
          <t>خیر</t>
        </is>
      </c>
    </row>
    <row r="1826">
      <c r="A1826" s="173" t="n">
        <v>46747</v>
      </c>
      <c r="B1826" s="174" t="n">
        <v>46747</v>
      </c>
      <c r="C1826" s="174" t="n">
        <v>1406</v>
      </c>
      <c r="D1826" s="174" t="n">
        <v>10</v>
      </c>
      <c r="E1826" s="175" t="inlineStr">
        <is>
          <t>1406/10/05</t>
        </is>
      </c>
      <c r="F1826" s="128" t="inlineStr">
        <is>
          <t>1406/10</t>
        </is>
      </c>
      <c r="G1826" s="58" t="inlineStr">
        <is>
          <t>دی</t>
        </is>
      </c>
      <c r="H1826" s="128" t="inlineStr">
        <is>
          <t>زمستان</t>
        </is>
      </c>
      <c r="I1826" s="128" t="inlineStr">
        <is>
          <t>یکشنبه</t>
        </is>
      </c>
      <c r="J1826" s="128" t="inlineStr">
        <is>
          <t>خیر</t>
        </is>
      </c>
    </row>
    <row r="1827">
      <c r="A1827" s="176" t="n">
        <v>46748</v>
      </c>
      <c r="B1827" s="177" t="n">
        <v>46748</v>
      </c>
      <c r="C1827" s="177" t="n">
        <v>1406</v>
      </c>
      <c r="D1827" s="177" t="n">
        <v>10</v>
      </c>
      <c r="E1827" s="178" t="inlineStr">
        <is>
          <t>1406/10/06</t>
        </is>
      </c>
      <c r="F1827" s="134" t="inlineStr">
        <is>
          <t>1406/10</t>
        </is>
      </c>
      <c r="G1827" s="61" t="inlineStr">
        <is>
          <t>دی</t>
        </is>
      </c>
      <c r="H1827" s="134" t="inlineStr">
        <is>
          <t>زمستان</t>
        </is>
      </c>
      <c r="I1827" s="134" t="inlineStr">
        <is>
          <t>دوشنبه</t>
        </is>
      </c>
      <c r="J1827" s="134" t="inlineStr">
        <is>
          <t>بله</t>
        </is>
      </c>
    </row>
    <row r="1828">
      <c r="A1828" s="173" t="n">
        <v>46749</v>
      </c>
      <c r="B1828" s="174" t="n">
        <v>46749</v>
      </c>
      <c r="C1828" s="174" t="n">
        <v>1406</v>
      </c>
      <c r="D1828" s="174" t="n">
        <v>10</v>
      </c>
      <c r="E1828" s="175" t="inlineStr">
        <is>
          <t>1406/10/07</t>
        </is>
      </c>
      <c r="F1828" s="128" t="inlineStr">
        <is>
          <t>1406/10</t>
        </is>
      </c>
      <c r="G1828" s="58" t="inlineStr">
        <is>
          <t>دی</t>
        </is>
      </c>
      <c r="H1828" s="128" t="inlineStr">
        <is>
          <t>زمستان</t>
        </is>
      </c>
      <c r="I1828" s="128" t="inlineStr">
        <is>
          <t>سه‌شنبه</t>
        </is>
      </c>
      <c r="J1828" s="128" t="inlineStr">
        <is>
          <t>بله</t>
        </is>
      </c>
    </row>
    <row r="1829">
      <c r="A1829" s="176" t="n">
        <v>46750</v>
      </c>
      <c r="B1829" s="177" t="n">
        <v>46750</v>
      </c>
      <c r="C1829" s="177" t="n">
        <v>1406</v>
      </c>
      <c r="D1829" s="177" t="n">
        <v>10</v>
      </c>
      <c r="E1829" s="178" t="inlineStr">
        <is>
          <t>1406/10/08</t>
        </is>
      </c>
      <c r="F1829" s="134" t="inlineStr">
        <is>
          <t>1406/10</t>
        </is>
      </c>
      <c r="G1829" s="61" t="inlineStr">
        <is>
          <t>دی</t>
        </is>
      </c>
      <c r="H1829" s="134" t="inlineStr">
        <is>
          <t>زمستان</t>
        </is>
      </c>
      <c r="I1829" s="134" t="inlineStr">
        <is>
          <t>چهارشنبه</t>
        </is>
      </c>
      <c r="J1829" s="134" t="inlineStr">
        <is>
          <t>بله</t>
        </is>
      </c>
    </row>
    <row r="1830">
      <c r="A1830" s="173" t="n">
        <v>46751</v>
      </c>
      <c r="B1830" s="174" t="n">
        <v>46751</v>
      </c>
      <c r="C1830" s="174" t="n">
        <v>1406</v>
      </c>
      <c r="D1830" s="174" t="n">
        <v>10</v>
      </c>
      <c r="E1830" s="175" t="inlineStr">
        <is>
          <t>1406/10/09</t>
        </is>
      </c>
      <c r="F1830" s="128" t="inlineStr">
        <is>
          <t>1406/10</t>
        </is>
      </c>
      <c r="G1830" s="58" t="inlineStr">
        <is>
          <t>دی</t>
        </is>
      </c>
      <c r="H1830" s="128" t="inlineStr">
        <is>
          <t>زمستان</t>
        </is>
      </c>
      <c r="I1830" s="128" t="inlineStr">
        <is>
          <t>پنجشنبه</t>
        </is>
      </c>
      <c r="J1830" s="128" t="inlineStr">
        <is>
          <t>بله</t>
        </is>
      </c>
    </row>
    <row r="1831">
      <c r="A1831" s="176" t="n">
        <v>46752</v>
      </c>
      <c r="B1831" s="177" t="n">
        <v>46752</v>
      </c>
      <c r="C1831" s="177" t="n">
        <v>1406</v>
      </c>
      <c r="D1831" s="177" t="n">
        <v>10</v>
      </c>
      <c r="E1831" s="178" t="inlineStr">
        <is>
          <t>1406/10/10</t>
        </is>
      </c>
      <c r="F1831" s="134" t="inlineStr">
        <is>
          <t>1406/10</t>
        </is>
      </c>
      <c r="G1831" s="61" t="inlineStr">
        <is>
          <t>دی</t>
        </is>
      </c>
      <c r="H1831" s="134" t="inlineStr">
        <is>
          <t>زمستان</t>
        </is>
      </c>
      <c r="I1831" s="134" t="inlineStr">
        <is>
          <t>جمعه</t>
        </is>
      </c>
      <c r="J1831" s="134" t="inlineStr">
        <is>
          <t>بله</t>
        </is>
      </c>
    </row>
    <row r="1832">
      <c r="A1832" s="173" t="n">
        <v>46753</v>
      </c>
      <c r="B1832" s="174" t="n">
        <v>46753</v>
      </c>
      <c r="C1832" s="174" t="n">
        <v>1406</v>
      </c>
      <c r="D1832" s="174" t="n">
        <v>10</v>
      </c>
      <c r="E1832" s="175" t="inlineStr">
        <is>
          <t>1406/10/11</t>
        </is>
      </c>
      <c r="F1832" s="128" t="inlineStr">
        <is>
          <t>1406/10</t>
        </is>
      </c>
      <c r="G1832" s="58" t="inlineStr">
        <is>
          <t>دی</t>
        </is>
      </c>
      <c r="H1832" s="128" t="inlineStr">
        <is>
          <t>زمستان</t>
        </is>
      </c>
      <c r="I1832" s="128" t="inlineStr">
        <is>
          <t>شنبه</t>
        </is>
      </c>
      <c r="J1832" s="128" t="inlineStr">
        <is>
          <t>خیر</t>
        </is>
      </c>
    </row>
    <row r="1833">
      <c r="A1833" s="176" t="n">
        <v>46754</v>
      </c>
      <c r="B1833" s="177" t="n">
        <v>46754</v>
      </c>
      <c r="C1833" s="177" t="n">
        <v>1406</v>
      </c>
      <c r="D1833" s="177" t="n">
        <v>10</v>
      </c>
      <c r="E1833" s="178" t="inlineStr">
        <is>
          <t>1406/10/12</t>
        </is>
      </c>
      <c r="F1833" s="134" t="inlineStr">
        <is>
          <t>1406/10</t>
        </is>
      </c>
      <c r="G1833" s="61" t="inlineStr">
        <is>
          <t>دی</t>
        </is>
      </c>
      <c r="H1833" s="134" t="inlineStr">
        <is>
          <t>زمستان</t>
        </is>
      </c>
      <c r="I1833" s="134" t="inlineStr">
        <is>
          <t>یکشنبه</t>
        </is>
      </c>
      <c r="J1833" s="134" t="inlineStr">
        <is>
          <t>خیر</t>
        </is>
      </c>
    </row>
    <row r="1834">
      <c r="A1834" s="173" t="n">
        <v>46755</v>
      </c>
      <c r="B1834" s="174" t="n">
        <v>46755</v>
      </c>
      <c r="C1834" s="174" t="n">
        <v>1406</v>
      </c>
      <c r="D1834" s="174" t="n">
        <v>10</v>
      </c>
      <c r="E1834" s="175" t="inlineStr">
        <is>
          <t>1406/10/13</t>
        </is>
      </c>
      <c r="F1834" s="128" t="inlineStr">
        <is>
          <t>1406/10</t>
        </is>
      </c>
      <c r="G1834" s="58" t="inlineStr">
        <is>
          <t>دی</t>
        </is>
      </c>
      <c r="H1834" s="128" t="inlineStr">
        <is>
          <t>زمستان</t>
        </is>
      </c>
      <c r="I1834" s="128" t="inlineStr">
        <is>
          <t>دوشنبه</t>
        </is>
      </c>
      <c r="J1834" s="128" t="inlineStr">
        <is>
          <t>بله</t>
        </is>
      </c>
    </row>
    <row r="1835">
      <c r="A1835" s="176" t="n">
        <v>46756</v>
      </c>
      <c r="B1835" s="177" t="n">
        <v>46756</v>
      </c>
      <c r="C1835" s="177" t="n">
        <v>1406</v>
      </c>
      <c r="D1835" s="177" t="n">
        <v>10</v>
      </c>
      <c r="E1835" s="178" t="inlineStr">
        <is>
          <t>1406/10/14</t>
        </is>
      </c>
      <c r="F1835" s="134" t="inlineStr">
        <is>
          <t>1406/10</t>
        </is>
      </c>
      <c r="G1835" s="61" t="inlineStr">
        <is>
          <t>دی</t>
        </is>
      </c>
      <c r="H1835" s="134" t="inlineStr">
        <is>
          <t>زمستان</t>
        </is>
      </c>
      <c r="I1835" s="134" t="inlineStr">
        <is>
          <t>سه‌شنبه</t>
        </is>
      </c>
      <c r="J1835" s="134" t="inlineStr">
        <is>
          <t>بله</t>
        </is>
      </c>
    </row>
    <row r="1836">
      <c r="A1836" s="173" t="n">
        <v>46757</v>
      </c>
      <c r="B1836" s="174" t="n">
        <v>46757</v>
      </c>
      <c r="C1836" s="174" t="n">
        <v>1406</v>
      </c>
      <c r="D1836" s="174" t="n">
        <v>10</v>
      </c>
      <c r="E1836" s="175" t="inlineStr">
        <is>
          <t>1406/10/15</t>
        </is>
      </c>
      <c r="F1836" s="128" t="inlineStr">
        <is>
          <t>1406/10</t>
        </is>
      </c>
      <c r="G1836" s="58" t="inlineStr">
        <is>
          <t>دی</t>
        </is>
      </c>
      <c r="H1836" s="128" t="inlineStr">
        <is>
          <t>زمستان</t>
        </is>
      </c>
      <c r="I1836" s="128" t="inlineStr">
        <is>
          <t>چهارشنبه</t>
        </is>
      </c>
      <c r="J1836" s="128" t="inlineStr">
        <is>
          <t>بله</t>
        </is>
      </c>
    </row>
    <row r="1837">
      <c r="A1837" s="176" t="n">
        <v>46758</v>
      </c>
      <c r="B1837" s="177" t="n">
        <v>46758</v>
      </c>
      <c r="C1837" s="177" t="n">
        <v>1406</v>
      </c>
      <c r="D1837" s="177" t="n">
        <v>10</v>
      </c>
      <c r="E1837" s="178" t="inlineStr">
        <is>
          <t>1406/10/16</t>
        </is>
      </c>
      <c r="F1837" s="134" t="inlineStr">
        <is>
          <t>1406/10</t>
        </is>
      </c>
      <c r="G1837" s="61" t="inlineStr">
        <is>
          <t>دی</t>
        </is>
      </c>
      <c r="H1837" s="134" t="inlineStr">
        <is>
          <t>زمستان</t>
        </is>
      </c>
      <c r="I1837" s="134" t="inlineStr">
        <is>
          <t>پنجشنبه</t>
        </is>
      </c>
      <c r="J1837" s="134" t="inlineStr">
        <is>
          <t>بله</t>
        </is>
      </c>
    </row>
    <row r="1838">
      <c r="A1838" s="173" t="n">
        <v>46759</v>
      </c>
      <c r="B1838" s="174" t="n">
        <v>46759</v>
      </c>
      <c r="C1838" s="174" t="n">
        <v>1406</v>
      </c>
      <c r="D1838" s="174" t="n">
        <v>10</v>
      </c>
      <c r="E1838" s="175" t="inlineStr">
        <is>
          <t>1406/10/17</t>
        </is>
      </c>
      <c r="F1838" s="128" t="inlineStr">
        <is>
          <t>1406/10</t>
        </is>
      </c>
      <c r="G1838" s="58" t="inlineStr">
        <is>
          <t>دی</t>
        </is>
      </c>
      <c r="H1838" s="128" t="inlineStr">
        <is>
          <t>زمستان</t>
        </is>
      </c>
      <c r="I1838" s="128" t="inlineStr">
        <is>
          <t>جمعه</t>
        </is>
      </c>
      <c r="J1838" s="128" t="inlineStr">
        <is>
          <t>بله</t>
        </is>
      </c>
    </row>
    <row r="1839">
      <c r="A1839" s="176" t="n">
        <v>46760</v>
      </c>
      <c r="B1839" s="177" t="n">
        <v>46760</v>
      </c>
      <c r="C1839" s="177" t="n">
        <v>1406</v>
      </c>
      <c r="D1839" s="177" t="n">
        <v>10</v>
      </c>
      <c r="E1839" s="178" t="inlineStr">
        <is>
          <t>1406/10/18</t>
        </is>
      </c>
      <c r="F1839" s="134" t="inlineStr">
        <is>
          <t>1406/10</t>
        </is>
      </c>
      <c r="G1839" s="61" t="inlineStr">
        <is>
          <t>دی</t>
        </is>
      </c>
      <c r="H1839" s="134" t="inlineStr">
        <is>
          <t>زمستان</t>
        </is>
      </c>
      <c r="I1839" s="134" t="inlineStr">
        <is>
          <t>شنبه</t>
        </is>
      </c>
      <c r="J1839" s="134" t="inlineStr">
        <is>
          <t>خیر</t>
        </is>
      </c>
    </row>
    <row r="1840">
      <c r="A1840" s="173" t="n">
        <v>46761</v>
      </c>
      <c r="B1840" s="174" t="n">
        <v>46761</v>
      </c>
      <c r="C1840" s="174" t="n">
        <v>1406</v>
      </c>
      <c r="D1840" s="174" t="n">
        <v>10</v>
      </c>
      <c r="E1840" s="175" t="inlineStr">
        <is>
          <t>1406/10/19</t>
        </is>
      </c>
      <c r="F1840" s="128" t="inlineStr">
        <is>
          <t>1406/10</t>
        </is>
      </c>
      <c r="G1840" s="58" t="inlineStr">
        <is>
          <t>دی</t>
        </is>
      </c>
      <c r="H1840" s="128" t="inlineStr">
        <is>
          <t>زمستان</t>
        </is>
      </c>
      <c r="I1840" s="128" t="inlineStr">
        <is>
          <t>یکشنبه</t>
        </is>
      </c>
      <c r="J1840" s="128" t="inlineStr">
        <is>
          <t>خیر</t>
        </is>
      </c>
    </row>
    <row r="1841">
      <c r="A1841" s="176" t="n">
        <v>46762</v>
      </c>
      <c r="B1841" s="177" t="n">
        <v>46762</v>
      </c>
      <c r="C1841" s="177" t="n">
        <v>1406</v>
      </c>
      <c r="D1841" s="177" t="n">
        <v>10</v>
      </c>
      <c r="E1841" s="178" t="inlineStr">
        <is>
          <t>1406/10/20</t>
        </is>
      </c>
      <c r="F1841" s="134" t="inlineStr">
        <is>
          <t>1406/10</t>
        </is>
      </c>
      <c r="G1841" s="61" t="inlineStr">
        <is>
          <t>دی</t>
        </is>
      </c>
      <c r="H1841" s="134" t="inlineStr">
        <is>
          <t>زمستان</t>
        </is>
      </c>
      <c r="I1841" s="134" t="inlineStr">
        <is>
          <t>دوشنبه</t>
        </is>
      </c>
      <c r="J1841" s="134" t="inlineStr">
        <is>
          <t>بله</t>
        </is>
      </c>
    </row>
    <row r="1842">
      <c r="A1842" s="173" t="n">
        <v>46763</v>
      </c>
      <c r="B1842" s="174" t="n">
        <v>46763</v>
      </c>
      <c r="C1842" s="174" t="n">
        <v>1406</v>
      </c>
      <c r="D1842" s="174" t="n">
        <v>10</v>
      </c>
      <c r="E1842" s="175" t="inlineStr">
        <is>
          <t>1406/10/21</t>
        </is>
      </c>
      <c r="F1842" s="128" t="inlineStr">
        <is>
          <t>1406/10</t>
        </is>
      </c>
      <c r="G1842" s="58" t="inlineStr">
        <is>
          <t>دی</t>
        </is>
      </c>
      <c r="H1842" s="128" t="inlineStr">
        <is>
          <t>زمستان</t>
        </is>
      </c>
      <c r="I1842" s="128" t="inlineStr">
        <is>
          <t>سه‌شنبه</t>
        </is>
      </c>
      <c r="J1842" s="128" t="inlineStr">
        <is>
          <t>بله</t>
        </is>
      </c>
    </row>
    <row r="1843">
      <c r="A1843" s="176" t="n">
        <v>46764</v>
      </c>
      <c r="B1843" s="177" t="n">
        <v>46764</v>
      </c>
      <c r="C1843" s="177" t="n">
        <v>1406</v>
      </c>
      <c r="D1843" s="177" t="n">
        <v>10</v>
      </c>
      <c r="E1843" s="178" t="inlineStr">
        <is>
          <t>1406/10/22</t>
        </is>
      </c>
      <c r="F1843" s="134" t="inlineStr">
        <is>
          <t>1406/10</t>
        </is>
      </c>
      <c r="G1843" s="61" t="inlineStr">
        <is>
          <t>دی</t>
        </is>
      </c>
      <c r="H1843" s="134" t="inlineStr">
        <is>
          <t>زمستان</t>
        </is>
      </c>
      <c r="I1843" s="134" t="inlineStr">
        <is>
          <t>چهارشنبه</t>
        </is>
      </c>
      <c r="J1843" s="134" t="inlineStr">
        <is>
          <t>بله</t>
        </is>
      </c>
    </row>
    <row r="1844">
      <c r="A1844" s="173" t="n">
        <v>46765</v>
      </c>
      <c r="B1844" s="174" t="n">
        <v>46765</v>
      </c>
      <c r="C1844" s="174" t="n">
        <v>1406</v>
      </c>
      <c r="D1844" s="174" t="n">
        <v>10</v>
      </c>
      <c r="E1844" s="175" t="inlineStr">
        <is>
          <t>1406/10/23</t>
        </is>
      </c>
      <c r="F1844" s="128" t="inlineStr">
        <is>
          <t>1406/10</t>
        </is>
      </c>
      <c r="G1844" s="58" t="inlineStr">
        <is>
          <t>دی</t>
        </is>
      </c>
      <c r="H1844" s="128" t="inlineStr">
        <is>
          <t>زمستان</t>
        </is>
      </c>
      <c r="I1844" s="128" t="inlineStr">
        <is>
          <t>پنجشنبه</t>
        </is>
      </c>
      <c r="J1844" s="128" t="inlineStr">
        <is>
          <t>بله</t>
        </is>
      </c>
    </row>
    <row r="1845">
      <c r="A1845" s="176" t="n">
        <v>46766</v>
      </c>
      <c r="B1845" s="177" t="n">
        <v>46766</v>
      </c>
      <c r="C1845" s="177" t="n">
        <v>1406</v>
      </c>
      <c r="D1845" s="177" t="n">
        <v>10</v>
      </c>
      <c r="E1845" s="178" t="inlineStr">
        <is>
          <t>1406/10/24</t>
        </is>
      </c>
      <c r="F1845" s="134" t="inlineStr">
        <is>
          <t>1406/10</t>
        </is>
      </c>
      <c r="G1845" s="61" t="inlineStr">
        <is>
          <t>دی</t>
        </is>
      </c>
      <c r="H1845" s="134" t="inlineStr">
        <is>
          <t>زمستان</t>
        </is>
      </c>
      <c r="I1845" s="134" t="inlineStr">
        <is>
          <t>جمعه</t>
        </is>
      </c>
      <c r="J1845" s="134" t="inlineStr">
        <is>
          <t>بله</t>
        </is>
      </c>
    </row>
    <row r="1846">
      <c r="A1846" s="173" t="n">
        <v>46767</v>
      </c>
      <c r="B1846" s="174" t="n">
        <v>46767</v>
      </c>
      <c r="C1846" s="174" t="n">
        <v>1406</v>
      </c>
      <c r="D1846" s="174" t="n">
        <v>10</v>
      </c>
      <c r="E1846" s="175" t="inlineStr">
        <is>
          <t>1406/10/25</t>
        </is>
      </c>
      <c r="F1846" s="128" t="inlineStr">
        <is>
          <t>1406/10</t>
        </is>
      </c>
      <c r="G1846" s="58" t="inlineStr">
        <is>
          <t>دی</t>
        </is>
      </c>
      <c r="H1846" s="128" t="inlineStr">
        <is>
          <t>زمستان</t>
        </is>
      </c>
      <c r="I1846" s="128" t="inlineStr">
        <is>
          <t>شنبه</t>
        </is>
      </c>
      <c r="J1846" s="128" t="inlineStr">
        <is>
          <t>خیر</t>
        </is>
      </c>
    </row>
    <row r="1847">
      <c r="A1847" s="176" t="n">
        <v>46768</v>
      </c>
      <c r="B1847" s="177" t="n">
        <v>46768</v>
      </c>
      <c r="C1847" s="177" t="n">
        <v>1406</v>
      </c>
      <c r="D1847" s="177" t="n">
        <v>10</v>
      </c>
      <c r="E1847" s="178" t="inlineStr">
        <is>
          <t>1406/10/26</t>
        </is>
      </c>
      <c r="F1847" s="134" t="inlineStr">
        <is>
          <t>1406/10</t>
        </is>
      </c>
      <c r="G1847" s="61" t="inlineStr">
        <is>
          <t>دی</t>
        </is>
      </c>
      <c r="H1847" s="134" t="inlineStr">
        <is>
          <t>زمستان</t>
        </is>
      </c>
      <c r="I1847" s="134" t="inlineStr">
        <is>
          <t>یکشنبه</t>
        </is>
      </c>
      <c r="J1847" s="134" t="inlineStr">
        <is>
          <t>خیر</t>
        </is>
      </c>
    </row>
    <row r="1848">
      <c r="A1848" s="173" t="n">
        <v>46769</v>
      </c>
      <c r="B1848" s="174" t="n">
        <v>46769</v>
      </c>
      <c r="C1848" s="174" t="n">
        <v>1406</v>
      </c>
      <c r="D1848" s="174" t="n">
        <v>10</v>
      </c>
      <c r="E1848" s="175" t="inlineStr">
        <is>
          <t>1406/10/27</t>
        </is>
      </c>
      <c r="F1848" s="128" t="inlineStr">
        <is>
          <t>1406/10</t>
        </is>
      </c>
      <c r="G1848" s="58" t="inlineStr">
        <is>
          <t>دی</t>
        </is>
      </c>
      <c r="H1848" s="128" t="inlineStr">
        <is>
          <t>زمستان</t>
        </is>
      </c>
      <c r="I1848" s="128" t="inlineStr">
        <is>
          <t>دوشنبه</t>
        </is>
      </c>
      <c r="J1848" s="128" t="inlineStr">
        <is>
          <t>بله</t>
        </is>
      </c>
    </row>
    <row r="1849">
      <c r="A1849" s="176" t="n">
        <v>46770</v>
      </c>
      <c r="B1849" s="177" t="n">
        <v>46770</v>
      </c>
      <c r="C1849" s="177" t="n">
        <v>1406</v>
      </c>
      <c r="D1849" s="177" t="n">
        <v>10</v>
      </c>
      <c r="E1849" s="178" t="inlineStr">
        <is>
          <t>1406/10/28</t>
        </is>
      </c>
      <c r="F1849" s="134" t="inlineStr">
        <is>
          <t>1406/10</t>
        </is>
      </c>
      <c r="G1849" s="61" t="inlineStr">
        <is>
          <t>دی</t>
        </is>
      </c>
      <c r="H1849" s="134" t="inlineStr">
        <is>
          <t>زمستان</t>
        </is>
      </c>
      <c r="I1849" s="134" t="inlineStr">
        <is>
          <t>سه‌شنبه</t>
        </is>
      </c>
      <c r="J1849" s="134" t="inlineStr">
        <is>
          <t>بله</t>
        </is>
      </c>
    </row>
    <row r="1850">
      <c r="A1850" s="173" t="n">
        <v>46771</v>
      </c>
      <c r="B1850" s="174" t="n">
        <v>46771</v>
      </c>
      <c r="C1850" s="174" t="n">
        <v>1406</v>
      </c>
      <c r="D1850" s="174" t="n">
        <v>10</v>
      </c>
      <c r="E1850" s="175" t="inlineStr">
        <is>
          <t>1406/10/29</t>
        </is>
      </c>
      <c r="F1850" s="128" t="inlineStr">
        <is>
          <t>1406/10</t>
        </is>
      </c>
      <c r="G1850" s="58" t="inlineStr">
        <is>
          <t>دی</t>
        </is>
      </c>
      <c r="H1850" s="128" t="inlineStr">
        <is>
          <t>زمستان</t>
        </is>
      </c>
      <c r="I1850" s="128" t="inlineStr">
        <is>
          <t>چهارشنبه</t>
        </is>
      </c>
      <c r="J1850" s="128" t="inlineStr">
        <is>
          <t>بله</t>
        </is>
      </c>
    </row>
    <row r="1851">
      <c r="A1851" s="176" t="n">
        <v>46772</v>
      </c>
      <c r="B1851" s="177" t="n">
        <v>46772</v>
      </c>
      <c r="C1851" s="177" t="n">
        <v>1406</v>
      </c>
      <c r="D1851" s="177" t="n">
        <v>10</v>
      </c>
      <c r="E1851" s="178" t="inlineStr">
        <is>
          <t>1406/10/30</t>
        </is>
      </c>
      <c r="F1851" s="134" t="inlineStr">
        <is>
          <t>1406/10</t>
        </is>
      </c>
      <c r="G1851" s="61" t="inlineStr">
        <is>
          <t>دی</t>
        </is>
      </c>
      <c r="H1851" s="134" t="inlineStr">
        <is>
          <t>زمستان</t>
        </is>
      </c>
      <c r="I1851" s="134" t="inlineStr">
        <is>
          <t>پنجشنبه</t>
        </is>
      </c>
      <c r="J1851" s="134" t="inlineStr">
        <is>
          <t>بله</t>
        </is>
      </c>
    </row>
    <row r="1852">
      <c r="A1852" s="173" t="n">
        <v>46773</v>
      </c>
      <c r="B1852" s="174" t="n">
        <v>46773</v>
      </c>
      <c r="C1852" s="174" t="n">
        <v>1406</v>
      </c>
      <c r="D1852" s="174" t="n">
        <v>11</v>
      </c>
      <c r="E1852" s="175" t="inlineStr">
        <is>
          <t>1406/11/01</t>
        </is>
      </c>
      <c r="F1852" s="128" t="inlineStr">
        <is>
          <t>1406/11</t>
        </is>
      </c>
      <c r="G1852" s="58" t="inlineStr">
        <is>
          <t>بهمن</t>
        </is>
      </c>
      <c r="H1852" s="128" t="inlineStr">
        <is>
          <t>زمستان</t>
        </is>
      </c>
      <c r="I1852" s="128" t="inlineStr">
        <is>
          <t>جمعه</t>
        </is>
      </c>
      <c r="J1852" s="128" t="inlineStr">
        <is>
          <t>بله</t>
        </is>
      </c>
    </row>
    <row r="1853">
      <c r="A1853" s="176" t="n">
        <v>46774</v>
      </c>
      <c r="B1853" s="177" t="n">
        <v>46774</v>
      </c>
      <c r="C1853" s="177" t="n">
        <v>1406</v>
      </c>
      <c r="D1853" s="177" t="n">
        <v>11</v>
      </c>
      <c r="E1853" s="178" t="inlineStr">
        <is>
          <t>1406/11/02</t>
        </is>
      </c>
      <c r="F1853" s="134" t="inlineStr">
        <is>
          <t>1406/11</t>
        </is>
      </c>
      <c r="G1853" s="61" t="inlineStr">
        <is>
          <t>بهمن</t>
        </is>
      </c>
      <c r="H1853" s="134" t="inlineStr">
        <is>
          <t>زمستان</t>
        </is>
      </c>
      <c r="I1853" s="134" t="inlineStr">
        <is>
          <t>شنبه</t>
        </is>
      </c>
      <c r="J1853" s="134" t="inlineStr">
        <is>
          <t>خیر</t>
        </is>
      </c>
    </row>
    <row r="1854">
      <c r="A1854" s="173" t="n">
        <v>46775</v>
      </c>
      <c r="B1854" s="174" t="n">
        <v>46775</v>
      </c>
      <c r="C1854" s="174" t="n">
        <v>1406</v>
      </c>
      <c r="D1854" s="174" t="n">
        <v>11</v>
      </c>
      <c r="E1854" s="175" t="inlineStr">
        <is>
          <t>1406/11/03</t>
        </is>
      </c>
      <c r="F1854" s="128" t="inlineStr">
        <is>
          <t>1406/11</t>
        </is>
      </c>
      <c r="G1854" s="58" t="inlineStr">
        <is>
          <t>بهمن</t>
        </is>
      </c>
      <c r="H1854" s="128" t="inlineStr">
        <is>
          <t>زمستان</t>
        </is>
      </c>
      <c r="I1854" s="128" t="inlineStr">
        <is>
          <t>یکشنبه</t>
        </is>
      </c>
      <c r="J1854" s="128" t="inlineStr">
        <is>
          <t>خیر</t>
        </is>
      </c>
    </row>
    <row r="1855">
      <c r="A1855" s="176" t="n">
        <v>46776</v>
      </c>
      <c r="B1855" s="177" t="n">
        <v>46776</v>
      </c>
      <c r="C1855" s="177" t="n">
        <v>1406</v>
      </c>
      <c r="D1855" s="177" t="n">
        <v>11</v>
      </c>
      <c r="E1855" s="178" t="inlineStr">
        <is>
          <t>1406/11/04</t>
        </is>
      </c>
      <c r="F1855" s="134" t="inlineStr">
        <is>
          <t>1406/11</t>
        </is>
      </c>
      <c r="G1855" s="61" t="inlineStr">
        <is>
          <t>بهمن</t>
        </is>
      </c>
      <c r="H1855" s="134" t="inlineStr">
        <is>
          <t>زمستان</t>
        </is>
      </c>
      <c r="I1855" s="134" t="inlineStr">
        <is>
          <t>دوشنبه</t>
        </is>
      </c>
      <c r="J1855" s="134" t="inlineStr">
        <is>
          <t>بله</t>
        </is>
      </c>
    </row>
    <row r="1856">
      <c r="A1856" s="173" t="n">
        <v>46777</v>
      </c>
      <c r="B1856" s="174" t="n">
        <v>46777</v>
      </c>
      <c r="C1856" s="174" t="n">
        <v>1406</v>
      </c>
      <c r="D1856" s="174" t="n">
        <v>11</v>
      </c>
      <c r="E1856" s="175" t="inlineStr">
        <is>
          <t>1406/11/05</t>
        </is>
      </c>
      <c r="F1856" s="128" t="inlineStr">
        <is>
          <t>1406/11</t>
        </is>
      </c>
      <c r="G1856" s="58" t="inlineStr">
        <is>
          <t>بهمن</t>
        </is>
      </c>
      <c r="H1856" s="128" t="inlineStr">
        <is>
          <t>زمستان</t>
        </is>
      </c>
      <c r="I1856" s="128" t="inlineStr">
        <is>
          <t>سه‌شنبه</t>
        </is>
      </c>
      <c r="J1856" s="128" t="inlineStr">
        <is>
          <t>بله</t>
        </is>
      </c>
    </row>
    <row r="1857">
      <c r="A1857" s="176" t="n">
        <v>46778</v>
      </c>
      <c r="B1857" s="177" t="n">
        <v>46778</v>
      </c>
      <c r="C1857" s="177" t="n">
        <v>1406</v>
      </c>
      <c r="D1857" s="177" t="n">
        <v>11</v>
      </c>
      <c r="E1857" s="178" t="inlineStr">
        <is>
          <t>1406/11/06</t>
        </is>
      </c>
      <c r="F1857" s="134" t="inlineStr">
        <is>
          <t>1406/11</t>
        </is>
      </c>
      <c r="G1857" s="61" t="inlineStr">
        <is>
          <t>بهمن</t>
        </is>
      </c>
      <c r="H1857" s="134" t="inlineStr">
        <is>
          <t>زمستان</t>
        </is>
      </c>
      <c r="I1857" s="134" t="inlineStr">
        <is>
          <t>چهارشنبه</t>
        </is>
      </c>
      <c r="J1857" s="134" t="inlineStr">
        <is>
          <t>بله</t>
        </is>
      </c>
    </row>
    <row r="1858">
      <c r="A1858" s="173" t="n">
        <v>46779</v>
      </c>
      <c r="B1858" s="174" t="n">
        <v>46779</v>
      </c>
      <c r="C1858" s="174" t="n">
        <v>1406</v>
      </c>
      <c r="D1858" s="174" t="n">
        <v>11</v>
      </c>
      <c r="E1858" s="175" t="inlineStr">
        <is>
          <t>1406/11/07</t>
        </is>
      </c>
      <c r="F1858" s="128" t="inlineStr">
        <is>
          <t>1406/11</t>
        </is>
      </c>
      <c r="G1858" s="58" t="inlineStr">
        <is>
          <t>بهمن</t>
        </is>
      </c>
      <c r="H1858" s="128" t="inlineStr">
        <is>
          <t>زمستان</t>
        </is>
      </c>
      <c r="I1858" s="128" t="inlineStr">
        <is>
          <t>پنجشنبه</t>
        </is>
      </c>
      <c r="J1858" s="128" t="inlineStr">
        <is>
          <t>بله</t>
        </is>
      </c>
    </row>
    <row r="1859">
      <c r="A1859" s="176" t="n">
        <v>46780</v>
      </c>
      <c r="B1859" s="177" t="n">
        <v>46780</v>
      </c>
      <c r="C1859" s="177" t="n">
        <v>1406</v>
      </c>
      <c r="D1859" s="177" t="n">
        <v>11</v>
      </c>
      <c r="E1859" s="178" t="inlineStr">
        <is>
          <t>1406/11/08</t>
        </is>
      </c>
      <c r="F1859" s="134" t="inlineStr">
        <is>
          <t>1406/11</t>
        </is>
      </c>
      <c r="G1859" s="61" t="inlineStr">
        <is>
          <t>بهمن</t>
        </is>
      </c>
      <c r="H1859" s="134" t="inlineStr">
        <is>
          <t>زمستان</t>
        </is>
      </c>
      <c r="I1859" s="134" t="inlineStr">
        <is>
          <t>جمعه</t>
        </is>
      </c>
      <c r="J1859" s="134" t="inlineStr">
        <is>
          <t>بله</t>
        </is>
      </c>
    </row>
    <row r="1860">
      <c r="A1860" s="173" t="n">
        <v>46781</v>
      </c>
      <c r="B1860" s="174" t="n">
        <v>46781</v>
      </c>
      <c r="C1860" s="174" t="n">
        <v>1406</v>
      </c>
      <c r="D1860" s="174" t="n">
        <v>11</v>
      </c>
      <c r="E1860" s="175" t="inlineStr">
        <is>
          <t>1406/11/09</t>
        </is>
      </c>
      <c r="F1860" s="128" t="inlineStr">
        <is>
          <t>1406/11</t>
        </is>
      </c>
      <c r="G1860" s="58" t="inlineStr">
        <is>
          <t>بهمن</t>
        </is>
      </c>
      <c r="H1860" s="128" t="inlineStr">
        <is>
          <t>زمستان</t>
        </is>
      </c>
      <c r="I1860" s="128" t="inlineStr">
        <is>
          <t>شنبه</t>
        </is>
      </c>
      <c r="J1860" s="128" t="inlineStr">
        <is>
          <t>خیر</t>
        </is>
      </c>
    </row>
    <row r="1861">
      <c r="A1861" s="176" t="n">
        <v>46782</v>
      </c>
      <c r="B1861" s="177" t="n">
        <v>46782</v>
      </c>
      <c r="C1861" s="177" t="n">
        <v>1406</v>
      </c>
      <c r="D1861" s="177" t="n">
        <v>11</v>
      </c>
      <c r="E1861" s="178" t="inlineStr">
        <is>
          <t>1406/11/10</t>
        </is>
      </c>
      <c r="F1861" s="134" t="inlineStr">
        <is>
          <t>1406/11</t>
        </is>
      </c>
      <c r="G1861" s="61" t="inlineStr">
        <is>
          <t>بهمن</t>
        </is>
      </c>
      <c r="H1861" s="134" t="inlineStr">
        <is>
          <t>زمستان</t>
        </is>
      </c>
      <c r="I1861" s="134" t="inlineStr">
        <is>
          <t>یکشنبه</t>
        </is>
      </c>
      <c r="J1861" s="134" t="inlineStr">
        <is>
          <t>خیر</t>
        </is>
      </c>
    </row>
    <row r="1862">
      <c r="A1862" s="173" t="n">
        <v>46783</v>
      </c>
      <c r="B1862" s="174" t="n">
        <v>46783</v>
      </c>
      <c r="C1862" s="174" t="n">
        <v>1406</v>
      </c>
      <c r="D1862" s="174" t="n">
        <v>11</v>
      </c>
      <c r="E1862" s="175" t="inlineStr">
        <is>
          <t>1406/11/11</t>
        </is>
      </c>
      <c r="F1862" s="128" t="inlineStr">
        <is>
          <t>1406/11</t>
        </is>
      </c>
      <c r="G1862" s="58" t="inlineStr">
        <is>
          <t>بهمن</t>
        </is>
      </c>
      <c r="H1862" s="128" t="inlineStr">
        <is>
          <t>زمستان</t>
        </is>
      </c>
      <c r="I1862" s="128" t="inlineStr">
        <is>
          <t>دوشنبه</t>
        </is>
      </c>
      <c r="J1862" s="128" t="inlineStr">
        <is>
          <t>بله</t>
        </is>
      </c>
    </row>
    <row r="1863">
      <c r="A1863" s="176" t="n">
        <v>46784</v>
      </c>
      <c r="B1863" s="177" t="n">
        <v>46784</v>
      </c>
      <c r="C1863" s="177" t="n">
        <v>1406</v>
      </c>
      <c r="D1863" s="177" t="n">
        <v>11</v>
      </c>
      <c r="E1863" s="178" t="inlineStr">
        <is>
          <t>1406/11/12</t>
        </is>
      </c>
      <c r="F1863" s="134" t="inlineStr">
        <is>
          <t>1406/11</t>
        </is>
      </c>
      <c r="G1863" s="61" t="inlineStr">
        <is>
          <t>بهمن</t>
        </is>
      </c>
      <c r="H1863" s="134" t="inlineStr">
        <is>
          <t>زمستان</t>
        </is>
      </c>
      <c r="I1863" s="134" t="inlineStr">
        <is>
          <t>سه‌شنبه</t>
        </is>
      </c>
      <c r="J1863" s="134" t="inlineStr">
        <is>
          <t>بله</t>
        </is>
      </c>
    </row>
    <row r="1864">
      <c r="A1864" s="173" t="n">
        <v>46785</v>
      </c>
      <c r="B1864" s="174" t="n">
        <v>46785</v>
      </c>
      <c r="C1864" s="174" t="n">
        <v>1406</v>
      </c>
      <c r="D1864" s="174" t="n">
        <v>11</v>
      </c>
      <c r="E1864" s="175" t="inlineStr">
        <is>
          <t>1406/11/13</t>
        </is>
      </c>
      <c r="F1864" s="128" t="inlineStr">
        <is>
          <t>1406/11</t>
        </is>
      </c>
      <c r="G1864" s="58" t="inlineStr">
        <is>
          <t>بهمن</t>
        </is>
      </c>
      <c r="H1864" s="128" t="inlineStr">
        <is>
          <t>زمستان</t>
        </is>
      </c>
      <c r="I1864" s="128" t="inlineStr">
        <is>
          <t>چهارشنبه</t>
        </is>
      </c>
      <c r="J1864" s="128" t="inlineStr">
        <is>
          <t>بله</t>
        </is>
      </c>
    </row>
    <row r="1865">
      <c r="A1865" s="176" t="n">
        <v>46786</v>
      </c>
      <c r="B1865" s="177" t="n">
        <v>46786</v>
      </c>
      <c r="C1865" s="177" t="n">
        <v>1406</v>
      </c>
      <c r="D1865" s="177" t="n">
        <v>11</v>
      </c>
      <c r="E1865" s="178" t="inlineStr">
        <is>
          <t>1406/11/14</t>
        </is>
      </c>
      <c r="F1865" s="134" t="inlineStr">
        <is>
          <t>1406/11</t>
        </is>
      </c>
      <c r="G1865" s="61" t="inlineStr">
        <is>
          <t>بهمن</t>
        </is>
      </c>
      <c r="H1865" s="134" t="inlineStr">
        <is>
          <t>زمستان</t>
        </is>
      </c>
      <c r="I1865" s="134" t="inlineStr">
        <is>
          <t>پنجشنبه</t>
        </is>
      </c>
      <c r="J1865" s="134" t="inlineStr">
        <is>
          <t>بله</t>
        </is>
      </c>
    </row>
    <row r="1866">
      <c r="A1866" s="173" t="n">
        <v>46787</v>
      </c>
      <c r="B1866" s="174" t="n">
        <v>46787</v>
      </c>
      <c r="C1866" s="174" t="n">
        <v>1406</v>
      </c>
      <c r="D1866" s="174" t="n">
        <v>11</v>
      </c>
      <c r="E1866" s="175" t="inlineStr">
        <is>
          <t>1406/11/15</t>
        </is>
      </c>
      <c r="F1866" s="128" t="inlineStr">
        <is>
          <t>1406/11</t>
        </is>
      </c>
      <c r="G1866" s="58" t="inlineStr">
        <is>
          <t>بهمن</t>
        </is>
      </c>
      <c r="H1866" s="128" t="inlineStr">
        <is>
          <t>زمستان</t>
        </is>
      </c>
      <c r="I1866" s="128" t="inlineStr">
        <is>
          <t>جمعه</t>
        </is>
      </c>
      <c r="J1866" s="128" t="inlineStr">
        <is>
          <t>بله</t>
        </is>
      </c>
    </row>
    <row r="1867">
      <c r="A1867" s="176" t="n">
        <v>46788</v>
      </c>
      <c r="B1867" s="177" t="n">
        <v>46788</v>
      </c>
      <c r="C1867" s="177" t="n">
        <v>1406</v>
      </c>
      <c r="D1867" s="177" t="n">
        <v>11</v>
      </c>
      <c r="E1867" s="178" t="inlineStr">
        <is>
          <t>1406/11/16</t>
        </is>
      </c>
      <c r="F1867" s="134" t="inlineStr">
        <is>
          <t>1406/11</t>
        </is>
      </c>
      <c r="G1867" s="61" t="inlineStr">
        <is>
          <t>بهمن</t>
        </is>
      </c>
      <c r="H1867" s="134" t="inlineStr">
        <is>
          <t>زمستان</t>
        </is>
      </c>
      <c r="I1867" s="134" t="inlineStr">
        <is>
          <t>شنبه</t>
        </is>
      </c>
      <c r="J1867" s="134" t="inlineStr">
        <is>
          <t>خیر</t>
        </is>
      </c>
    </row>
    <row r="1868">
      <c r="A1868" s="173" t="n">
        <v>46789</v>
      </c>
      <c r="B1868" s="174" t="n">
        <v>46789</v>
      </c>
      <c r="C1868" s="174" t="n">
        <v>1406</v>
      </c>
      <c r="D1868" s="174" t="n">
        <v>11</v>
      </c>
      <c r="E1868" s="175" t="inlineStr">
        <is>
          <t>1406/11/17</t>
        </is>
      </c>
      <c r="F1868" s="128" t="inlineStr">
        <is>
          <t>1406/11</t>
        </is>
      </c>
      <c r="G1868" s="58" t="inlineStr">
        <is>
          <t>بهمن</t>
        </is>
      </c>
      <c r="H1868" s="128" t="inlineStr">
        <is>
          <t>زمستان</t>
        </is>
      </c>
      <c r="I1868" s="128" t="inlineStr">
        <is>
          <t>یکشنبه</t>
        </is>
      </c>
      <c r="J1868" s="128" t="inlineStr">
        <is>
          <t>خیر</t>
        </is>
      </c>
    </row>
    <row r="1869">
      <c r="A1869" s="176" t="n">
        <v>46790</v>
      </c>
      <c r="B1869" s="177" t="n">
        <v>46790</v>
      </c>
      <c r="C1869" s="177" t="n">
        <v>1406</v>
      </c>
      <c r="D1869" s="177" t="n">
        <v>11</v>
      </c>
      <c r="E1869" s="178" t="inlineStr">
        <is>
          <t>1406/11/18</t>
        </is>
      </c>
      <c r="F1869" s="134" t="inlineStr">
        <is>
          <t>1406/11</t>
        </is>
      </c>
      <c r="G1869" s="61" t="inlineStr">
        <is>
          <t>بهمن</t>
        </is>
      </c>
      <c r="H1869" s="134" t="inlineStr">
        <is>
          <t>زمستان</t>
        </is>
      </c>
      <c r="I1869" s="134" t="inlineStr">
        <is>
          <t>دوشنبه</t>
        </is>
      </c>
      <c r="J1869" s="134" t="inlineStr">
        <is>
          <t>بله</t>
        </is>
      </c>
    </row>
    <row r="1870">
      <c r="A1870" s="173" t="n">
        <v>46791</v>
      </c>
      <c r="B1870" s="174" t="n">
        <v>46791</v>
      </c>
      <c r="C1870" s="174" t="n">
        <v>1406</v>
      </c>
      <c r="D1870" s="174" t="n">
        <v>11</v>
      </c>
      <c r="E1870" s="175" t="inlineStr">
        <is>
          <t>1406/11/19</t>
        </is>
      </c>
      <c r="F1870" s="128" t="inlineStr">
        <is>
          <t>1406/11</t>
        </is>
      </c>
      <c r="G1870" s="58" t="inlineStr">
        <is>
          <t>بهمن</t>
        </is>
      </c>
      <c r="H1870" s="128" t="inlineStr">
        <is>
          <t>زمستان</t>
        </is>
      </c>
      <c r="I1870" s="128" t="inlineStr">
        <is>
          <t>سه‌شنبه</t>
        </is>
      </c>
      <c r="J1870" s="128" t="inlineStr">
        <is>
          <t>بله</t>
        </is>
      </c>
    </row>
    <row r="1871">
      <c r="A1871" s="176" t="n">
        <v>46792</v>
      </c>
      <c r="B1871" s="177" t="n">
        <v>46792</v>
      </c>
      <c r="C1871" s="177" t="n">
        <v>1406</v>
      </c>
      <c r="D1871" s="177" t="n">
        <v>11</v>
      </c>
      <c r="E1871" s="178" t="inlineStr">
        <is>
          <t>1406/11/20</t>
        </is>
      </c>
      <c r="F1871" s="134" t="inlineStr">
        <is>
          <t>1406/11</t>
        </is>
      </c>
      <c r="G1871" s="61" t="inlineStr">
        <is>
          <t>بهمن</t>
        </is>
      </c>
      <c r="H1871" s="134" t="inlineStr">
        <is>
          <t>زمستان</t>
        </is>
      </c>
      <c r="I1871" s="134" t="inlineStr">
        <is>
          <t>چهارشنبه</t>
        </is>
      </c>
      <c r="J1871" s="134" t="inlineStr">
        <is>
          <t>بله</t>
        </is>
      </c>
    </row>
    <row r="1872">
      <c r="A1872" s="173" t="n">
        <v>46793</v>
      </c>
      <c r="B1872" s="174" t="n">
        <v>46793</v>
      </c>
      <c r="C1872" s="174" t="n">
        <v>1406</v>
      </c>
      <c r="D1872" s="174" t="n">
        <v>11</v>
      </c>
      <c r="E1872" s="175" t="inlineStr">
        <is>
          <t>1406/11/21</t>
        </is>
      </c>
      <c r="F1872" s="128" t="inlineStr">
        <is>
          <t>1406/11</t>
        </is>
      </c>
      <c r="G1872" s="58" t="inlineStr">
        <is>
          <t>بهمن</t>
        </is>
      </c>
      <c r="H1872" s="128" t="inlineStr">
        <is>
          <t>زمستان</t>
        </is>
      </c>
      <c r="I1872" s="128" t="inlineStr">
        <is>
          <t>پنجشنبه</t>
        </is>
      </c>
      <c r="J1872" s="128" t="inlineStr">
        <is>
          <t>بله</t>
        </is>
      </c>
    </row>
    <row r="1873">
      <c r="A1873" s="176" t="n">
        <v>46794</v>
      </c>
      <c r="B1873" s="177" t="n">
        <v>46794</v>
      </c>
      <c r="C1873" s="177" t="n">
        <v>1406</v>
      </c>
      <c r="D1873" s="177" t="n">
        <v>11</v>
      </c>
      <c r="E1873" s="178" t="inlineStr">
        <is>
          <t>1406/11/22</t>
        </is>
      </c>
      <c r="F1873" s="134" t="inlineStr">
        <is>
          <t>1406/11</t>
        </is>
      </c>
      <c r="G1873" s="61" t="inlineStr">
        <is>
          <t>بهمن</t>
        </is>
      </c>
      <c r="H1873" s="134" t="inlineStr">
        <is>
          <t>زمستان</t>
        </is>
      </c>
      <c r="I1873" s="134" t="inlineStr">
        <is>
          <t>جمعه</t>
        </is>
      </c>
      <c r="J1873" s="134" t="inlineStr">
        <is>
          <t>بله</t>
        </is>
      </c>
    </row>
    <row r="1874">
      <c r="A1874" s="173" t="n">
        <v>46795</v>
      </c>
      <c r="B1874" s="174" t="n">
        <v>46795</v>
      </c>
      <c r="C1874" s="174" t="n">
        <v>1406</v>
      </c>
      <c r="D1874" s="174" t="n">
        <v>11</v>
      </c>
      <c r="E1874" s="175" t="inlineStr">
        <is>
          <t>1406/11/23</t>
        </is>
      </c>
      <c r="F1874" s="128" t="inlineStr">
        <is>
          <t>1406/11</t>
        </is>
      </c>
      <c r="G1874" s="58" t="inlineStr">
        <is>
          <t>بهمن</t>
        </is>
      </c>
      <c r="H1874" s="128" t="inlineStr">
        <is>
          <t>زمستان</t>
        </is>
      </c>
      <c r="I1874" s="128" t="inlineStr">
        <is>
          <t>شنبه</t>
        </is>
      </c>
      <c r="J1874" s="128" t="inlineStr">
        <is>
          <t>خیر</t>
        </is>
      </c>
    </row>
    <row r="1875">
      <c r="A1875" s="176" t="n">
        <v>46796</v>
      </c>
      <c r="B1875" s="177" t="n">
        <v>46796</v>
      </c>
      <c r="C1875" s="177" t="n">
        <v>1406</v>
      </c>
      <c r="D1875" s="177" t="n">
        <v>11</v>
      </c>
      <c r="E1875" s="178" t="inlineStr">
        <is>
          <t>1406/11/24</t>
        </is>
      </c>
      <c r="F1875" s="134" t="inlineStr">
        <is>
          <t>1406/11</t>
        </is>
      </c>
      <c r="G1875" s="61" t="inlineStr">
        <is>
          <t>بهمن</t>
        </is>
      </c>
      <c r="H1875" s="134" t="inlineStr">
        <is>
          <t>زمستان</t>
        </is>
      </c>
      <c r="I1875" s="134" t="inlineStr">
        <is>
          <t>یکشنبه</t>
        </is>
      </c>
      <c r="J1875" s="134" t="inlineStr">
        <is>
          <t>خیر</t>
        </is>
      </c>
    </row>
    <row r="1876">
      <c r="A1876" s="173" t="n">
        <v>46797</v>
      </c>
      <c r="B1876" s="174" t="n">
        <v>46797</v>
      </c>
      <c r="C1876" s="174" t="n">
        <v>1406</v>
      </c>
      <c r="D1876" s="174" t="n">
        <v>11</v>
      </c>
      <c r="E1876" s="175" t="inlineStr">
        <is>
          <t>1406/11/25</t>
        </is>
      </c>
      <c r="F1876" s="128" t="inlineStr">
        <is>
          <t>1406/11</t>
        </is>
      </c>
      <c r="G1876" s="58" t="inlineStr">
        <is>
          <t>بهمن</t>
        </is>
      </c>
      <c r="H1876" s="128" t="inlineStr">
        <is>
          <t>زمستان</t>
        </is>
      </c>
      <c r="I1876" s="128" t="inlineStr">
        <is>
          <t>دوشنبه</t>
        </is>
      </c>
      <c r="J1876" s="128" t="inlineStr">
        <is>
          <t>بله</t>
        </is>
      </c>
    </row>
    <row r="1877">
      <c r="A1877" s="176" t="n">
        <v>46798</v>
      </c>
      <c r="B1877" s="177" t="n">
        <v>46798</v>
      </c>
      <c r="C1877" s="177" t="n">
        <v>1406</v>
      </c>
      <c r="D1877" s="177" t="n">
        <v>11</v>
      </c>
      <c r="E1877" s="178" t="inlineStr">
        <is>
          <t>1406/11/26</t>
        </is>
      </c>
      <c r="F1877" s="134" t="inlineStr">
        <is>
          <t>1406/11</t>
        </is>
      </c>
      <c r="G1877" s="61" t="inlineStr">
        <is>
          <t>بهمن</t>
        </is>
      </c>
      <c r="H1877" s="134" t="inlineStr">
        <is>
          <t>زمستان</t>
        </is>
      </c>
      <c r="I1877" s="134" t="inlineStr">
        <is>
          <t>سه‌شنبه</t>
        </is>
      </c>
      <c r="J1877" s="134" t="inlineStr">
        <is>
          <t>بله</t>
        </is>
      </c>
    </row>
    <row r="1878">
      <c r="A1878" s="173" t="n">
        <v>46799</v>
      </c>
      <c r="B1878" s="174" t="n">
        <v>46799</v>
      </c>
      <c r="C1878" s="174" t="n">
        <v>1406</v>
      </c>
      <c r="D1878" s="174" t="n">
        <v>11</v>
      </c>
      <c r="E1878" s="175" t="inlineStr">
        <is>
          <t>1406/11/27</t>
        </is>
      </c>
      <c r="F1878" s="128" t="inlineStr">
        <is>
          <t>1406/11</t>
        </is>
      </c>
      <c r="G1878" s="58" t="inlineStr">
        <is>
          <t>بهمن</t>
        </is>
      </c>
      <c r="H1878" s="128" t="inlineStr">
        <is>
          <t>زمستان</t>
        </is>
      </c>
      <c r="I1878" s="128" t="inlineStr">
        <is>
          <t>چهارشنبه</t>
        </is>
      </c>
      <c r="J1878" s="128" t="inlineStr">
        <is>
          <t>بله</t>
        </is>
      </c>
    </row>
    <row r="1879">
      <c r="A1879" s="176" t="n">
        <v>46800</v>
      </c>
      <c r="B1879" s="177" t="n">
        <v>46800</v>
      </c>
      <c r="C1879" s="177" t="n">
        <v>1406</v>
      </c>
      <c r="D1879" s="177" t="n">
        <v>11</v>
      </c>
      <c r="E1879" s="178" t="inlineStr">
        <is>
          <t>1406/11/28</t>
        </is>
      </c>
      <c r="F1879" s="134" t="inlineStr">
        <is>
          <t>1406/11</t>
        </is>
      </c>
      <c r="G1879" s="61" t="inlineStr">
        <is>
          <t>بهمن</t>
        </is>
      </c>
      <c r="H1879" s="134" t="inlineStr">
        <is>
          <t>زمستان</t>
        </is>
      </c>
      <c r="I1879" s="134" t="inlineStr">
        <is>
          <t>پنجشنبه</t>
        </is>
      </c>
      <c r="J1879" s="134" t="inlineStr">
        <is>
          <t>بله</t>
        </is>
      </c>
    </row>
    <row r="1880">
      <c r="A1880" s="173" t="n">
        <v>46801</v>
      </c>
      <c r="B1880" s="174" t="n">
        <v>46801</v>
      </c>
      <c r="C1880" s="174" t="n">
        <v>1406</v>
      </c>
      <c r="D1880" s="174" t="n">
        <v>11</v>
      </c>
      <c r="E1880" s="175" t="inlineStr">
        <is>
          <t>1406/11/29</t>
        </is>
      </c>
      <c r="F1880" s="128" t="inlineStr">
        <is>
          <t>1406/11</t>
        </is>
      </c>
      <c r="G1880" s="58" t="inlineStr">
        <is>
          <t>بهمن</t>
        </is>
      </c>
      <c r="H1880" s="128" t="inlineStr">
        <is>
          <t>زمستان</t>
        </is>
      </c>
      <c r="I1880" s="128" t="inlineStr">
        <is>
          <t>جمعه</t>
        </is>
      </c>
      <c r="J1880" s="128" t="inlineStr">
        <is>
          <t>بله</t>
        </is>
      </c>
    </row>
    <row r="1881">
      <c r="A1881" s="176" t="n">
        <v>46802</v>
      </c>
      <c r="B1881" s="177" t="n">
        <v>46802</v>
      </c>
      <c r="C1881" s="177" t="n">
        <v>1406</v>
      </c>
      <c r="D1881" s="177" t="n">
        <v>11</v>
      </c>
      <c r="E1881" s="178" t="inlineStr">
        <is>
          <t>1406/11/30</t>
        </is>
      </c>
      <c r="F1881" s="134" t="inlineStr">
        <is>
          <t>1406/11</t>
        </is>
      </c>
      <c r="G1881" s="61" t="inlineStr">
        <is>
          <t>بهمن</t>
        </is>
      </c>
      <c r="H1881" s="134" t="inlineStr">
        <is>
          <t>زمستان</t>
        </is>
      </c>
      <c r="I1881" s="134" t="inlineStr">
        <is>
          <t>شنبه</t>
        </is>
      </c>
      <c r="J1881" s="134" t="inlineStr">
        <is>
          <t>خیر</t>
        </is>
      </c>
    </row>
    <row r="1882">
      <c r="A1882" s="173" t="n">
        <v>46803</v>
      </c>
      <c r="B1882" s="174" t="n">
        <v>46803</v>
      </c>
      <c r="C1882" s="174" t="n">
        <v>1406</v>
      </c>
      <c r="D1882" s="174" t="n">
        <v>12</v>
      </c>
      <c r="E1882" s="175" t="inlineStr">
        <is>
          <t>1406/12/01</t>
        </is>
      </c>
      <c r="F1882" s="128" t="inlineStr">
        <is>
          <t>1406/12</t>
        </is>
      </c>
      <c r="G1882" s="58" t="inlineStr">
        <is>
          <t>اسفند</t>
        </is>
      </c>
      <c r="H1882" s="128" t="inlineStr">
        <is>
          <t>زمستان</t>
        </is>
      </c>
      <c r="I1882" s="128" t="inlineStr">
        <is>
          <t>یکشنبه</t>
        </is>
      </c>
      <c r="J1882" s="128" t="inlineStr">
        <is>
          <t>خیر</t>
        </is>
      </c>
    </row>
    <row r="1883">
      <c r="A1883" s="176" t="n">
        <v>46804</v>
      </c>
      <c r="B1883" s="177" t="n">
        <v>46804</v>
      </c>
      <c r="C1883" s="177" t="n">
        <v>1406</v>
      </c>
      <c r="D1883" s="177" t="n">
        <v>12</v>
      </c>
      <c r="E1883" s="178" t="inlineStr">
        <is>
          <t>1406/12/02</t>
        </is>
      </c>
      <c r="F1883" s="134" t="inlineStr">
        <is>
          <t>1406/12</t>
        </is>
      </c>
      <c r="G1883" s="61" t="inlineStr">
        <is>
          <t>اسفند</t>
        </is>
      </c>
      <c r="H1883" s="134" t="inlineStr">
        <is>
          <t>زمستان</t>
        </is>
      </c>
      <c r="I1883" s="134" t="inlineStr">
        <is>
          <t>دوشنبه</t>
        </is>
      </c>
      <c r="J1883" s="134" t="inlineStr">
        <is>
          <t>بله</t>
        </is>
      </c>
    </row>
    <row r="1884">
      <c r="A1884" s="173" t="n">
        <v>46805</v>
      </c>
      <c r="B1884" s="174" t="n">
        <v>46805</v>
      </c>
      <c r="C1884" s="174" t="n">
        <v>1406</v>
      </c>
      <c r="D1884" s="174" t="n">
        <v>12</v>
      </c>
      <c r="E1884" s="175" t="inlineStr">
        <is>
          <t>1406/12/03</t>
        </is>
      </c>
      <c r="F1884" s="128" t="inlineStr">
        <is>
          <t>1406/12</t>
        </is>
      </c>
      <c r="G1884" s="58" t="inlineStr">
        <is>
          <t>اسفند</t>
        </is>
      </c>
      <c r="H1884" s="128" t="inlineStr">
        <is>
          <t>زمستان</t>
        </is>
      </c>
      <c r="I1884" s="128" t="inlineStr">
        <is>
          <t>سه‌شنبه</t>
        </is>
      </c>
      <c r="J1884" s="128" t="inlineStr">
        <is>
          <t>بله</t>
        </is>
      </c>
    </row>
    <row r="1885">
      <c r="A1885" s="176" t="n">
        <v>46806</v>
      </c>
      <c r="B1885" s="177" t="n">
        <v>46806</v>
      </c>
      <c r="C1885" s="177" t="n">
        <v>1406</v>
      </c>
      <c r="D1885" s="177" t="n">
        <v>12</v>
      </c>
      <c r="E1885" s="178" t="inlineStr">
        <is>
          <t>1406/12/04</t>
        </is>
      </c>
      <c r="F1885" s="134" t="inlineStr">
        <is>
          <t>1406/12</t>
        </is>
      </c>
      <c r="G1885" s="61" t="inlineStr">
        <is>
          <t>اسفند</t>
        </is>
      </c>
      <c r="H1885" s="134" t="inlineStr">
        <is>
          <t>زمستان</t>
        </is>
      </c>
      <c r="I1885" s="134" t="inlineStr">
        <is>
          <t>چهارشنبه</t>
        </is>
      </c>
      <c r="J1885" s="134" t="inlineStr">
        <is>
          <t>بله</t>
        </is>
      </c>
    </row>
    <row r="1886">
      <c r="A1886" s="173" t="n">
        <v>46807</v>
      </c>
      <c r="B1886" s="174" t="n">
        <v>46807</v>
      </c>
      <c r="C1886" s="174" t="n">
        <v>1406</v>
      </c>
      <c r="D1886" s="174" t="n">
        <v>12</v>
      </c>
      <c r="E1886" s="175" t="inlineStr">
        <is>
          <t>1406/12/05</t>
        </is>
      </c>
      <c r="F1886" s="128" t="inlineStr">
        <is>
          <t>1406/12</t>
        </is>
      </c>
      <c r="G1886" s="58" t="inlineStr">
        <is>
          <t>اسفند</t>
        </is>
      </c>
      <c r="H1886" s="128" t="inlineStr">
        <is>
          <t>زمستان</t>
        </is>
      </c>
      <c r="I1886" s="128" t="inlineStr">
        <is>
          <t>پنجشنبه</t>
        </is>
      </c>
      <c r="J1886" s="128" t="inlineStr">
        <is>
          <t>بله</t>
        </is>
      </c>
    </row>
    <row r="1887">
      <c r="A1887" s="176" t="n">
        <v>46808</v>
      </c>
      <c r="B1887" s="177" t="n">
        <v>46808</v>
      </c>
      <c r="C1887" s="177" t="n">
        <v>1406</v>
      </c>
      <c r="D1887" s="177" t="n">
        <v>12</v>
      </c>
      <c r="E1887" s="178" t="inlineStr">
        <is>
          <t>1406/12/06</t>
        </is>
      </c>
      <c r="F1887" s="134" t="inlineStr">
        <is>
          <t>1406/12</t>
        </is>
      </c>
      <c r="G1887" s="61" t="inlineStr">
        <is>
          <t>اسفند</t>
        </is>
      </c>
      <c r="H1887" s="134" t="inlineStr">
        <is>
          <t>زمستان</t>
        </is>
      </c>
      <c r="I1887" s="134" t="inlineStr">
        <is>
          <t>جمعه</t>
        </is>
      </c>
      <c r="J1887" s="134" t="inlineStr">
        <is>
          <t>بله</t>
        </is>
      </c>
    </row>
    <row r="1888">
      <c r="A1888" s="173" t="n">
        <v>46809</v>
      </c>
      <c r="B1888" s="174" t="n">
        <v>46809</v>
      </c>
      <c r="C1888" s="174" t="n">
        <v>1406</v>
      </c>
      <c r="D1888" s="174" t="n">
        <v>12</v>
      </c>
      <c r="E1888" s="175" t="inlineStr">
        <is>
          <t>1406/12/07</t>
        </is>
      </c>
      <c r="F1888" s="128" t="inlineStr">
        <is>
          <t>1406/12</t>
        </is>
      </c>
      <c r="G1888" s="58" t="inlineStr">
        <is>
          <t>اسفند</t>
        </is>
      </c>
      <c r="H1888" s="128" t="inlineStr">
        <is>
          <t>زمستان</t>
        </is>
      </c>
      <c r="I1888" s="128" t="inlineStr">
        <is>
          <t>شنبه</t>
        </is>
      </c>
      <c r="J1888" s="128" t="inlineStr">
        <is>
          <t>خیر</t>
        </is>
      </c>
    </row>
    <row r="1889">
      <c r="A1889" s="176" t="n">
        <v>46810</v>
      </c>
      <c r="B1889" s="177" t="n">
        <v>46810</v>
      </c>
      <c r="C1889" s="177" t="n">
        <v>1406</v>
      </c>
      <c r="D1889" s="177" t="n">
        <v>12</v>
      </c>
      <c r="E1889" s="178" t="inlineStr">
        <is>
          <t>1406/12/08</t>
        </is>
      </c>
      <c r="F1889" s="134" t="inlineStr">
        <is>
          <t>1406/12</t>
        </is>
      </c>
      <c r="G1889" s="61" t="inlineStr">
        <is>
          <t>اسفند</t>
        </is>
      </c>
      <c r="H1889" s="134" t="inlineStr">
        <is>
          <t>زمستان</t>
        </is>
      </c>
      <c r="I1889" s="134" t="inlineStr">
        <is>
          <t>یکشنبه</t>
        </is>
      </c>
      <c r="J1889" s="134" t="inlineStr">
        <is>
          <t>خیر</t>
        </is>
      </c>
    </row>
    <row r="1890">
      <c r="A1890" s="173" t="n">
        <v>46811</v>
      </c>
      <c r="B1890" s="174" t="n">
        <v>46811</v>
      </c>
      <c r="C1890" s="174" t="n">
        <v>1406</v>
      </c>
      <c r="D1890" s="174" t="n">
        <v>12</v>
      </c>
      <c r="E1890" s="175" t="inlineStr">
        <is>
          <t>1406/12/09</t>
        </is>
      </c>
      <c r="F1890" s="128" t="inlineStr">
        <is>
          <t>1406/12</t>
        </is>
      </c>
      <c r="G1890" s="58" t="inlineStr">
        <is>
          <t>اسفند</t>
        </is>
      </c>
      <c r="H1890" s="128" t="inlineStr">
        <is>
          <t>زمستان</t>
        </is>
      </c>
      <c r="I1890" s="128" t="inlineStr">
        <is>
          <t>دوشنبه</t>
        </is>
      </c>
      <c r="J1890" s="128" t="inlineStr">
        <is>
          <t>بله</t>
        </is>
      </c>
    </row>
    <row r="1891">
      <c r="A1891" s="176" t="n">
        <v>46812</v>
      </c>
      <c r="B1891" s="177" t="n">
        <v>46812</v>
      </c>
      <c r="C1891" s="177" t="n">
        <v>1406</v>
      </c>
      <c r="D1891" s="177" t="n">
        <v>12</v>
      </c>
      <c r="E1891" s="178" t="inlineStr">
        <is>
          <t>1406/12/10</t>
        </is>
      </c>
      <c r="F1891" s="134" t="inlineStr">
        <is>
          <t>1406/12</t>
        </is>
      </c>
      <c r="G1891" s="61" t="inlineStr">
        <is>
          <t>اسفند</t>
        </is>
      </c>
      <c r="H1891" s="134" t="inlineStr">
        <is>
          <t>زمستان</t>
        </is>
      </c>
      <c r="I1891" s="134" t="inlineStr">
        <is>
          <t>سه‌شنبه</t>
        </is>
      </c>
      <c r="J1891" s="134" t="inlineStr">
        <is>
          <t>بله</t>
        </is>
      </c>
    </row>
    <row r="1892">
      <c r="A1892" s="173" t="n">
        <v>46813</v>
      </c>
      <c r="B1892" s="174" t="n">
        <v>46813</v>
      </c>
      <c r="C1892" s="174" t="n">
        <v>1406</v>
      </c>
      <c r="D1892" s="174" t="n">
        <v>12</v>
      </c>
      <c r="E1892" s="175" t="inlineStr">
        <is>
          <t>1406/12/11</t>
        </is>
      </c>
      <c r="F1892" s="128" t="inlineStr">
        <is>
          <t>1406/12</t>
        </is>
      </c>
      <c r="G1892" s="58" t="inlineStr">
        <is>
          <t>اسفند</t>
        </is>
      </c>
      <c r="H1892" s="128" t="inlineStr">
        <is>
          <t>زمستان</t>
        </is>
      </c>
      <c r="I1892" s="128" t="inlineStr">
        <is>
          <t>چهارشنبه</t>
        </is>
      </c>
      <c r="J1892" s="128" t="inlineStr">
        <is>
          <t>بله</t>
        </is>
      </c>
    </row>
    <row r="1893">
      <c r="A1893" s="176" t="n">
        <v>46814</v>
      </c>
      <c r="B1893" s="177" t="n">
        <v>46814</v>
      </c>
      <c r="C1893" s="177" t="n">
        <v>1406</v>
      </c>
      <c r="D1893" s="177" t="n">
        <v>12</v>
      </c>
      <c r="E1893" s="178" t="inlineStr">
        <is>
          <t>1406/12/12</t>
        </is>
      </c>
      <c r="F1893" s="134" t="inlineStr">
        <is>
          <t>1406/12</t>
        </is>
      </c>
      <c r="G1893" s="61" t="inlineStr">
        <is>
          <t>اسفند</t>
        </is>
      </c>
      <c r="H1893" s="134" t="inlineStr">
        <is>
          <t>زمستان</t>
        </is>
      </c>
      <c r="I1893" s="134" t="inlineStr">
        <is>
          <t>پنجشنبه</t>
        </is>
      </c>
      <c r="J1893" s="134" t="inlineStr">
        <is>
          <t>بله</t>
        </is>
      </c>
    </row>
    <row r="1894">
      <c r="A1894" s="173" t="n">
        <v>46815</v>
      </c>
      <c r="B1894" s="174" t="n">
        <v>46815</v>
      </c>
      <c r="C1894" s="174" t="n">
        <v>1406</v>
      </c>
      <c r="D1894" s="174" t="n">
        <v>12</v>
      </c>
      <c r="E1894" s="175" t="inlineStr">
        <is>
          <t>1406/12/13</t>
        </is>
      </c>
      <c r="F1894" s="128" t="inlineStr">
        <is>
          <t>1406/12</t>
        </is>
      </c>
      <c r="G1894" s="58" t="inlineStr">
        <is>
          <t>اسفند</t>
        </is>
      </c>
      <c r="H1894" s="128" t="inlineStr">
        <is>
          <t>زمستان</t>
        </is>
      </c>
      <c r="I1894" s="128" t="inlineStr">
        <is>
          <t>جمعه</t>
        </is>
      </c>
      <c r="J1894" s="128" t="inlineStr">
        <is>
          <t>بله</t>
        </is>
      </c>
    </row>
    <row r="1895">
      <c r="A1895" s="176" t="n">
        <v>46816</v>
      </c>
      <c r="B1895" s="177" t="n">
        <v>46816</v>
      </c>
      <c r="C1895" s="177" t="n">
        <v>1406</v>
      </c>
      <c r="D1895" s="177" t="n">
        <v>12</v>
      </c>
      <c r="E1895" s="178" t="inlineStr">
        <is>
          <t>1406/12/14</t>
        </is>
      </c>
      <c r="F1895" s="134" t="inlineStr">
        <is>
          <t>1406/12</t>
        </is>
      </c>
      <c r="G1895" s="61" t="inlineStr">
        <is>
          <t>اسفند</t>
        </is>
      </c>
      <c r="H1895" s="134" t="inlineStr">
        <is>
          <t>زمستان</t>
        </is>
      </c>
      <c r="I1895" s="134" t="inlineStr">
        <is>
          <t>شنبه</t>
        </is>
      </c>
      <c r="J1895" s="134" t="inlineStr">
        <is>
          <t>خیر</t>
        </is>
      </c>
    </row>
    <row r="1896">
      <c r="A1896" s="173" t="n">
        <v>46817</v>
      </c>
      <c r="B1896" s="174" t="n">
        <v>46817</v>
      </c>
      <c r="C1896" s="174" t="n">
        <v>1406</v>
      </c>
      <c r="D1896" s="174" t="n">
        <v>12</v>
      </c>
      <c r="E1896" s="175" t="inlineStr">
        <is>
          <t>1406/12/15</t>
        </is>
      </c>
      <c r="F1896" s="128" t="inlineStr">
        <is>
          <t>1406/12</t>
        </is>
      </c>
      <c r="G1896" s="58" t="inlineStr">
        <is>
          <t>اسفند</t>
        </is>
      </c>
      <c r="H1896" s="128" t="inlineStr">
        <is>
          <t>زمستان</t>
        </is>
      </c>
      <c r="I1896" s="128" t="inlineStr">
        <is>
          <t>یکشنبه</t>
        </is>
      </c>
      <c r="J1896" s="128" t="inlineStr">
        <is>
          <t>خیر</t>
        </is>
      </c>
    </row>
    <row r="1897">
      <c r="A1897" s="176" t="n">
        <v>46818</v>
      </c>
      <c r="B1897" s="177" t="n">
        <v>46818</v>
      </c>
      <c r="C1897" s="177" t="n">
        <v>1406</v>
      </c>
      <c r="D1897" s="177" t="n">
        <v>12</v>
      </c>
      <c r="E1897" s="178" t="inlineStr">
        <is>
          <t>1406/12/16</t>
        </is>
      </c>
      <c r="F1897" s="134" t="inlineStr">
        <is>
          <t>1406/12</t>
        </is>
      </c>
      <c r="G1897" s="61" t="inlineStr">
        <is>
          <t>اسفند</t>
        </is>
      </c>
      <c r="H1897" s="134" t="inlineStr">
        <is>
          <t>زمستان</t>
        </is>
      </c>
      <c r="I1897" s="134" t="inlineStr">
        <is>
          <t>دوشنبه</t>
        </is>
      </c>
      <c r="J1897" s="134" t="inlineStr">
        <is>
          <t>بله</t>
        </is>
      </c>
    </row>
    <row r="1898">
      <c r="A1898" s="173" t="n">
        <v>46819</v>
      </c>
      <c r="B1898" s="174" t="n">
        <v>46819</v>
      </c>
      <c r="C1898" s="174" t="n">
        <v>1406</v>
      </c>
      <c r="D1898" s="174" t="n">
        <v>12</v>
      </c>
      <c r="E1898" s="175" t="inlineStr">
        <is>
          <t>1406/12/17</t>
        </is>
      </c>
      <c r="F1898" s="128" t="inlineStr">
        <is>
          <t>1406/12</t>
        </is>
      </c>
      <c r="G1898" s="58" t="inlineStr">
        <is>
          <t>اسفند</t>
        </is>
      </c>
      <c r="H1898" s="128" t="inlineStr">
        <is>
          <t>زمستان</t>
        </is>
      </c>
      <c r="I1898" s="128" t="inlineStr">
        <is>
          <t>سه‌شنبه</t>
        </is>
      </c>
      <c r="J1898" s="128" t="inlineStr">
        <is>
          <t>بله</t>
        </is>
      </c>
    </row>
    <row r="1899">
      <c r="A1899" s="176" t="n">
        <v>46820</v>
      </c>
      <c r="B1899" s="177" t="n">
        <v>46820</v>
      </c>
      <c r="C1899" s="177" t="n">
        <v>1406</v>
      </c>
      <c r="D1899" s="177" t="n">
        <v>12</v>
      </c>
      <c r="E1899" s="178" t="inlineStr">
        <is>
          <t>1406/12/18</t>
        </is>
      </c>
      <c r="F1899" s="134" t="inlineStr">
        <is>
          <t>1406/12</t>
        </is>
      </c>
      <c r="G1899" s="61" t="inlineStr">
        <is>
          <t>اسفند</t>
        </is>
      </c>
      <c r="H1899" s="134" t="inlineStr">
        <is>
          <t>زمستان</t>
        </is>
      </c>
      <c r="I1899" s="134" t="inlineStr">
        <is>
          <t>چهارشنبه</t>
        </is>
      </c>
      <c r="J1899" s="134" t="inlineStr">
        <is>
          <t>بله</t>
        </is>
      </c>
    </row>
    <row r="1900">
      <c r="A1900" s="173" t="n">
        <v>46821</v>
      </c>
      <c r="B1900" s="174" t="n">
        <v>46821</v>
      </c>
      <c r="C1900" s="174" t="n">
        <v>1406</v>
      </c>
      <c r="D1900" s="174" t="n">
        <v>12</v>
      </c>
      <c r="E1900" s="175" t="inlineStr">
        <is>
          <t>1406/12/19</t>
        </is>
      </c>
      <c r="F1900" s="128" t="inlineStr">
        <is>
          <t>1406/12</t>
        </is>
      </c>
      <c r="G1900" s="58" t="inlineStr">
        <is>
          <t>اسفند</t>
        </is>
      </c>
      <c r="H1900" s="128" t="inlineStr">
        <is>
          <t>زمستان</t>
        </is>
      </c>
      <c r="I1900" s="128" t="inlineStr">
        <is>
          <t>پنجشنبه</t>
        </is>
      </c>
      <c r="J1900" s="128" t="inlineStr">
        <is>
          <t>بله</t>
        </is>
      </c>
    </row>
    <row r="1901">
      <c r="A1901" s="176" t="n">
        <v>46822</v>
      </c>
      <c r="B1901" s="177" t="n">
        <v>46822</v>
      </c>
      <c r="C1901" s="177" t="n">
        <v>1406</v>
      </c>
      <c r="D1901" s="177" t="n">
        <v>12</v>
      </c>
      <c r="E1901" s="178" t="inlineStr">
        <is>
          <t>1406/12/20</t>
        </is>
      </c>
      <c r="F1901" s="134" t="inlineStr">
        <is>
          <t>1406/12</t>
        </is>
      </c>
      <c r="G1901" s="61" t="inlineStr">
        <is>
          <t>اسفند</t>
        </is>
      </c>
      <c r="H1901" s="134" t="inlineStr">
        <is>
          <t>زمستان</t>
        </is>
      </c>
      <c r="I1901" s="134" t="inlineStr">
        <is>
          <t>جمعه</t>
        </is>
      </c>
      <c r="J1901" s="134" t="inlineStr">
        <is>
          <t>بله</t>
        </is>
      </c>
    </row>
    <row r="1902">
      <c r="A1902" s="173" t="n">
        <v>46823</v>
      </c>
      <c r="B1902" s="174" t="n">
        <v>46823</v>
      </c>
      <c r="C1902" s="174" t="n">
        <v>1406</v>
      </c>
      <c r="D1902" s="174" t="n">
        <v>12</v>
      </c>
      <c r="E1902" s="175" t="inlineStr">
        <is>
          <t>1406/12/21</t>
        </is>
      </c>
      <c r="F1902" s="128" t="inlineStr">
        <is>
          <t>1406/12</t>
        </is>
      </c>
      <c r="G1902" s="58" t="inlineStr">
        <is>
          <t>اسفند</t>
        </is>
      </c>
      <c r="H1902" s="128" t="inlineStr">
        <is>
          <t>زمستان</t>
        </is>
      </c>
      <c r="I1902" s="128" t="inlineStr">
        <is>
          <t>شنبه</t>
        </is>
      </c>
      <c r="J1902" s="128" t="inlineStr">
        <is>
          <t>خیر</t>
        </is>
      </c>
    </row>
    <row r="1903">
      <c r="A1903" s="176" t="n">
        <v>46824</v>
      </c>
      <c r="B1903" s="177" t="n">
        <v>46824</v>
      </c>
      <c r="C1903" s="177" t="n">
        <v>1406</v>
      </c>
      <c r="D1903" s="177" t="n">
        <v>12</v>
      </c>
      <c r="E1903" s="178" t="inlineStr">
        <is>
          <t>1406/12/22</t>
        </is>
      </c>
      <c r="F1903" s="134" t="inlineStr">
        <is>
          <t>1406/12</t>
        </is>
      </c>
      <c r="G1903" s="61" t="inlineStr">
        <is>
          <t>اسفند</t>
        </is>
      </c>
      <c r="H1903" s="134" t="inlineStr">
        <is>
          <t>زمستان</t>
        </is>
      </c>
      <c r="I1903" s="134" t="inlineStr">
        <is>
          <t>یکشنبه</t>
        </is>
      </c>
      <c r="J1903" s="134" t="inlineStr">
        <is>
          <t>خیر</t>
        </is>
      </c>
    </row>
    <row r="1904">
      <c r="A1904" s="173" t="n">
        <v>46825</v>
      </c>
      <c r="B1904" s="174" t="n">
        <v>46825</v>
      </c>
      <c r="C1904" s="174" t="n">
        <v>1406</v>
      </c>
      <c r="D1904" s="174" t="n">
        <v>12</v>
      </c>
      <c r="E1904" s="175" t="inlineStr">
        <is>
          <t>1406/12/23</t>
        </is>
      </c>
      <c r="F1904" s="128" t="inlineStr">
        <is>
          <t>1406/12</t>
        </is>
      </c>
      <c r="G1904" s="58" t="inlineStr">
        <is>
          <t>اسفند</t>
        </is>
      </c>
      <c r="H1904" s="128" t="inlineStr">
        <is>
          <t>زمستان</t>
        </is>
      </c>
      <c r="I1904" s="128" t="inlineStr">
        <is>
          <t>دوشنبه</t>
        </is>
      </c>
      <c r="J1904" s="128" t="inlineStr">
        <is>
          <t>بله</t>
        </is>
      </c>
    </row>
    <row r="1905">
      <c r="A1905" s="176" t="n">
        <v>46826</v>
      </c>
      <c r="B1905" s="177" t="n">
        <v>46826</v>
      </c>
      <c r="C1905" s="177" t="n">
        <v>1406</v>
      </c>
      <c r="D1905" s="177" t="n">
        <v>12</v>
      </c>
      <c r="E1905" s="178" t="inlineStr">
        <is>
          <t>1406/12/24</t>
        </is>
      </c>
      <c r="F1905" s="134" t="inlineStr">
        <is>
          <t>1406/12</t>
        </is>
      </c>
      <c r="G1905" s="61" t="inlineStr">
        <is>
          <t>اسفند</t>
        </is>
      </c>
      <c r="H1905" s="134" t="inlineStr">
        <is>
          <t>زمستان</t>
        </is>
      </c>
      <c r="I1905" s="134" t="inlineStr">
        <is>
          <t>سه‌شنبه</t>
        </is>
      </c>
      <c r="J1905" s="134" t="inlineStr">
        <is>
          <t>بله</t>
        </is>
      </c>
    </row>
    <row r="1906">
      <c r="A1906" s="173" t="n">
        <v>46827</v>
      </c>
      <c r="B1906" s="174" t="n">
        <v>46827</v>
      </c>
      <c r="C1906" s="174" t="n">
        <v>1406</v>
      </c>
      <c r="D1906" s="174" t="n">
        <v>12</v>
      </c>
      <c r="E1906" s="175" t="inlineStr">
        <is>
          <t>1406/12/25</t>
        </is>
      </c>
      <c r="F1906" s="128" t="inlineStr">
        <is>
          <t>1406/12</t>
        </is>
      </c>
      <c r="G1906" s="58" t="inlineStr">
        <is>
          <t>اسفند</t>
        </is>
      </c>
      <c r="H1906" s="128" t="inlineStr">
        <is>
          <t>زمستان</t>
        </is>
      </c>
      <c r="I1906" s="128" t="inlineStr">
        <is>
          <t>چهارشنبه</t>
        </is>
      </c>
      <c r="J1906" s="128" t="inlineStr">
        <is>
          <t>بله</t>
        </is>
      </c>
    </row>
    <row r="1907">
      <c r="A1907" s="176" t="n">
        <v>46828</v>
      </c>
      <c r="B1907" s="177" t="n">
        <v>46828</v>
      </c>
      <c r="C1907" s="177" t="n">
        <v>1406</v>
      </c>
      <c r="D1907" s="177" t="n">
        <v>12</v>
      </c>
      <c r="E1907" s="178" t="inlineStr">
        <is>
          <t>1406/12/26</t>
        </is>
      </c>
      <c r="F1907" s="134" t="inlineStr">
        <is>
          <t>1406/12</t>
        </is>
      </c>
      <c r="G1907" s="61" t="inlineStr">
        <is>
          <t>اسفند</t>
        </is>
      </c>
      <c r="H1907" s="134" t="inlineStr">
        <is>
          <t>زمستان</t>
        </is>
      </c>
      <c r="I1907" s="134" t="inlineStr">
        <is>
          <t>پنجشنبه</t>
        </is>
      </c>
      <c r="J1907" s="134" t="inlineStr">
        <is>
          <t>بله</t>
        </is>
      </c>
    </row>
    <row r="1908">
      <c r="A1908" s="173" t="n">
        <v>46829</v>
      </c>
      <c r="B1908" s="174" t="n">
        <v>46829</v>
      </c>
      <c r="C1908" s="174" t="n">
        <v>1406</v>
      </c>
      <c r="D1908" s="174" t="n">
        <v>12</v>
      </c>
      <c r="E1908" s="175" t="inlineStr">
        <is>
          <t>1406/12/27</t>
        </is>
      </c>
      <c r="F1908" s="128" t="inlineStr">
        <is>
          <t>1406/12</t>
        </is>
      </c>
      <c r="G1908" s="58" t="inlineStr">
        <is>
          <t>اسفند</t>
        </is>
      </c>
      <c r="H1908" s="128" t="inlineStr">
        <is>
          <t>زمستان</t>
        </is>
      </c>
      <c r="I1908" s="128" t="inlineStr">
        <is>
          <t>جمعه</t>
        </is>
      </c>
      <c r="J1908" s="128" t="inlineStr">
        <is>
          <t>بله</t>
        </is>
      </c>
    </row>
    <row r="1909">
      <c r="A1909" s="176" t="n">
        <v>46830</v>
      </c>
      <c r="B1909" s="177" t="n">
        <v>46830</v>
      </c>
      <c r="C1909" s="177" t="n">
        <v>1406</v>
      </c>
      <c r="D1909" s="177" t="n">
        <v>12</v>
      </c>
      <c r="E1909" s="178" t="inlineStr">
        <is>
          <t>1406/12/28</t>
        </is>
      </c>
      <c r="F1909" s="134" t="inlineStr">
        <is>
          <t>1406/12</t>
        </is>
      </c>
      <c r="G1909" s="61" t="inlineStr">
        <is>
          <t>اسفند</t>
        </is>
      </c>
      <c r="H1909" s="134" t="inlineStr">
        <is>
          <t>زمستان</t>
        </is>
      </c>
      <c r="I1909" s="134" t="inlineStr">
        <is>
          <t>شنبه</t>
        </is>
      </c>
      <c r="J1909" s="134" t="inlineStr">
        <is>
          <t>خیر</t>
        </is>
      </c>
    </row>
    <row r="1910">
      <c r="A1910" s="173" t="n">
        <v>46831</v>
      </c>
      <c r="B1910" s="174" t="n">
        <v>46831</v>
      </c>
      <c r="C1910" s="174" t="n">
        <v>1406</v>
      </c>
      <c r="D1910" s="174" t="n">
        <v>12</v>
      </c>
      <c r="E1910" s="175" t="inlineStr">
        <is>
          <t>1406/12/29</t>
        </is>
      </c>
      <c r="F1910" s="128" t="inlineStr">
        <is>
          <t>1406/12</t>
        </is>
      </c>
      <c r="G1910" s="58" t="inlineStr">
        <is>
          <t>اسفند</t>
        </is>
      </c>
      <c r="H1910" s="128" t="inlineStr">
        <is>
          <t>زمستان</t>
        </is>
      </c>
      <c r="I1910" s="128" t="inlineStr">
        <is>
          <t>یکشنبه</t>
        </is>
      </c>
      <c r="J1910" s="128" t="inlineStr">
        <is>
          <t>خیر</t>
        </is>
      </c>
    </row>
    <row r="1911">
      <c r="A1911" s="176" t="n">
        <v>46832</v>
      </c>
      <c r="B1911" s="177" t="n">
        <v>46832</v>
      </c>
      <c r="C1911" s="177" t="n">
        <v>1407</v>
      </c>
      <c r="D1911" s="177" t="n">
        <v>1</v>
      </c>
      <c r="E1911" s="178" t="inlineStr">
        <is>
          <t>1407/01/01</t>
        </is>
      </c>
      <c r="F1911" s="134" t="inlineStr">
        <is>
          <t>1407/01</t>
        </is>
      </c>
      <c r="G1911" s="61" t="inlineStr">
        <is>
          <t>فروردین</t>
        </is>
      </c>
      <c r="H1911" s="134" t="inlineStr">
        <is>
          <t>بهار</t>
        </is>
      </c>
      <c r="I1911" s="134" t="inlineStr">
        <is>
          <t>دوشنبه</t>
        </is>
      </c>
      <c r="J1911" s="134" t="inlineStr">
        <is>
          <t>بله</t>
        </is>
      </c>
    </row>
    <row r="1912">
      <c r="A1912" s="173" t="n">
        <v>46833</v>
      </c>
      <c r="B1912" s="174" t="n">
        <v>46833</v>
      </c>
      <c r="C1912" s="174" t="n">
        <v>1407</v>
      </c>
      <c r="D1912" s="174" t="n">
        <v>1</v>
      </c>
      <c r="E1912" s="175" t="inlineStr">
        <is>
          <t>1407/01/02</t>
        </is>
      </c>
      <c r="F1912" s="128" t="inlineStr">
        <is>
          <t>1407/01</t>
        </is>
      </c>
      <c r="G1912" s="58" t="inlineStr">
        <is>
          <t>فروردین</t>
        </is>
      </c>
      <c r="H1912" s="128" t="inlineStr">
        <is>
          <t>بهار</t>
        </is>
      </c>
      <c r="I1912" s="128" t="inlineStr">
        <is>
          <t>سه‌شنبه</t>
        </is>
      </c>
      <c r="J1912" s="128" t="inlineStr">
        <is>
          <t>بله</t>
        </is>
      </c>
    </row>
    <row r="1913">
      <c r="A1913" s="176" t="n">
        <v>46834</v>
      </c>
      <c r="B1913" s="177" t="n">
        <v>46834</v>
      </c>
      <c r="C1913" s="177" t="n">
        <v>1407</v>
      </c>
      <c r="D1913" s="177" t="n">
        <v>1</v>
      </c>
      <c r="E1913" s="178" t="inlineStr">
        <is>
          <t>1407/01/03</t>
        </is>
      </c>
      <c r="F1913" s="134" t="inlineStr">
        <is>
          <t>1407/01</t>
        </is>
      </c>
      <c r="G1913" s="61" t="inlineStr">
        <is>
          <t>فروردین</t>
        </is>
      </c>
      <c r="H1913" s="134" t="inlineStr">
        <is>
          <t>بهار</t>
        </is>
      </c>
      <c r="I1913" s="134" t="inlineStr">
        <is>
          <t>چهارشنبه</t>
        </is>
      </c>
      <c r="J1913" s="134" t="inlineStr">
        <is>
          <t>بله</t>
        </is>
      </c>
    </row>
    <row r="1914">
      <c r="A1914" s="173" t="n">
        <v>46835</v>
      </c>
      <c r="B1914" s="174" t="n">
        <v>46835</v>
      </c>
      <c r="C1914" s="174" t="n">
        <v>1407</v>
      </c>
      <c r="D1914" s="174" t="n">
        <v>1</v>
      </c>
      <c r="E1914" s="175" t="inlineStr">
        <is>
          <t>1407/01/04</t>
        </is>
      </c>
      <c r="F1914" s="128" t="inlineStr">
        <is>
          <t>1407/01</t>
        </is>
      </c>
      <c r="G1914" s="58" t="inlineStr">
        <is>
          <t>فروردین</t>
        </is>
      </c>
      <c r="H1914" s="128" t="inlineStr">
        <is>
          <t>بهار</t>
        </is>
      </c>
      <c r="I1914" s="128" t="inlineStr">
        <is>
          <t>پنجشنبه</t>
        </is>
      </c>
      <c r="J1914" s="128" t="inlineStr">
        <is>
          <t>بله</t>
        </is>
      </c>
    </row>
    <row r="1915">
      <c r="A1915" s="176" t="n">
        <v>46836</v>
      </c>
      <c r="B1915" s="177" t="n">
        <v>46836</v>
      </c>
      <c r="C1915" s="177" t="n">
        <v>1407</v>
      </c>
      <c r="D1915" s="177" t="n">
        <v>1</v>
      </c>
      <c r="E1915" s="178" t="inlineStr">
        <is>
          <t>1407/01/05</t>
        </is>
      </c>
      <c r="F1915" s="134" t="inlineStr">
        <is>
          <t>1407/01</t>
        </is>
      </c>
      <c r="G1915" s="61" t="inlineStr">
        <is>
          <t>فروردین</t>
        </is>
      </c>
      <c r="H1915" s="134" t="inlineStr">
        <is>
          <t>بهار</t>
        </is>
      </c>
      <c r="I1915" s="134" t="inlineStr">
        <is>
          <t>جمعه</t>
        </is>
      </c>
      <c r="J1915" s="134" t="inlineStr">
        <is>
          <t>بله</t>
        </is>
      </c>
    </row>
    <row r="1916">
      <c r="A1916" s="173" t="n">
        <v>46837</v>
      </c>
      <c r="B1916" s="174" t="n">
        <v>46837</v>
      </c>
      <c r="C1916" s="174" t="n">
        <v>1407</v>
      </c>
      <c r="D1916" s="174" t="n">
        <v>1</v>
      </c>
      <c r="E1916" s="175" t="inlineStr">
        <is>
          <t>1407/01/06</t>
        </is>
      </c>
      <c r="F1916" s="128" t="inlineStr">
        <is>
          <t>1407/01</t>
        </is>
      </c>
      <c r="G1916" s="58" t="inlineStr">
        <is>
          <t>فروردین</t>
        </is>
      </c>
      <c r="H1916" s="128" t="inlineStr">
        <is>
          <t>بهار</t>
        </is>
      </c>
      <c r="I1916" s="128" t="inlineStr">
        <is>
          <t>شنبه</t>
        </is>
      </c>
      <c r="J1916" s="128" t="inlineStr">
        <is>
          <t>خیر</t>
        </is>
      </c>
    </row>
    <row r="1917">
      <c r="A1917" s="176" t="n">
        <v>46838</v>
      </c>
      <c r="B1917" s="177" t="n">
        <v>46838</v>
      </c>
      <c r="C1917" s="177" t="n">
        <v>1407</v>
      </c>
      <c r="D1917" s="177" t="n">
        <v>1</v>
      </c>
      <c r="E1917" s="178" t="inlineStr">
        <is>
          <t>1407/01/07</t>
        </is>
      </c>
      <c r="F1917" s="134" t="inlineStr">
        <is>
          <t>1407/01</t>
        </is>
      </c>
      <c r="G1917" s="61" t="inlineStr">
        <is>
          <t>فروردین</t>
        </is>
      </c>
      <c r="H1917" s="134" t="inlineStr">
        <is>
          <t>بهار</t>
        </is>
      </c>
      <c r="I1917" s="134" t="inlineStr">
        <is>
          <t>یکشنبه</t>
        </is>
      </c>
      <c r="J1917" s="134" t="inlineStr">
        <is>
          <t>خیر</t>
        </is>
      </c>
    </row>
    <row r="1918">
      <c r="A1918" s="173" t="n">
        <v>46839</v>
      </c>
      <c r="B1918" s="174" t="n">
        <v>46839</v>
      </c>
      <c r="C1918" s="174" t="n">
        <v>1407</v>
      </c>
      <c r="D1918" s="174" t="n">
        <v>1</v>
      </c>
      <c r="E1918" s="175" t="inlineStr">
        <is>
          <t>1407/01/08</t>
        </is>
      </c>
      <c r="F1918" s="128" t="inlineStr">
        <is>
          <t>1407/01</t>
        </is>
      </c>
      <c r="G1918" s="58" t="inlineStr">
        <is>
          <t>فروردین</t>
        </is>
      </c>
      <c r="H1918" s="128" t="inlineStr">
        <is>
          <t>بهار</t>
        </is>
      </c>
      <c r="I1918" s="128" t="inlineStr">
        <is>
          <t>دوشنبه</t>
        </is>
      </c>
      <c r="J1918" s="128" t="inlineStr">
        <is>
          <t>بله</t>
        </is>
      </c>
    </row>
    <row r="1919">
      <c r="A1919" s="176" t="n">
        <v>46840</v>
      </c>
      <c r="B1919" s="177" t="n">
        <v>46840</v>
      </c>
      <c r="C1919" s="177" t="n">
        <v>1407</v>
      </c>
      <c r="D1919" s="177" t="n">
        <v>1</v>
      </c>
      <c r="E1919" s="178" t="inlineStr">
        <is>
          <t>1407/01/09</t>
        </is>
      </c>
      <c r="F1919" s="134" t="inlineStr">
        <is>
          <t>1407/01</t>
        </is>
      </c>
      <c r="G1919" s="61" t="inlineStr">
        <is>
          <t>فروردین</t>
        </is>
      </c>
      <c r="H1919" s="134" t="inlineStr">
        <is>
          <t>بهار</t>
        </is>
      </c>
      <c r="I1919" s="134" t="inlineStr">
        <is>
          <t>سه‌شنبه</t>
        </is>
      </c>
      <c r="J1919" s="134" t="inlineStr">
        <is>
          <t>بله</t>
        </is>
      </c>
    </row>
    <row r="1920">
      <c r="A1920" s="173" t="n">
        <v>46841</v>
      </c>
      <c r="B1920" s="174" t="n">
        <v>46841</v>
      </c>
      <c r="C1920" s="174" t="n">
        <v>1407</v>
      </c>
      <c r="D1920" s="174" t="n">
        <v>1</v>
      </c>
      <c r="E1920" s="175" t="inlineStr">
        <is>
          <t>1407/01/10</t>
        </is>
      </c>
      <c r="F1920" s="128" t="inlineStr">
        <is>
          <t>1407/01</t>
        </is>
      </c>
      <c r="G1920" s="58" t="inlineStr">
        <is>
          <t>فروردین</t>
        </is>
      </c>
      <c r="H1920" s="128" t="inlineStr">
        <is>
          <t>بهار</t>
        </is>
      </c>
      <c r="I1920" s="128" t="inlineStr">
        <is>
          <t>چهارشنبه</t>
        </is>
      </c>
      <c r="J1920" s="128" t="inlineStr">
        <is>
          <t>بله</t>
        </is>
      </c>
    </row>
    <row r="1921">
      <c r="A1921" s="176" t="n">
        <v>46842</v>
      </c>
      <c r="B1921" s="177" t="n">
        <v>46842</v>
      </c>
      <c r="C1921" s="177" t="n">
        <v>1407</v>
      </c>
      <c r="D1921" s="177" t="n">
        <v>1</v>
      </c>
      <c r="E1921" s="178" t="inlineStr">
        <is>
          <t>1407/01/11</t>
        </is>
      </c>
      <c r="F1921" s="134" t="inlineStr">
        <is>
          <t>1407/01</t>
        </is>
      </c>
      <c r="G1921" s="61" t="inlineStr">
        <is>
          <t>فروردین</t>
        </is>
      </c>
      <c r="H1921" s="134" t="inlineStr">
        <is>
          <t>بهار</t>
        </is>
      </c>
      <c r="I1921" s="134" t="inlineStr">
        <is>
          <t>پنجشنبه</t>
        </is>
      </c>
      <c r="J1921" s="134" t="inlineStr">
        <is>
          <t>بله</t>
        </is>
      </c>
    </row>
    <row r="1922">
      <c r="A1922" s="173" t="n">
        <v>46843</v>
      </c>
      <c r="B1922" s="174" t="n">
        <v>46843</v>
      </c>
      <c r="C1922" s="174" t="n">
        <v>1407</v>
      </c>
      <c r="D1922" s="174" t="n">
        <v>1</v>
      </c>
      <c r="E1922" s="175" t="inlineStr">
        <is>
          <t>1407/01/12</t>
        </is>
      </c>
      <c r="F1922" s="128" t="inlineStr">
        <is>
          <t>1407/01</t>
        </is>
      </c>
      <c r="G1922" s="58" t="inlineStr">
        <is>
          <t>فروردین</t>
        </is>
      </c>
      <c r="H1922" s="128" t="inlineStr">
        <is>
          <t>بهار</t>
        </is>
      </c>
      <c r="I1922" s="128" t="inlineStr">
        <is>
          <t>جمعه</t>
        </is>
      </c>
      <c r="J1922" s="128" t="inlineStr">
        <is>
          <t>بله</t>
        </is>
      </c>
    </row>
    <row r="1923">
      <c r="A1923" s="176" t="n">
        <v>46844</v>
      </c>
      <c r="B1923" s="177" t="n">
        <v>46844</v>
      </c>
      <c r="C1923" s="177" t="n">
        <v>1407</v>
      </c>
      <c r="D1923" s="177" t="n">
        <v>1</v>
      </c>
      <c r="E1923" s="178" t="inlineStr">
        <is>
          <t>1407/01/13</t>
        </is>
      </c>
      <c r="F1923" s="134" t="inlineStr">
        <is>
          <t>1407/01</t>
        </is>
      </c>
      <c r="G1923" s="61" t="inlineStr">
        <is>
          <t>فروردین</t>
        </is>
      </c>
      <c r="H1923" s="134" t="inlineStr">
        <is>
          <t>بهار</t>
        </is>
      </c>
      <c r="I1923" s="134" t="inlineStr">
        <is>
          <t>شنبه</t>
        </is>
      </c>
      <c r="J1923" s="134" t="inlineStr">
        <is>
          <t>خیر</t>
        </is>
      </c>
    </row>
    <row r="1924">
      <c r="A1924" s="173" t="n">
        <v>46845</v>
      </c>
      <c r="B1924" s="174" t="n">
        <v>46845</v>
      </c>
      <c r="C1924" s="174" t="n">
        <v>1407</v>
      </c>
      <c r="D1924" s="174" t="n">
        <v>1</v>
      </c>
      <c r="E1924" s="175" t="inlineStr">
        <is>
          <t>1407/01/14</t>
        </is>
      </c>
      <c r="F1924" s="128" t="inlineStr">
        <is>
          <t>1407/01</t>
        </is>
      </c>
      <c r="G1924" s="58" t="inlineStr">
        <is>
          <t>فروردین</t>
        </is>
      </c>
      <c r="H1924" s="128" t="inlineStr">
        <is>
          <t>بهار</t>
        </is>
      </c>
      <c r="I1924" s="128" t="inlineStr">
        <is>
          <t>یکشنبه</t>
        </is>
      </c>
      <c r="J1924" s="128" t="inlineStr">
        <is>
          <t>خیر</t>
        </is>
      </c>
    </row>
    <row r="1925">
      <c r="A1925" s="176" t="n">
        <v>46846</v>
      </c>
      <c r="B1925" s="177" t="n">
        <v>46846</v>
      </c>
      <c r="C1925" s="177" t="n">
        <v>1407</v>
      </c>
      <c r="D1925" s="177" t="n">
        <v>1</v>
      </c>
      <c r="E1925" s="178" t="inlineStr">
        <is>
          <t>1407/01/15</t>
        </is>
      </c>
      <c r="F1925" s="134" t="inlineStr">
        <is>
          <t>1407/01</t>
        </is>
      </c>
      <c r="G1925" s="61" t="inlineStr">
        <is>
          <t>فروردین</t>
        </is>
      </c>
      <c r="H1925" s="134" t="inlineStr">
        <is>
          <t>بهار</t>
        </is>
      </c>
      <c r="I1925" s="134" t="inlineStr">
        <is>
          <t>دوشنبه</t>
        </is>
      </c>
      <c r="J1925" s="134" t="inlineStr">
        <is>
          <t>بله</t>
        </is>
      </c>
    </row>
    <row r="1926">
      <c r="A1926" s="173" t="n">
        <v>46847</v>
      </c>
      <c r="B1926" s="174" t="n">
        <v>46847</v>
      </c>
      <c r="C1926" s="174" t="n">
        <v>1407</v>
      </c>
      <c r="D1926" s="174" t="n">
        <v>1</v>
      </c>
      <c r="E1926" s="175" t="inlineStr">
        <is>
          <t>1407/01/16</t>
        </is>
      </c>
      <c r="F1926" s="128" t="inlineStr">
        <is>
          <t>1407/01</t>
        </is>
      </c>
      <c r="G1926" s="58" t="inlineStr">
        <is>
          <t>فروردین</t>
        </is>
      </c>
      <c r="H1926" s="128" t="inlineStr">
        <is>
          <t>بهار</t>
        </is>
      </c>
      <c r="I1926" s="128" t="inlineStr">
        <is>
          <t>سه‌شنبه</t>
        </is>
      </c>
      <c r="J1926" s="128" t="inlineStr">
        <is>
          <t>بله</t>
        </is>
      </c>
    </row>
    <row r="1927">
      <c r="A1927" s="176" t="n">
        <v>46848</v>
      </c>
      <c r="B1927" s="177" t="n">
        <v>46848</v>
      </c>
      <c r="C1927" s="177" t="n">
        <v>1407</v>
      </c>
      <c r="D1927" s="177" t="n">
        <v>1</v>
      </c>
      <c r="E1927" s="178" t="inlineStr">
        <is>
          <t>1407/01/17</t>
        </is>
      </c>
      <c r="F1927" s="134" t="inlineStr">
        <is>
          <t>1407/01</t>
        </is>
      </c>
      <c r="G1927" s="61" t="inlineStr">
        <is>
          <t>فروردین</t>
        </is>
      </c>
      <c r="H1927" s="134" t="inlineStr">
        <is>
          <t>بهار</t>
        </is>
      </c>
      <c r="I1927" s="134" t="inlineStr">
        <is>
          <t>چهارشنبه</t>
        </is>
      </c>
      <c r="J1927" s="134" t="inlineStr">
        <is>
          <t>بله</t>
        </is>
      </c>
    </row>
    <row r="1928">
      <c r="A1928" s="173" t="n">
        <v>46849</v>
      </c>
      <c r="B1928" s="174" t="n">
        <v>46849</v>
      </c>
      <c r="C1928" s="174" t="n">
        <v>1407</v>
      </c>
      <c r="D1928" s="174" t="n">
        <v>1</v>
      </c>
      <c r="E1928" s="175" t="inlineStr">
        <is>
          <t>1407/01/18</t>
        </is>
      </c>
      <c r="F1928" s="128" t="inlineStr">
        <is>
          <t>1407/01</t>
        </is>
      </c>
      <c r="G1928" s="58" t="inlineStr">
        <is>
          <t>فروردین</t>
        </is>
      </c>
      <c r="H1928" s="128" t="inlineStr">
        <is>
          <t>بهار</t>
        </is>
      </c>
      <c r="I1928" s="128" t="inlineStr">
        <is>
          <t>پنجشنبه</t>
        </is>
      </c>
      <c r="J1928" s="128" t="inlineStr">
        <is>
          <t>بله</t>
        </is>
      </c>
    </row>
    <row r="1929">
      <c r="A1929" s="176" t="n">
        <v>46850</v>
      </c>
      <c r="B1929" s="177" t="n">
        <v>46850</v>
      </c>
      <c r="C1929" s="177" t="n">
        <v>1407</v>
      </c>
      <c r="D1929" s="177" t="n">
        <v>1</v>
      </c>
      <c r="E1929" s="178" t="inlineStr">
        <is>
          <t>1407/01/19</t>
        </is>
      </c>
      <c r="F1929" s="134" t="inlineStr">
        <is>
          <t>1407/01</t>
        </is>
      </c>
      <c r="G1929" s="61" t="inlineStr">
        <is>
          <t>فروردین</t>
        </is>
      </c>
      <c r="H1929" s="134" t="inlineStr">
        <is>
          <t>بهار</t>
        </is>
      </c>
      <c r="I1929" s="134" t="inlineStr">
        <is>
          <t>جمعه</t>
        </is>
      </c>
      <c r="J1929" s="134" t="inlineStr">
        <is>
          <t>بله</t>
        </is>
      </c>
    </row>
    <row r="1930">
      <c r="A1930" s="173" t="n">
        <v>46851</v>
      </c>
      <c r="B1930" s="174" t="n">
        <v>46851</v>
      </c>
      <c r="C1930" s="174" t="n">
        <v>1407</v>
      </c>
      <c r="D1930" s="174" t="n">
        <v>1</v>
      </c>
      <c r="E1930" s="175" t="inlineStr">
        <is>
          <t>1407/01/20</t>
        </is>
      </c>
      <c r="F1930" s="128" t="inlineStr">
        <is>
          <t>1407/01</t>
        </is>
      </c>
      <c r="G1930" s="58" t="inlineStr">
        <is>
          <t>فروردین</t>
        </is>
      </c>
      <c r="H1930" s="128" t="inlineStr">
        <is>
          <t>بهار</t>
        </is>
      </c>
      <c r="I1930" s="128" t="inlineStr">
        <is>
          <t>شنبه</t>
        </is>
      </c>
      <c r="J1930" s="128" t="inlineStr">
        <is>
          <t>خیر</t>
        </is>
      </c>
    </row>
    <row r="1931">
      <c r="A1931" s="176" t="n">
        <v>46852</v>
      </c>
      <c r="B1931" s="177" t="n">
        <v>46852</v>
      </c>
      <c r="C1931" s="177" t="n">
        <v>1407</v>
      </c>
      <c r="D1931" s="177" t="n">
        <v>1</v>
      </c>
      <c r="E1931" s="178" t="inlineStr">
        <is>
          <t>1407/01/21</t>
        </is>
      </c>
      <c r="F1931" s="134" t="inlineStr">
        <is>
          <t>1407/01</t>
        </is>
      </c>
      <c r="G1931" s="61" t="inlineStr">
        <is>
          <t>فروردین</t>
        </is>
      </c>
      <c r="H1931" s="134" t="inlineStr">
        <is>
          <t>بهار</t>
        </is>
      </c>
      <c r="I1931" s="134" t="inlineStr">
        <is>
          <t>یکشنبه</t>
        </is>
      </c>
      <c r="J1931" s="134" t="inlineStr">
        <is>
          <t>خیر</t>
        </is>
      </c>
    </row>
    <row r="1932">
      <c r="A1932" s="173" t="n">
        <v>46853</v>
      </c>
      <c r="B1932" s="174" t="n">
        <v>46853</v>
      </c>
      <c r="C1932" s="174" t="n">
        <v>1407</v>
      </c>
      <c r="D1932" s="174" t="n">
        <v>1</v>
      </c>
      <c r="E1932" s="175" t="inlineStr">
        <is>
          <t>1407/01/22</t>
        </is>
      </c>
      <c r="F1932" s="128" t="inlineStr">
        <is>
          <t>1407/01</t>
        </is>
      </c>
      <c r="G1932" s="58" t="inlineStr">
        <is>
          <t>فروردین</t>
        </is>
      </c>
      <c r="H1932" s="128" t="inlineStr">
        <is>
          <t>بهار</t>
        </is>
      </c>
      <c r="I1932" s="128" t="inlineStr">
        <is>
          <t>دوشنبه</t>
        </is>
      </c>
      <c r="J1932" s="128" t="inlineStr">
        <is>
          <t>بله</t>
        </is>
      </c>
    </row>
    <row r="1933">
      <c r="A1933" s="176" t="n">
        <v>46854</v>
      </c>
      <c r="B1933" s="177" t="n">
        <v>46854</v>
      </c>
      <c r="C1933" s="177" t="n">
        <v>1407</v>
      </c>
      <c r="D1933" s="177" t="n">
        <v>1</v>
      </c>
      <c r="E1933" s="178" t="inlineStr">
        <is>
          <t>1407/01/23</t>
        </is>
      </c>
      <c r="F1933" s="134" t="inlineStr">
        <is>
          <t>1407/01</t>
        </is>
      </c>
      <c r="G1933" s="61" t="inlineStr">
        <is>
          <t>فروردین</t>
        </is>
      </c>
      <c r="H1933" s="134" t="inlineStr">
        <is>
          <t>بهار</t>
        </is>
      </c>
      <c r="I1933" s="134" t="inlineStr">
        <is>
          <t>سه‌شنبه</t>
        </is>
      </c>
      <c r="J1933" s="134" t="inlineStr">
        <is>
          <t>بله</t>
        </is>
      </c>
    </row>
    <row r="1934">
      <c r="A1934" s="173" t="n">
        <v>46855</v>
      </c>
      <c r="B1934" s="174" t="n">
        <v>46855</v>
      </c>
      <c r="C1934" s="174" t="n">
        <v>1407</v>
      </c>
      <c r="D1934" s="174" t="n">
        <v>1</v>
      </c>
      <c r="E1934" s="175" t="inlineStr">
        <is>
          <t>1407/01/24</t>
        </is>
      </c>
      <c r="F1934" s="128" t="inlineStr">
        <is>
          <t>1407/01</t>
        </is>
      </c>
      <c r="G1934" s="58" t="inlineStr">
        <is>
          <t>فروردین</t>
        </is>
      </c>
      <c r="H1934" s="128" t="inlineStr">
        <is>
          <t>بهار</t>
        </is>
      </c>
      <c r="I1934" s="128" t="inlineStr">
        <is>
          <t>چهارشنبه</t>
        </is>
      </c>
      <c r="J1934" s="128" t="inlineStr">
        <is>
          <t>بله</t>
        </is>
      </c>
    </row>
    <row r="1935">
      <c r="A1935" s="176" t="n">
        <v>46856</v>
      </c>
      <c r="B1935" s="177" t="n">
        <v>46856</v>
      </c>
      <c r="C1935" s="177" t="n">
        <v>1407</v>
      </c>
      <c r="D1935" s="177" t="n">
        <v>1</v>
      </c>
      <c r="E1935" s="178" t="inlineStr">
        <is>
          <t>1407/01/25</t>
        </is>
      </c>
      <c r="F1935" s="134" t="inlineStr">
        <is>
          <t>1407/01</t>
        </is>
      </c>
      <c r="G1935" s="61" t="inlineStr">
        <is>
          <t>فروردین</t>
        </is>
      </c>
      <c r="H1935" s="134" t="inlineStr">
        <is>
          <t>بهار</t>
        </is>
      </c>
      <c r="I1935" s="134" t="inlineStr">
        <is>
          <t>پنجشنبه</t>
        </is>
      </c>
      <c r="J1935" s="134" t="inlineStr">
        <is>
          <t>بله</t>
        </is>
      </c>
    </row>
    <row r="1936">
      <c r="A1936" s="173" t="n">
        <v>46857</v>
      </c>
      <c r="B1936" s="174" t="n">
        <v>46857</v>
      </c>
      <c r="C1936" s="174" t="n">
        <v>1407</v>
      </c>
      <c r="D1936" s="174" t="n">
        <v>1</v>
      </c>
      <c r="E1936" s="175" t="inlineStr">
        <is>
          <t>1407/01/26</t>
        </is>
      </c>
      <c r="F1936" s="128" t="inlineStr">
        <is>
          <t>1407/01</t>
        </is>
      </c>
      <c r="G1936" s="58" t="inlineStr">
        <is>
          <t>فروردین</t>
        </is>
      </c>
      <c r="H1936" s="128" t="inlineStr">
        <is>
          <t>بهار</t>
        </is>
      </c>
      <c r="I1936" s="128" t="inlineStr">
        <is>
          <t>جمعه</t>
        </is>
      </c>
      <c r="J1936" s="128" t="inlineStr">
        <is>
          <t>بله</t>
        </is>
      </c>
    </row>
    <row r="1937">
      <c r="A1937" s="176" t="n">
        <v>46858</v>
      </c>
      <c r="B1937" s="177" t="n">
        <v>46858</v>
      </c>
      <c r="C1937" s="177" t="n">
        <v>1407</v>
      </c>
      <c r="D1937" s="177" t="n">
        <v>1</v>
      </c>
      <c r="E1937" s="178" t="inlineStr">
        <is>
          <t>1407/01/27</t>
        </is>
      </c>
      <c r="F1937" s="134" t="inlineStr">
        <is>
          <t>1407/01</t>
        </is>
      </c>
      <c r="G1937" s="61" t="inlineStr">
        <is>
          <t>فروردین</t>
        </is>
      </c>
      <c r="H1937" s="134" t="inlineStr">
        <is>
          <t>بهار</t>
        </is>
      </c>
      <c r="I1937" s="134" t="inlineStr">
        <is>
          <t>شنبه</t>
        </is>
      </c>
      <c r="J1937" s="134" t="inlineStr">
        <is>
          <t>خیر</t>
        </is>
      </c>
    </row>
    <row r="1938">
      <c r="A1938" s="173" t="n">
        <v>46859</v>
      </c>
      <c r="B1938" s="174" t="n">
        <v>46859</v>
      </c>
      <c r="C1938" s="174" t="n">
        <v>1407</v>
      </c>
      <c r="D1938" s="174" t="n">
        <v>1</v>
      </c>
      <c r="E1938" s="175" t="inlineStr">
        <is>
          <t>1407/01/28</t>
        </is>
      </c>
      <c r="F1938" s="128" t="inlineStr">
        <is>
          <t>1407/01</t>
        </is>
      </c>
      <c r="G1938" s="58" t="inlineStr">
        <is>
          <t>فروردین</t>
        </is>
      </c>
      <c r="H1938" s="128" t="inlineStr">
        <is>
          <t>بهار</t>
        </is>
      </c>
      <c r="I1938" s="128" t="inlineStr">
        <is>
          <t>یکشنبه</t>
        </is>
      </c>
      <c r="J1938" s="128" t="inlineStr">
        <is>
          <t>خیر</t>
        </is>
      </c>
    </row>
    <row r="1939">
      <c r="A1939" s="176" t="n">
        <v>46860</v>
      </c>
      <c r="B1939" s="177" t="n">
        <v>46860</v>
      </c>
      <c r="C1939" s="177" t="n">
        <v>1407</v>
      </c>
      <c r="D1939" s="177" t="n">
        <v>1</v>
      </c>
      <c r="E1939" s="178" t="inlineStr">
        <is>
          <t>1407/01/29</t>
        </is>
      </c>
      <c r="F1939" s="134" t="inlineStr">
        <is>
          <t>1407/01</t>
        </is>
      </c>
      <c r="G1939" s="61" t="inlineStr">
        <is>
          <t>فروردین</t>
        </is>
      </c>
      <c r="H1939" s="134" t="inlineStr">
        <is>
          <t>بهار</t>
        </is>
      </c>
      <c r="I1939" s="134" t="inlineStr">
        <is>
          <t>دوشنبه</t>
        </is>
      </c>
      <c r="J1939" s="134" t="inlineStr">
        <is>
          <t>بله</t>
        </is>
      </c>
    </row>
    <row r="1940">
      <c r="A1940" s="173" t="n">
        <v>46861</v>
      </c>
      <c r="B1940" s="174" t="n">
        <v>46861</v>
      </c>
      <c r="C1940" s="174" t="n">
        <v>1407</v>
      </c>
      <c r="D1940" s="174" t="n">
        <v>1</v>
      </c>
      <c r="E1940" s="175" t="inlineStr">
        <is>
          <t>1407/01/30</t>
        </is>
      </c>
      <c r="F1940" s="128" t="inlineStr">
        <is>
          <t>1407/01</t>
        </is>
      </c>
      <c r="G1940" s="58" t="inlineStr">
        <is>
          <t>فروردین</t>
        </is>
      </c>
      <c r="H1940" s="128" t="inlineStr">
        <is>
          <t>بهار</t>
        </is>
      </c>
      <c r="I1940" s="128" t="inlineStr">
        <is>
          <t>سه‌شنبه</t>
        </is>
      </c>
      <c r="J1940" s="128" t="inlineStr">
        <is>
          <t>بله</t>
        </is>
      </c>
    </row>
    <row r="1941">
      <c r="A1941" s="176" t="n">
        <v>46862</v>
      </c>
      <c r="B1941" s="177" t="n">
        <v>46862</v>
      </c>
      <c r="C1941" s="177" t="n">
        <v>1407</v>
      </c>
      <c r="D1941" s="177" t="n">
        <v>1</v>
      </c>
      <c r="E1941" s="178" t="inlineStr">
        <is>
          <t>1407/01/31</t>
        </is>
      </c>
      <c r="F1941" s="134" t="inlineStr">
        <is>
          <t>1407/01</t>
        </is>
      </c>
      <c r="G1941" s="61" t="inlineStr">
        <is>
          <t>فروردین</t>
        </is>
      </c>
      <c r="H1941" s="134" t="inlineStr">
        <is>
          <t>بهار</t>
        </is>
      </c>
      <c r="I1941" s="134" t="inlineStr">
        <is>
          <t>چهارشنبه</t>
        </is>
      </c>
      <c r="J1941" s="134" t="inlineStr">
        <is>
          <t>بله</t>
        </is>
      </c>
    </row>
    <row r="1942">
      <c r="A1942" s="173" t="n">
        <v>46863</v>
      </c>
      <c r="B1942" s="174" t="n">
        <v>46863</v>
      </c>
      <c r="C1942" s="174" t="n">
        <v>1407</v>
      </c>
      <c r="D1942" s="174" t="n">
        <v>2</v>
      </c>
      <c r="E1942" s="175" t="inlineStr">
        <is>
          <t>1407/02/01</t>
        </is>
      </c>
      <c r="F1942" s="128" t="inlineStr">
        <is>
          <t>1407/02</t>
        </is>
      </c>
      <c r="G1942" s="58" t="inlineStr">
        <is>
          <t>اردیبهشت</t>
        </is>
      </c>
      <c r="H1942" s="128" t="inlineStr">
        <is>
          <t>بهار</t>
        </is>
      </c>
      <c r="I1942" s="128" t="inlineStr">
        <is>
          <t>پنجشنبه</t>
        </is>
      </c>
      <c r="J1942" s="128" t="inlineStr">
        <is>
          <t>بله</t>
        </is>
      </c>
    </row>
    <row r="1943">
      <c r="A1943" s="176" t="n">
        <v>46864</v>
      </c>
      <c r="B1943" s="177" t="n">
        <v>46864</v>
      </c>
      <c r="C1943" s="177" t="n">
        <v>1407</v>
      </c>
      <c r="D1943" s="177" t="n">
        <v>2</v>
      </c>
      <c r="E1943" s="178" t="inlineStr">
        <is>
          <t>1407/02/02</t>
        </is>
      </c>
      <c r="F1943" s="134" t="inlineStr">
        <is>
          <t>1407/02</t>
        </is>
      </c>
      <c r="G1943" s="61" t="inlineStr">
        <is>
          <t>اردیبهشت</t>
        </is>
      </c>
      <c r="H1943" s="134" t="inlineStr">
        <is>
          <t>بهار</t>
        </is>
      </c>
      <c r="I1943" s="134" t="inlineStr">
        <is>
          <t>جمعه</t>
        </is>
      </c>
      <c r="J1943" s="134" t="inlineStr">
        <is>
          <t>بله</t>
        </is>
      </c>
    </row>
    <row r="1944">
      <c r="A1944" s="173" t="n">
        <v>46865</v>
      </c>
      <c r="B1944" s="174" t="n">
        <v>46865</v>
      </c>
      <c r="C1944" s="174" t="n">
        <v>1407</v>
      </c>
      <c r="D1944" s="174" t="n">
        <v>2</v>
      </c>
      <c r="E1944" s="175" t="inlineStr">
        <is>
          <t>1407/02/03</t>
        </is>
      </c>
      <c r="F1944" s="128" t="inlineStr">
        <is>
          <t>1407/02</t>
        </is>
      </c>
      <c r="G1944" s="58" t="inlineStr">
        <is>
          <t>اردیبهشت</t>
        </is>
      </c>
      <c r="H1944" s="128" t="inlineStr">
        <is>
          <t>بهار</t>
        </is>
      </c>
      <c r="I1944" s="128" t="inlineStr">
        <is>
          <t>شنبه</t>
        </is>
      </c>
      <c r="J1944" s="128" t="inlineStr">
        <is>
          <t>خیر</t>
        </is>
      </c>
    </row>
    <row r="1945">
      <c r="A1945" s="176" t="n">
        <v>46866</v>
      </c>
      <c r="B1945" s="177" t="n">
        <v>46866</v>
      </c>
      <c r="C1945" s="177" t="n">
        <v>1407</v>
      </c>
      <c r="D1945" s="177" t="n">
        <v>2</v>
      </c>
      <c r="E1945" s="178" t="inlineStr">
        <is>
          <t>1407/02/04</t>
        </is>
      </c>
      <c r="F1945" s="134" t="inlineStr">
        <is>
          <t>1407/02</t>
        </is>
      </c>
      <c r="G1945" s="61" t="inlineStr">
        <is>
          <t>اردیبهشت</t>
        </is>
      </c>
      <c r="H1945" s="134" t="inlineStr">
        <is>
          <t>بهار</t>
        </is>
      </c>
      <c r="I1945" s="134" t="inlineStr">
        <is>
          <t>یکشنبه</t>
        </is>
      </c>
      <c r="J1945" s="134" t="inlineStr">
        <is>
          <t>خیر</t>
        </is>
      </c>
    </row>
    <row r="1946">
      <c r="A1946" s="173" t="n">
        <v>46867</v>
      </c>
      <c r="B1946" s="174" t="n">
        <v>46867</v>
      </c>
      <c r="C1946" s="174" t="n">
        <v>1407</v>
      </c>
      <c r="D1946" s="174" t="n">
        <v>2</v>
      </c>
      <c r="E1946" s="175" t="inlineStr">
        <is>
          <t>1407/02/05</t>
        </is>
      </c>
      <c r="F1946" s="128" t="inlineStr">
        <is>
          <t>1407/02</t>
        </is>
      </c>
      <c r="G1946" s="58" t="inlineStr">
        <is>
          <t>اردیبهشت</t>
        </is>
      </c>
      <c r="H1946" s="128" t="inlineStr">
        <is>
          <t>بهار</t>
        </is>
      </c>
      <c r="I1946" s="128" t="inlineStr">
        <is>
          <t>دوشنبه</t>
        </is>
      </c>
      <c r="J1946" s="128" t="inlineStr">
        <is>
          <t>بله</t>
        </is>
      </c>
    </row>
    <row r="1947">
      <c r="A1947" s="176" t="n">
        <v>46868</v>
      </c>
      <c r="B1947" s="177" t="n">
        <v>46868</v>
      </c>
      <c r="C1947" s="177" t="n">
        <v>1407</v>
      </c>
      <c r="D1947" s="177" t="n">
        <v>2</v>
      </c>
      <c r="E1947" s="178" t="inlineStr">
        <is>
          <t>1407/02/06</t>
        </is>
      </c>
      <c r="F1947" s="134" t="inlineStr">
        <is>
          <t>1407/02</t>
        </is>
      </c>
      <c r="G1947" s="61" t="inlineStr">
        <is>
          <t>اردیبهشت</t>
        </is>
      </c>
      <c r="H1947" s="134" t="inlineStr">
        <is>
          <t>بهار</t>
        </is>
      </c>
      <c r="I1947" s="134" t="inlineStr">
        <is>
          <t>سه‌شنبه</t>
        </is>
      </c>
      <c r="J1947" s="134" t="inlineStr">
        <is>
          <t>بله</t>
        </is>
      </c>
    </row>
    <row r="1948">
      <c r="A1948" s="173" t="n">
        <v>46869</v>
      </c>
      <c r="B1948" s="174" t="n">
        <v>46869</v>
      </c>
      <c r="C1948" s="174" t="n">
        <v>1407</v>
      </c>
      <c r="D1948" s="174" t="n">
        <v>2</v>
      </c>
      <c r="E1948" s="175" t="inlineStr">
        <is>
          <t>1407/02/07</t>
        </is>
      </c>
      <c r="F1948" s="128" t="inlineStr">
        <is>
          <t>1407/02</t>
        </is>
      </c>
      <c r="G1948" s="58" t="inlineStr">
        <is>
          <t>اردیبهشت</t>
        </is>
      </c>
      <c r="H1948" s="128" t="inlineStr">
        <is>
          <t>بهار</t>
        </is>
      </c>
      <c r="I1948" s="128" t="inlineStr">
        <is>
          <t>چهارشنبه</t>
        </is>
      </c>
      <c r="J1948" s="128" t="inlineStr">
        <is>
          <t>بله</t>
        </is>
      </c>
    </row>
    <row r="1949">
      <c r="A1949" s="176" t="n">
        <v>46870</v>
      </c>
      <c r="B1949" s="177" t="n">
        <v>46870</v>
      </c>
      <c r="C1949" s="177" t="n">
        <v>1407</v>
      </c>
      <c r="D1949" s="177" t="n">
        <v>2</v>
      </c>
      <c r="E1949" s="178" t="inlineStr">
        <is>
          <t>1407/02/08</t>
        </is>
      </c>
      <c r="F1949" s="134" t="inlineStr">
        <is>
          <t>1407/02</t>
        </is>
      </c>
      <c r="G1949" s="61" t="inlineStr">
        <is>
          <t>اردیبهشت</t>
        </is>
      </c>
      <c r="H1949" s="134" t="inlineStr">
        <is>
          <t>بهار</t>
        </is>
      </c>
      <c r="I1949" s="134" t="inlineStr">
        <is>
          <t>پنجشنبه</t>
        </is>
      </c>
      <c r="J1949" s="134" t="inlineStr">
        <is>
          <t>بله</t>
        </is>
      </c>
    </row>
    <row r="1950">
      <c r="A1950" s="173" t="n">
        <v>46871</v>
      </c>
      <c r="B1950" s="174" t="n">
        <v>46871</v>
      </c>
      <c r="C1950" s="174" t="n">
        <v>1407</v>
      </c>
      <c r="D1950" s="174" t="n">
        <v>2</v>
      </c>
      <c r="E1950" s="175" t="inlineStr">
        <is>
          <t>1407/02/09</t>
        </is>
      </c>
      <c r="F1950" s="128" t="inlineStr">
        <is>
          <t>1407/02</t>
        </is>
      </c>
      <c r="G1950" s="58" t="inlineStr">
        <is>
          <t>اردیبهشت</t>
        </is>
      </c>
      <c r="H1950" s="128" t="inlineStr">
        <is>
          <t>بهار</t>
        </is>
      </c>
      <c r="I1950" s="128" t="inlineStr">
        <is>
          <t>جمعه</t>
        </is>
      </c>
      <c r="J1950" s="128" t="inlineStr">
        <is>
          <t>بله</t>
        </is>
      </c>
    </row>
    <row r="1951">
      <c r="A1951" s="176" t="n">
        <v>46872</v>
      </c>
      <c r="B1951" s="177" t="n">
        <v>46872</v>
      </c>
      <c r="C1951" s="177" t="n">
        <v>1407</v>
      </c>
      <c r="D1951" s="177" t="n">
        <v>2</v>
      </c>
      <c r="E1951" s="178" t="inlineStr">
        <is>
          <t>1407/02/10</t>
        </is>
      </c>
      <c r="F1951" s="134" t="inlineStr">
        <is>
          <t>1407/02</t>
        </is>
      </c>
      <c r="G1951" s="61" t="inlineStr">
        <is>
          <t>اردیبهشت</t>
        </is>
      </c>
      <c r="H1951" s="134" t="inlineStr">
        <is>
          <t>بهار</t>
        </is>
      </c>
      <c r="I1951" s="134" t="inlineStr">
        <is>
          <t>شنبه</t>
        </is>
      </c>
      <c r="J1951" s="134" t="inlineStr">
        <is>
          <t>خیر</t>
        </is>
      </c>
    </row>
    <row r="1952">
      <c r="A1952" s="173" t="n">
        <v>46873</v>
      </c>
      <c r="B1952" s="174" t="n">
        <v>46873</v>
      </c>
      <c r="C1952" s="174" t="n">
        <v>1407</v>
      </c>
      <c r="D1952" s="174" t="n">
        <v>2</v>
      </c>
      <c r="E1952" s="175" t="inlineStr">
        <is>
          <t>1407/02/11</t>
        </is>
      </c>
      <c r="F1952" s="128" t="inlineStr">
        <is>
          <t>1407/02</t>
        </is>
      </c>
      <c r="G1952" s="58" t="inlineStr">
        <is>
          <t>اردیبهشت</t>
        </is>
      </c>
      <c r="H1952" s="128" t="inlineStr">
        <is>
          <t>بهار</t>
        </is>
      </c>
      <c r="I1952" s="128" t="inlineStr">
        <is>
          <t>یکشنبه</t>
        </is>
      </c>
      <c r="J1952" s="128" t="inlineStr">
        <is>
          <t>خیر</t>
        </is>
      </c>
    </row>
    <row r="1953">
      <c r="A1953" s="176" t="n">
        <v>46874</v>
      </c>
      <c r="B1953" s="177" t="n">
        <v>46874</v>
      </c>
      <c r="C1953" s="177" t="n">
        <v>1407</v>
      </c>
      <c r="D1953" s="177" t="n">
        <v>2</v>
      </c>
      <c r="E1953" s="178" t="inlineStr">
        <is>
          <t>1407/02/12</t>
        </is>
      </c>
      <c r="F1953" s="134" t="inlineStr">
        <is>
          <t>1407/02</t>
        </is>
      </c>
      <c r="G1953" s="61" t="inlineStr">
        <is>
          <t>اردیبهشت</t>
        </is>
      </c>
      <c r="H1953" s="134" t="inlineStr">
        <is>
          <t>بهار</t>
        </is>
      </c>
      <c r="I1953" s="134" t="inlineStr">
        <is>
          <t>دوشنبه</t>
        </is>
      </c>
      <c r="J1953" s="134" t="inlineStr">
        <is>
          <t>بله</t>
        </is>
      </c>
    </row>
    <row r="1954">
      <c r="A1954" s="173" t="n">
        <v>46875</v>
      </c>
      <c r="B1954" s="174" t="n">
        <v>46875</v>
      </c>
      <c r="C1954" s="174" t="n">
        <v>1407</v>
      </c>
      <c r="D1954" s="174" t="n">
        <v>2</v>
      </c>
      <c r="E1954" s="175" t="inlineStr">
        <is>
          <t>1407/02/13</t>
        </is>
      </c>
      <c r="F1954" s="128" t="inlineStr">
        <is>
          <t>1407/02</t>
        </is>
      </c>
      <c r="G1954" s="58" t="inlineStr">
        <is>
          <t>اردیبهشت</t>
        </is>
      </c>
      <c r="H1954" s="128" t="inlineStr">
        <is>
          <t>بهار</t>
        </is>
      </c>
      <c r="I1954" s="128" t="inlineStr">
        <is>
          <t>سه‌شنبه</t>
        </is>
      </c>
      <c r="J1954" s="128" t="inlineStr">
        <is>
          <t>بله</t>
        </is>
      </c>
    </row>
    <row r="1955">
      <c r="A1955" s="176" t="n">
        <v>46876</v>
      </c>
      <c r="B1955" s="177" t="n">
        <v>46876</v>
      </c>
      <c r="C1955" s="177" t="n">
        <v>1407</v>
      </c>
      <c r="D1955" s="177" t="n">
        <v>2</v>
      </c>
      <c r="E1955" s="178" t="inlineStr">
        <is>
          <t>1407/02/14</t>
        </is>
      </c>
      <c r="F1955" s="134" t="inlineStr">
        <is>
          <t>1407/02</t>
        </is>
      </c>
      <c r="G1955" s="61" t="inlineStr">
        <is>
          <t>اردیبهشت</t>
        </is>
      </c>
      <c r="H1955" s="134" t="inlineStr">
        <is>
          <t>بهار</t>
        </is>
      </c>
      <c r="I1955" s="134" t="inlineStr">
        <is>
          <t>چهارشنبه</t>
        </is>
      </c>
      <c r="J1955" s="134" t="inlineStr">
        <is>
          <t>بله</t>
        </is>
      </c>
    </row>
    <row r="1956">
      <c r="A1956" s="173" t="n">
        <v>46877</v>
      </c>
      <c r="B1956" s="174" t="n">
        <v>46877</v>
      </c>
      <c r="C1956" s="174" t="n">
        <v>1407</v>
      </c>
      <c r="D1956" s="174" t="n">
        <v>2</v>
      </c>
      <c r="E1956" s="175" t="inlineStr">
        <is>
          <t>1407/02/15</t>
        </is>
      </c>
      <c r="F1956" s="128" t="inlineStr">
        <is>
          <t>1407/02</t>
        </is>
      </c>
      <c r="G1956" s="58" t="inlineStr">
        <is>
          <t>اردیبهشت</t>
        </is>
      </c>
      <c r="H1956" s="128" t="inlineStr">
        <is>
          <t>بهار</t>
        </is>
      </c>
      <c r="I1956" s="128" t="inlineStr">
        <is>
          <t>پنجشنبه</t>
        </is>
      </c>
      <c r="J1956" s="128" t="inlineStr">
        <is>
          <t>بله</t>
        </is>
      </c>
    </row>
    <row r="1957">
      <c r="A1957" s="176" t="n">
        <v>46878</v>
      </c>
      <c r="B1957" s="177" t="n">
        <v>46878</v>
      </c>
      <c r="C1957" s="177" t="n">
        <v>1407</v>
      </c>
      <c r="D1957" s="177" t="n">
        <v>2</v>
      </c>
      <c r="E1957" s="178" t="inlineStr">
        <is>
          <t>1407/02/16</t>
        </is>
      </c>
      <c r="F1957" s="134" t="inlineStr">
        <is>
          <t>1407/02</t>
        </is>
      </c>
      <c r="G1957" s="61" t="inlineStr">
        <is>
          <t>اردیبهشت</t>
        </is>
      </c>
      <c r="H1957" s="134" t="inlineStr">
        <is>
          <t>بهار</t>
        </is>
      </c>
      <c r="I1957" s="134" t="inlineStr">
        <is>
          <t>جمعه</t>
        </is>
      </c>
      <c r="J1957" s="134" t="inlineStr">
        <is>
          <t>بله</t>
        </is>
      </c>
    </row>
    <row r="1958">
      <c r="A1958" s="173" t="n">
        <v>46879</v>
      </c>
      <c r="B1958" s="174" t="n">
        <v>46879</v>
      </c>
      <c r="C1958" s="174" t="n">
        <v>1407</v>
      </c>
      <c r="D1958" s="174" t="n">
        <v>2</v>
      </c>
      <c r="E1958" s="175" t="inlineStr">
        <is>
          <t>1407/02/17</t>
        </is>
      </c>
      <c r="F1958" s="128" t="inlineStr">
        <is>
          <t>1407/02</t>
        </is>
      </c>
      <c r="G1958" s="58" t="inlineStr">
        <is>
          <t>اردیبهشت</t>
        </is>
      </c>
      <c r="H1958" s="128" t="inlineStr">
        <is>
          <t>بهار</t>
        </is>
      </c>
      <c r="I1958" s="128" t="inlineStr">
        <is>
          <t>شنبه</t>
        </is>
      </c>
      <c r="J1958" s="128" t="inlineStr">
        <is>
          <t>خیر</t>
        </is>
      </c>
    </row>
    <row r="1959">
      <c r="A1959" s="176" t="n">
        <v>46880</v>
      </c>
      <c r="B1959" s="177" t="n">
        <v>46880</v>
      </c>
      <c r="C1959" s="177" t="n">
        <v>1407</v>
      </c>
      <c r="D1959" s="177" t="n">
        <v>2</v>
      </c>
      <c r="E1959" s="178" t="inlineStr">
        <is>
          <t>1407/02/18</t>
        </is>
      </c>
      <c r="F1959" s="134" t="inlineStr">
        <is>
          <t>1407/02</t>
        </is>
      </c>
      <c r="G1959" s="61" t="inlineStr">
        <is>
          <t>اردیبهشت</t>
        </is>
      </c>
      <c r="H1959" s="134" t="inlineStr">
        <is>
          <t>بهار</t>
        </is>
      </c>
      <c r="I1959" s="134" t="inlineStr">
        <is>
          <t>یکشنبه</t>
        </is>
      </c>
      <c r="J1959" s="134" t="inlineStr">
        <is>
          <t>خیر</t>
        </is>
      </c>
    </row>
    <row r="1960">
      <c r="A1960" s="173" t="n">
        <v>46881</v>
      </c>
      <c r="B1960" s="174" t="n">
        <v>46881</v>
      </c>
      <c r="C1960" s="174" t="n">
        <v>1407</v>
      </c>
      <c r="D1960" s="174" t="n">
        <v>2</v>
      </c>
      <c r="E1960" s="175" t="inlineStr">
        <is>
          <t>1407/02/19</t>
        </is>
      </c>
      <c r="F1960" s="128" t="inlineStr">
        <is>
          <t>1407/02</t>
        </is>
      </c>
      <c r="G1960" s="58" t="inlineStr">
        <is>
          <t>اردیبهشت</t>
        </is>
      </c>
      <c r="H1960" s="128" t="inlineStr">
        <is>
          <t>بهار</t>
        </is>
      </c>
      <c r="I1960" s="128" t="inlineStr">
        <is>
          <t>دوشنبه</t>
        </is>
      </c>
      <c r="J1960" s="128" t="inlineStr">
        <is>
          <t>بله</t>
        </is>
      </c>
    </row>
    <row r="1961">
      <c r="A1961" s="176" t="n">
        <v>46882</v>
      </c>
      <c r="B1961" s="177" t="n">
        <v>46882</v>
      </c>
      <c r="C1961" s="177" t="n">
        <v>1407</v>
      </c>
      <c r="D1961" s="177" t="n">
        <v>2</v>
      </c>
      <c r="E1961" s="178" t="inlineStr">
        <is>
          <t>1407/02/20</t>
        </is>
      </c>
      <c r="F1961" s="134" t="inlineStr">
        <is>
          <t>1407/02</t>
        </is>
      </c>
      <c r="G1961" s="61" t="inlineStr">
        <is>
          <t>اردیبهشت</t>
        </is>
      </c>
      <c r="H1961" s="134" t="inlineStr">
        <is>
          <t>بهار</t>
        </is>
      </c>
      <c r="I1961" s="134" t="inlineStr">
        <is>
          <t>سه‌شنبه</t>
        </is>
      </c>
      <c r="J1961" s="134" t="inlineStr">
        <is>
          <t>بله</t>
        </is>
      </c>
    </row>
    <row r="1962">
      <c r="A1962" s="173" t="n">
        <v>46883</v>
      </c>
      <c r="B1962" s="174" t="n">
        <v>46883</v>
      </c>
      <c r="C1962" s="174" t="n">
        <v>1407</v>
      </c>
      <c r="D1962" s="174" t="n">
        <v>2</v>
      </c>
      <c r="E1962" s="175" t="inlineStr">
        <is>
          <t>1407/02/21</t>
        </is>
      </c>
      <c r="F1962" s="128" t="inlineStr">
        <is>
          <t>1407/02</t>
        </is>
      </c>
      <c r="G1962" s="58" t="inlineStr">
        <is>
          <t>اردیبهشت</t>
        </is>
      </c>
      <c r="H1962" s="128" t="inlineStr">
        <is>
          <t>بهار</t>
        </is>
      </c>
      <c r="I1962" s="128" t="inlineStr">
        <is>
          <t>چهارشنبه</t>
        </is>
      </c>
      <c r="J1962" s="128" t="inlineStr">
        <is>
          <t>بله</t>
        </is>
      </c>
    </row>
    <row r="1963">
      <c r="A1963" s="176" t="n">
        <v>46884</v>
      </c>
      <c r="B1963" s="177" t="n">
        <v>46884</v>
      </c>
      <c r="C1963" s="177" t="n">
        <v>1407</v>
      </c>
      <c r="D1963" s="177" t="n">
        <v>2</v>
      </c>
      <c r="E1963" s="178" t="inlineStr">
        <is>
          <t>1407/02/22</t>
        </is>
      </c>
      <c r="F1963" s="134" t="inlineStr">
        <is>
          <t>1407/02</t>
        </is>
      </c>
      <c r="G1963" s="61" t="inlineStr">
        <is>
          <t>اردیبهشت</t>
        </is>
      </c>
      <c r="H1963" s="134" t="inlineStr">
        <is>
          <t>بهار</t>
        </is>
      </c>
      <c r="I1963" s="134" t="inlineStr">
        <is>
          <t>پنجشنبه</t>
        </is>
      </c>
      <c r="J1963" s="134" t="inlineStr">
        <is>
          <t>بله</t>
        </is>
      </c>
    </row>
    <row r="1964">
      <c r="A1964" s="173" t="n">
        <v>46885</v>
      </c>
      <c r="B1964" s="174" t="n">
        <v>46885</v>
      </c>
      <c r="C1964" s="174" t="n">
        <v>1407</v>
      </c>
      <c r="D1964" s="174" t="n">
        <v>2</v>
      </c>
      <c r="E1964" s="175" t="inlineStr">
        <is>
          <t>1407/02/23</t>
        </is>
      </c>
      <c r="F1964" s="128" t="inlineStr">
        <is>
          <t>1407/02</t>
        </is>
      </c>
      <c r="G1964" s="58" t="inlineStr">
        <is>
          <t>اردیبهشت</t>
        </is>
      </c>
      <c r="H1964" s="128" t="inlineStr">
        <is>
          <t>بهار</t>
        </is>
      </c>
      <c r="I1964" s="128" t="inlineStr">
        <is>
          <t>جمعه</t>
        </is>
      </c>
      <c r="J1964" s="128" t="inlineStr">
        <is>
          <t>بله</t>
        </is>
      </c>
    </row>
    <row r="1965">
      <c r="A1965" s="176" t="n">
        <v>46886</v>
      </c>
      <c r="B1965" s="177" t="n">
        <v>46886</v>
      </c>
      <c r="C1965" s="177" t="n">
        <v>1407</v>
      </c>
      <c r="D1965" s="177" t="n">
        <v>2</v>
      </c>
      <c r="E1965" s="178" t="inlineStr">
        <is>
          <t>1407/02/24</t>
        </is>
      </c>
      <c r="F1965" s="134" t="inlineStr">
        <is>
          <t>1407/02</t>
        </is>
      </c>
      <c r="G1965" s="61" t="inlineStr">
        <is>
          <t>اردیبهشت</t>
        </is>
      </c>
      <c r="H1965" s="134" t="inlineStr">
        <is>
          <t>بهار</t>
        </is>
      </c>
      <c r="I1965" s="134" t="inlineStr">
        <is>
          <t>شنبه</t>
        </is>
      </c>
      <c r="J1965" s="134" t="inlineStr">
        <is>
          <t>خیر</t>
        </is>
      </c>
    </row>
    <row r="1966">
      <c r="A1966" s="173" t="n">
        <v>46887</v>
      </c>
      <c r="B1966" s="174" t="n">
        <v>46887</v>
      </c>
      <c r="C1966" s="174" t="n">
        <v>1407</v>
      </c>
      <c r="D1966" s="174" t="n">
        <v>2</v>
      </c>
      <c r="E1966" s="175" t="inlineStr">
        <is>
          <t>1407/02/25</t>
        </is>
      </c>
      <c r="F1966" s="128" t="inlineStr">
        <is>
          <t>1407/02</t>
        </is>
      </c>
      <c r="G1966" s="58" t="inlineStr">
        <is>
          <t>اردیبهشت</t>
        </is>
      </c>
      <c r="H1966" s="128" t="inlineStr">
        <is>
          <t>بهار</t>
        </is>
      </c>
      <c r="I1966" s="128" t="inlineStr">
        <is>
          <t>یکشنبه</t>
        </is>
      </c>
      <c r="J1966" s="128" t="inlineStr">
        <is>
          <t>خیر</t>
        </is>
      </c>
    </row>
    <row r="1967">
      <c r="A1967" s="176" t="n">
        <v>46888</v>
      </c>
      <c r="B1967" s="177" t="n">
        <v>46888</v>
      </c>
      <c r="C1967" s="177" t="n">
        <v>1407</v>
      </c>
      <c r="D1967" s="177" t="n">
        <v>2</v>
      </c>
      <c r="E1967" s="178" t="inlineStr">
        <is>
          <t>1407/02/26</t>
        </is>
      </c>
      <c r="F1967" s="134" t="inlineStr">
        <is>
          <t>1407/02</t>
        </is>
      </c>
      <c r="G1967" s="61" t="inlineStr">
        <is>
          <t>اردیبهشت</t>
        </is>
      </c>
      <c r="H1967" s="134" t="inlineStr">
        <is>
          <t>بهار</t>
        </is>
      </c>
      <c r="I1967" s="134" t="inlineStr">
        <is>
          <t>دوشنبه</t>
        </is>
      </c>
      <c r="J1967" s="134" t="inlineStr">
        <is>
          <t>بله</t>
        </is>
      </c>
    </row>
    <row r="1968">
      <c r="A1968" s="173" t="n">
        <v>46889</v>
      </c>
      <c r="B1968" s="174" t="n">
        <v>46889</v>
      </c>
      <c r="C1968" s="174" t="n">
        <v>1407</v>
      </c>
      <c r="D1968" s="174" t="n">
        <v>2</v>
      </c>
      <c r="E1968" s="175" t="inlineStr">
        <is>
          <t>1407/02/27</t>
        </is>
      </c>
      <c r="F1968" s="128" t="inlineStr">
        <is>
          <t>1407/02</t>
        </is>
      </c>
      <c r="G1968" s="58" t="inlineStr">
        <is>
          <t>اردیبهشت</t>
        </is>
      </c>
      <c r="H1968" s="128" t="inlineStr">
        <is>
          <t>بهار</t>
        </is>
      </c>
      <c r="I1968" s="128" t="inlineStr">
        <is>
          <t>سه‌شنبه</t>
        </is>
      </c>
      <c r="J1968" s="128" t="inlineStr">
        <is>
          <t>بله</t>
        </is>
      </c>
    </row>
    <row r="1969">
      <c r="A1969" s="176" t="n">
        <v>46890</v>
      </c>
      <c r="B1969" s="177" t="n">
        <v>46890</v>
      </c>
      <c r="C1969" s="177" t="n">
        <v>1407</v>
      </c>
      <c r="D1969" s="177" t="n">
        <v>2</v>
      </c>
      <c r="E1969" s="178" t="inlineStr">
        <is>
          <t>1407/02/28</t>
        </is>
      </c>
      <c r="F1969" s="134" t="inlineStr">
        <is>
          <t>1407/02</t>
        </is>
      </c>
      <c r="G1969" s="61" t="inlineStr">
        <is>
          <t>اردیبهشت</t>
        </is>
      </c>
      <c r="H1969" s="134" t="inlineStr">
        <is>
          <t>بهار</t>
        </is>
      </c>
      <c r="I1969" s="134" t="inlineStr">
        <is>
          <t>چهارشنبه</t>
        </is>
      </c>
      <c r="J1969" s="134" t="inlineStr">
        <is>
          <t>بله</t>
        </is>
      </c>
    </row>
    <row r="1970">
      <c r="A1970" s="173" t="n">
        <v>46891</v>
      </c>
      <c r="B1970" s="174" t="n">
        <v>46891</v>
      </c>
      <c r="C1970" s="174" t="n">
        <v>1407</v>
      </c>
      <c r="D1970" s="174" t="n">
        <v>2</v>
      </c>
      <c r="E1970" s="175" t="inlineStr">
        <is>
          <t>1407/02/29</t>
        </is>
      </c>
      <c r="F1970" s="128" t="inlineStr">
        <is>
          <t>1407/02</t>
        </is>
      </c>
      <c r="G1970" s="58" t="inlineStr">
        <is>
          <t>اردیبهشت</t>
        </is>
      </c>
      <c r="H1970" s="128" t="inlineStr">
        <is>
          <t>بهار</t>
        </is>
      </c>
      <c r="I1970" s="128" t="inlineStr">
        <is>
          <t>پنجشنبه</t>
        </is>
      </c>
      <c r="J1970" s="128" t="inlineStr">
        <is>
          <t>بله</t>
        </is>
      </c>
    </row>
    <row r="1971">
      <c r="A1971" s="176" t="n">
        <v>46892</v>
      </c>
      <c r="B1971" s="177" t="n">
        <v>46892</v>
      </c>
      <c r="C1971" s="177" t="n">
        <v>1407</v>
      </c>
      <c r="D1971" s="177" t="n">
        <v>2</v>
      </c>
      <c r="E1971" s="178" t="inlineStr">
        <is>
          <t>1407/02/30</t>
        </is>
      </c>
      <c r="F1971" s="134" t="inlineStr">
        <is>
          <t>1407/02</t>
        </is>
      </c>
      <c r="G1971" s="61" t="inlineStr">
        <is>
          <t>اردیبهشت</t>
        </is>
      </c>
      <c r="H1971" s="134" t="inlineStr">
        <is>
          <t>بهار</t>
        </is>
      </c>
      <c r="I1971" s="134" t="inlineStr">
        <is>
          <t>جمعه</t>
        </is>
      </c>
      <c r="J1971" s="134" t="inlineStr">
        <is>
          <t>بله</t>
        </is>
      </c>
    </row>
    <row r="1972">
      <c r="A1972" s="173" t="n">
        <v>46893</v>
      </c>
      <c r="B1972" s="174" t="n">
        <v>46893</v>
      </c>
      <c r="C1972" s="174" t="n">
        <v>1407</v>
      </c>
      <c r="D1972" s="174" t="n">
        <v>2</v>
      </c>
      <c r="E1972" s="175" t="inlineStr">
        <is>
          <t>1407/02/31</t>
        </is>
      </c>
      <c r="F1972" s="128" t="inlineStr">
        <is>
          <t>1407/02</t>
        </is>
      </c>
      <c r="G1972" s="58" t="inlineStr">
        <is>
          <t>اردیبهشت</t>
        </is>
      </c>
      <c r="H1972" s="128" t="inlineStr">
        <is>
          <t>بهار</t>
        </is>
      </c>
      <c r="I1972" s="128" t="inlineStr">
        <is>
          <t>شنبه</t>
        </is>
      </c>
      <c r="J1972" s="128" t="inlineStr">
        <is>
          <t>خیر</t>
        </is>
      </c>
    </row>
    <row r="1973">
      <c r="A1973" s="176" t="n">
        <v>46894</v>
      </c>
      <c r="B1973" s="177" t="n">
        <v>46894</v>
      </c>
      <c r="C1973" s="177" t="n">
        <v>1407</v>
      </c>
      <c r="D1973" s="177" t="n">
        <v>3</v>
      </c>
      <c r="E1973" s="178" t="inlineStr">
        <is>
          <t>1407/03/01</t>
        </is>
      </c>
      <c r="F1973" s="134" t="inlineStr">
        <is>
          <t>1407/03</t>
        </is>
      </c>
      <c r="G1973" s="61" t="inlineStr">
        <is>
          <t>خرداد</t>
        </is>
      </c>
      <c r="H1973" s="134" t="inlineStr">
        <is>
          <t>بهار</t>
        </is>
      </c>
      <c r="I1973" s="134" t="inlineStr">
        <is>
          <t>یکشنبه</t>
        </is>
      </c>
      <c r="J1973" s="134" t="inlineStr">
        <is>
          <t>خیر</t>
        </is>
      </c>
    </row>
    <row r="1974">
      <c r="A1974" s="173" t="n">
        <v>46895</v>
      </c>
      <c r="B1974" s="174" t="n">
        <v>46895</v>
      </c>
      <c r="C1974" s="174" t="n">
        <v>1407</v>
      </c>
      <c r="D1974" s="174" t="n">
        <v>3</v>
      </c>
      <c r="E1974" s="175" t="inlineStr">
        <is>
          <t>1407/03/02</t>
        </is>
      </c>
      <c r="F1974" s="128" t="inlineStr">
        <is>
          <t>1407/03</t>
        </is>
      </c>
      <c r="G1974" s="58" t="inlineStr">
        <is>
          <t>خرداد</t>
        </is>
      </c>
      <c r="H1974" s="128" t="inlineStr">
        <is>
          <t>بهار</t>
        </is>
      </c>
      <c r="I1974" s="128" t="inlineStr">
        <is>
          <t>دوشنبه</t>
        </is>
      </c>
      <c r="J1974" s="128" t="inlineStr">
        <is>
          <t>بله</t>
        </is>
      </c>
    </row>
    <row r="1975">
      <c r="A1975" s="176" t="n">
        <v>46896</v>
      </c>
      <c r="B1975" s="177" t="n">
        <v>46896</v>
      </c>
      <c r="C1975" s="177" t="n">
        <v>1407</v>
      </c>
      <c r="D1975" s="177" t="n">
        <v>3</v>
      </c>
      <c r="E1975" s="178" t="inlineStr">
        <is>
          <t>1407/03/03</t>
        </is>
      </c>
      <c r="F1975" s="134" t="inlineStr">
        <is>
          <t>1407/03</t>
        </is>
      </c>
      <c r="G1975" s="61" t="inlineStr">
        <is>
          <t>خرداد</t>
        </is>
      </c>
      <c r="H1975" s="134" t="inlineStr">
        <is>
          <t>بهار</t>
        </is>
      </c>
      <c r="I1975" s="134" t="inlineStr">
        <is>
          <t>سه‌شنبه</t>
        </is>
      </c>
      <c r="J1975" s="134" t="inlineStr">
        <is>
          <t>بله</t>
        </is>
      </c>
    </row>
    <row r="1976">
      <c r="A1976" s="173" t="n">
        <v>46897</v>
      </c>
      <c r="B1976" s="174" t="n">
        <v>46897</v>
      </c>
      <c r="C1976" s="174" t="n">
        <v>1407</v>
      </c>
      <c r="D1976" s="174" t="n">
        <v>3</v>
      </c>
      <c r="E1976" s="175" t="inlineStr">
        <is>
          <t>1407/03/04</t>
        </is>
      </c>
      <c r="F1976" s="128" t="inlineStr">
        <is>
          <t>1407/03</t>
        </is>
      </c>
      <c r="G1976" s="58" t="inlineStr">
        <is>
          <t>خرداد</t>
        </is>
      </c>
      <c r="H1976" s="128" t="inlineStr">
        <is>
          <t>بهار</t>
        </is>
      </c>
      <c r="I1976" s="128" t="inlineStr">
        <is>
          <t>چهارشنبه</t>
        </is>
      </c>
      <c r="J1976" s="128" t="inlineStr">
        <is>
          <t>بله</t>
        </is>
      </c>
    </row>
    <row r="1977">
      <c r="A1977" s="176" t="n">
        <v>46898</v>
      </c>
      <c r="B1977" s="177" t="n">
        <v>46898</v>
      </c>
      <c r="C1977" s="177" t="n">
        <v>1407</v>
      </c>
      <c r="D1977" s="177" t="n">
        <v>3</v>
      </c>
      <c r="E1977" s="178" t="inlineStr">
        <is>
          <t>1407/03/05</t>
        </is>
      </c>
      <c r="F1977" s="134" t="inlineStr">
        <is>
          <t>1407/03</t>
        </is>
      </c>
      <c r="G1977" s="61" t="inlineStr">
        <is>
          <t>خرداد</t>
        </is>
      </c>
      <c r="H1977" s="134" t="inlineStr">
        <is>
          <t>بهار</t>
        </is>
      </c>
      <c r="I1977" s="134" t="inlineStr">
        <is>
          <t>پنجشنبه</t>
        </is>
      </c>
      <c r="J1977" s="134" t="inlineStr">
        <is>
          <t>بله</t>
        </is>
      </c>
    </row>
    <row r="1978">
      <c r="A1978" s="173" t="n">
        <v>46899</v>
      </c>
      <c r="B1978" s="174" t="n">
        <v>46899</v>
      </c>
      <c r="C1978" s="174" t="n">
        <v>1407</v>
      </c>
      <c r="D1978" s="174" t="n">
        <v>3</v>
      </c>
      <c r="E1978" s="175" t="inlineStr">
        <is>
          <t>1407/03/06</t>
        </is>
      </c>
      <c r="F1978" s="128" t="inlineStr">
        <is>
          <t>1407/03</t>
        </is>
      </c>
      <c r="G1978" s="58" t="inlineStr">
        <is>
          <t>خرداد</t>
        </is>
      </c>
      <c r="H1978" s="128" t="inlineStr">
        <is>
          <t>بهار</t>
        </is>
      </c>
      <c r="I1978" s="128" t="inlineStr">
        <is>
          <t>جمعه</t>
        </is>
      </c>
      <c r="J1978" s="128" t="inlineStr">
        <is>
          <t>بله</t>
        </is>
      </c>
    </row>
    <row r="1979">
      <c r="A1979" s="176" t="n">
        <v>46900</v>
      </c>
      <c r="B1979" s="177" t="n">
        <v>46900</v>
      </c>
      <c r="C1979" s="177" t="n">
        <v>1407</v>
      </c>
      <c r="D1979" s="177" t="n">
        <v>3</v>
      </c>
      <c r="E1979" s="178" t="inlineStr">
        <is>
          <t>1407/03/07</t>
        </is>
      </c>
      <c r="F1979" s="134" t="inlineStr">
        <is>
          <t>1407/03</t>
        </is>
      </c>
      <c r="G1979" s="61" t="inlineStr">
        <is>
          <t>خرداد</t>
        </is>
      </c>
      <c r="H1979" s="134" t="inlineStr">
        <is>
          <t>بهار</t>
        </is>
      </c>
      <c r="I1979" s="134" t="inlineStr">
        <is>
          <t>شنبه</t>
        </is>
      </c>
      <c r="J1979" s="134" t="inlineStr">
        <is>
          <t>خیر</t>
        </is>
      </c>
    </row>
    <row r="1980">
      <c r="A1980" s="173" t="n">
        <v>46901</v>
      </c>
      <c r="B1980" s="174" t="n">
        <v>46901</v>
      </c>
      <c r="C1980" s="174" t="n">
        <v>1407</v>
      </c>
      <c r="D1980" s="174" t="n">
        <v>3</v>
      </c>
      <c r="E1980" s="175" t="inlineStr">
        <is>
          <t>1407/03/08</t>
        </is>
      </c>
      <c r="F1980" s="128" t="inlineStr">
        <is>
          <t>1407/03</t>
        </is>
      </c>
      <c r="G1980" s="58" t="inlineStr">
        <is>
          <t>خرداد</t>
        </is>
      </c>
      <c r="H1980" s="128" t="inlineStr">
        <is>
          <t>بهار</t>
        </is>
      </c>
      <c r="I1980" s="128" t="inlineStr">
        <is>
          <t>یکشنبه</t>
        </is>
      </c>
      <c r="J1980" s="128" t="inlineStr">
        <is>
          <t>خیر</t>
        </is>
      </c>
    </row>
    <row r="1981">
      <c r="A1981" s="176" t="n">
        <v>46902</v>
      </c>
      <c r="B1981" s="177" t="n">
        <v>46902</v>
      </c>
      <c r="C1981" s="177" t="n">
        <v>1407</v>
      </c>
      <c r="D1981" s="177" t="n">
        <v>3</v>
      </c>
      <c r="E1981" s="178" t="inlineStr">
        <is>
          <t>1407/03/09</t>
        </is>
      </c>
      <c r="F1981" s="134" t="inlineStr">
        <is>
          <t>1407/03</t>
        </is>
      </c>
      <c r="G1981" s="61" t="inlineStr">
        <is>
          <t>خرداد</t>
        </is>
      </c>
      <c r="H1981" s="134" t="inlineStr">
        <is>
          <t>بهار</t>
        </is>
      </c>
      <c r="I1981" s="134" t="inlineStr">
        <is>
          <t>دوشنبه</t>
        </is>
      </c>
      <c r="J1981" s="134" t="inlineStr">
        <is>
          <t>بله</t>
        </is>
      </c>
    </row>
    <row r="1982">
      <c r="A1982" s="173" t="n">
        <v>46903</v>
      </c>
      <c r="B1982" s="174" t="n">
        <v>46903</v>
      </c>
      <c r="C1982" s="174" t="n">
        <v>1407</v>
      </c>
      <c r="D1982" s="174" t="n">
        <v>3</v>
      </c>
      <c r="E1982" s="175" t="inlineStr">
        <is>
          <t>1407/03/10</t>
        </is>
      </c>
      <c r="F1982" s="128" t="inlineStr">
        <is>
          <t>1407/03</t>
        </is>
      </c>
      <c r="G1982" s="58" t="inlineStr">
        <is>
          <t>خرداد</t>
        </is>
      </c>
      <c r="H1982" s="128" t="inlineStr">
        <is>
          <t>بهار</t>
        </is>
      </c>
      <c r="I1982" s="128" t="inlineStr">
        <is>
          <t>سه‌شنبه</t>
        </is>
      </c>
      <c r="J1982" s="128" t="inlineStr">
        <is>
          <t>بله</t>
        </is>
      </c>
    </row>
    <row r="1983">
      <c r="A1983" s="176" t="n">
        <v>46904</v>
      </c>
      <c r="B1983" s="177" t="n">
        <v>46904</v>
      </c>
      <c r="C1983" s="177" t="n">
        <v>1407</v>
      </c>
      <c r="D1983" s="177" t="n">
        <v>3</v>
      </c>
      <c r="E1983" s="178" t="inlineStr">
        <is>
          <t>1407/03/11</t>
        </is>
      </c>
      <c r="F1983" s="134" t="inlineStr">
        <is>
          <t>1407/03</t>
        </is>
      </c>
      <c r="G1983" s="61" t="inlineStr">
        <is>
          <t>خرداد</t>
        </is>
      </c>
      <c r="H1983" s="134" t="inlineStr">
        <is>
          <t>بهار</t>
        </is>
      </c>
      <c r="I1983" s="134" t="inlineStr">
        <is>
          <t>چهارشنبه</t>
        </is>
      </c>
      <c r="J1983" s="134" t="inlineStr">
        <is>
          <t>بله</t>
        </is>
      </c>
    </row>
    <row r="1984">
      <c r="A1984" s="173" t="n">
        <v>46905</v>
      </c>
      <c r="B1984" s="174" t="n">
        <v>46905</v>
      </c>
      <c r="C1984" s="174" t="n">
        <v>1407</v>
      </c>
      <c r="D1984" s="174" t="n">
        <v>3</v>
      </c>
      <c r="E1984" s="175" t="inlineStr">
        <is>
          <t>1407/03/12</t>
        </is>
      </c>
      <c r="F1984" s="128" t="inlineStr">
        <is>
          <t>1407/03</t>
        </is>
      </c>
      <c r="G1984" s="58" t="inlineStr">
        <is>
          <t>خرداد</t>
        </is>
      </c>
      <c r="H1984" s="128" t="inlineStr">
        <is>
          <t>بهار</t>
        </is>
      </c>
      <c r="I1984" s="128" t="inlineStr">
        <is>
          <t>پنجشنبه</t>
        </is>
      </c>
      <c r="J1984" s="128" t="inlineStr">
        <is>
          <t>بله</t>
        </is>
      </c>
    </row>
    <row r="1985">
      <c r="A1985" s="176" t="n">
        <v>46906</v>
      </c>
      <c r="B1985" s="177" t="n">
        <v>46906</v>
      </c>
      <c r="C1985" s="177" t="n">
        <v>1407</v>
      </c>
      <c r="D1985" s="177" t="n">
        <v>3</v>
      </c>
      <c r="E1985" s="178" t="inlineStr">
        <is>
          <t>1407/03/13</t>
        </is>
      </c>
      <c r="F1985" s="134" t="inlineStr">
        <is>
          <t>1407/03</t>
        </is>
      </c>
      <c r="G1985" s="61" t="inlineStr">
        <is>
          <t>خرداد</t>
        </is>
      </c>
      <c r="H1985" s="134" t="inlineStr">
        <is>
          <t>بهار</t>
        </is>
      </c>
      <c r="I1985" s="134" t="inlineStr">
        <is>
          <t>جمعه</t>
        </is>
      </c>
      <c r="J1985" s="134" t="inlineStr">
        <is>
          <t>بله</t>
        </is>
      </c>
    </row>
    <row r="1986">
      <c r="A1986" s="173" t="n">
        <v>46907</v>
      </c>
      <c r="B1986" s="174" t="n">
        <v>46907</v>
      </c>
      <c r="C1986" s="174" t="n">
        <v>1407</v>
      </c>
      <c r="D1986" s="174" t="n">
        <v>3</v>
      </c>
      <c r="E1986" s="175" t="inlineStr">
        <is>
          <t>1407/03/14</t>
        </is>
      </c>
      <c r="F1986" s="128" t="inlineStr">
        <is>
          <t>1407/03</t>
        </is>
      </c>
      <c r="G1986" s="58" t="inlineStr">
        <is>
          <t>خرداد</t>
        </is>
      </c>
      <c r="H1986" s="128" t="inlineStr">
        <is>
          <t>بهار</t>
        </is>
      </c>
      <c r="I1986" s="128" t="inlineStr">
        <is>
          <t>شنبه</t>
        </is>
      </c>
      <c r="J1986" s="128" t="inlineStr">
        <is>
          <t>خیر</t>
        </is>
      </c>
    </row>
    <row r="1987">
      <c r="A1987" s="176" t="n">
        <v>46908</v>
      </c>
      <c r="B1987" s="177" t="n">
        <v>46908</v>
      </c>
      <c r="C1987" s="177" t="n">
        <v>1407</v>
      </c>
      <c r="D1987" s="177" t="n">
        <v>3</v>
      </c>
      <c r="E1987" s="178" t="inlineStr">
        <is>
          <t>1407/03/15</t>
        </is>
      </c>
      <c r="F1987" s="134" t="inlineStr">
        <is>
          <t>1407/03</t>
        </is>
      </c>
      <c r="G1987" s="61" t="inlineStr">
        <is>
          <t>خرداد</t>
        </is>
      </c>
      <c r="H1987" s="134" t="inlineStr">
        <is>
          <t>بهار</t>
        </is>
      </c>
      <c r="I1987" s="134" t="inlineStr">
        <is>
          <t>یکشنبه</t>
        </is>
      </c>
      <c r="J1987" s="134" t="inlineStr">
        <is>
          <t>خیر</t>
        </is>
      </c>
    </row>
    <row r="1988">
      <c r="A1988" s="173" t="n">
        <v>46909</v>
      </c>
      <c r="B1988" s="174" t="n">
        <v>46909</v>
      </c>
      <c r="C1988" s="174" t="n">
        <v>1407</v>
      </c>
      <c r="D1988" s="174" t="n">
        <v>3</v>
      </c>
      <c r="E1988" s="175" t="inlineStr">
        <is>
          <t>1407/03/16</t>
        </is>
      </c>
      <c r="F1988" s="128" t="inlineStr">
        <is>
          <t>1407/03</t>
        </is>
      </c>
      <c r="G1988" s="58" t="inlineStr">
        <is>
          <t>خرداد</t>
        </is>
      </c>
      <c r="H1988" s="128" t="inlineStr">
        <is>
          <t>بهار</t>
        </is>
      </c>
      <c r="I1988" s="128" t="inlineStr">
        <is>
          <t>دوشنبه</t>
        </is>
      </c>
      <c r="J1988" s="128" t="inlineStr">
        <is>
          <t>بله</t>
        </is>
      </c>
    </row>
    <row r="1989">
      <c r="A1989" s="176" t="n">
        <v>46910</v>
      </c>
      <c r="B1989" s="177" t="n">
        <v>46910</v>
      </c>
      <c r="C1989" s="177" t="n">
        <v>1407</v>
      </c>
      <c r="D1989" s="177" t="n">
        <v>3</v>
      </c>
      <c r="E1989" s="178" t="inlineStr">
        <is>
          <t>1407/03/17</t>
        </is>
      </c>
      <c r="F1989" s="134" t="inlineStr">
        <is>
          <t>1407/03</t>
        </is>
      </c>
      <c r="G1989" s="61" t="inlineStr">
        <is>
          <t>خرداد</t>
        </is>
      </c>
      <c r="H1989" s="134" t="inlineStr">
        <is>
          <t>بهار</t>
        </is>
      </c>
      <c r="I1989" s="134" t="inlineStr">
        <is>
          <t>سه‌شنبه</t>
        </is>
      </c>
      <c r="J1989" s="134" t="inlineStr">
        <is>
          <t>بله</t>
        </is>
      </c>
    </row>
    <row r="1990">
      <c r="A1990" s="173" t="n">
        <v>46911</v>
      </c>
      <c r="B1990" s="174" t="n">
        <v>46911</v>
      </c>
      <c r="C1990" s="174" t="n">
        <v>1407</v>
      </c>
      <c r="D1990" s="174" t="n">
        <v>3</v>
      </c>
      <c r="E1990" s="175" t="inlineStr">
        <is>
          <t>1407/03/18</t>
        </is>
      </c>
      <c r="F1990" s="128" t="inlineStr">
        <is>
          <t>1407/03</t>
        </is>
      </c>
      <c r="G1990" s="58" t="inlineStr">
        <is>
          <t>خرداد</t>
        </is>
      </c>
      <c r="H1990" s="128" t="inlineStr">
        <is>
          <t>بهار</t>
        </is>
      </c>
      <c r="I1990" s="128" t="inlineStr">
        <is>
          <t>چهارشنبه</t>
        </is>
      </c>
      <c r="J1990" s="128" t="inlineStr">
        <is>
          <t>بله</t>
        </is>
      </c>
    </row>
    <row r="1991">
      <c r="A1991" s="176" t="n">
        <v>46912</v>
      </c>
      <c r="B1991" s="177" t="n">
        <v>46912</v>
      </c>
      <c r="C1991" s="177" t="n">
        <v>1407</v>
      </c>
      <c r="D1991" s="177" t="n">
        <v>3</v>
      </c>
      <c r="E1991" s="178" t="inlineStr">
        <is>
          <t>1407/03/19</t>
        </is>
      </c>
      <c r="F1991" s="134" t="inlineStr">
        <is>
          <t>1407/03</t>
        </is>
      </c>
      <c r="G1991" s="61" t="inlineStr">
        <is>
          <t>خرداد</t>
        </is>
      </c>
      <c r="H1991" s="134" t="inlineStr">
        <is>
          <t>بهار</t>
        </is>
      </c>
      <c r="I1991" s="134" t="inlineStr">
        <is>
          <t>پنجشنبه</t>
        </is>
      </c>
      <c r="J1991" s="134" t="inlineStr">
        <is>
          <t>بله</t>
        </is>
      </c>
    </row>
    <row r="1992">
      <c r="A1992" s="173" t="n">
        <v>46913</v>
      </c>
      <c r="B1992" s="174" t="n">
        <v>46913</v>
      </c>
      <c r="C1992" s="174" t="n">
        <v>1407</v>
      </c>
      <c r="D1992" s="174" t="n">
        <v>3</v>
      </c>
      <c r="E1992" s="175" t="inlineStr">
        <is>
          <t>1407/03/20</t>
        </is>
      </c>
      <c r="F1992" s="128" t="inlineStr">
        <is>
          <t>1407/03</t>
        </is>
      </c>
      <c r="G1992" s="58" t="inlineStr">
        <is>
          <t>خرداد</t>
        </is>
      </c>
      <c r="H1992" s="128" t="inlineStr">
        <is>
          <t>بهار</t>
        </is>
      </c>
      <c r="I1992" s="128" t="inlineStr">
        <is>
          <t>جمعه</t>
        </is>
      </c>
      <c r="J1992" s="128" t="inlineStr">
        <is>
          <t>بله</t>
        </is>
      </c>
    </row>
    <row r="1993">
      <c r="A1993" s="176" t="n">
        <v>46914</v>
      </c>
      <c r="B1993" s="177" t="n">
        <v>46914</v>
      </c>
      <c r="C1993" s="177" t="n">
        <v>1407</v>
      </c>
      <c r="D1993" s="177" t="n">
        <v>3</v>
      </c>
      <c r="E1993" s="178" t="inlineStr">
        <is>
          <t>1407/03/21</t>
        </is>
      </c>
      <c r="F1993" s="134" t="inlineStr">
        <is>
          <t>1407/03</t>
        </is>
      </c>
      <c r="G1993" s="61" t="inlineStr">
        <is>
          <t>خرداد</t>
        </is>
      </c>
      <c r="H1993" s="134" t="inlineStr">
        <is>
          <t>بهار</t>
        </is>
      </c>
      <c r="I1993" s="134" t="inlineStr">
        <is>
          <t>شنبه</t>
        </is>
      </c>
      <c r="J1993" s="134" t="inlineStr">
        <is>
          <t>خیر</t>
        </is>
      </c>
    </row>
    <row r="1994">
      <c r="A1994" s="173" t="n">
        <v>46915</v>
      </c>
      <c r="B1994" s="174" t="n">
        <v>46915</v>
      </c>
      <c r="C1994" s="174" t="n">
        <v>1407</v>
      </c>
      <c r="D1994" s="174" t="n">
        <v>3</v>
      </c>
      <c r="E1994" s="175" t="inlineStr">
        <is>
          <t>1407/03/22</t>
        </is>
      </c>
      <c r="F1994" s="128" t="inlineStr">
        <is>
          <t>1407/03</t>
        </is>
      </c>
      <c r="G1994" s="58" t="inlineStr">
        <is>
          <t>خرداد</t>
        </is>
      </c>
      <c r="H1994" s="128" t="inlineStr">
        <is>
          <t>بهار</t>
        </is>
      </c>
      <c r="I1994" s="128" t="inlineStr">
        <is>
          <t>یکشنبه</t>
        </is>
      </c>
      <c r="J1994" s="128" t="inlineStr">
        <is>
          <t>خیر</t>
        </is>
      </c>
    </row>
    <row r="1995">
      <c r="A1995" s="176" t="n">
        <v>46916</v>
      </c>
      <c r="B1995" s="177" t="n">
        <v>46916</v>
      </c>
      <c r="C1995" s="177" t="n">
        <v>1407</v>
      </c>
      <c r="D1995" s="177" t="n">
        <v>3</v>
      </c>
      <c r="E1995" s="178" t="inlineStr">
        <is>
          <t>1407/03/23</t>
        </is>
      </c>
      <c r="F1995" s="134" t="inlineStr">
        <is>
          <t>1407/03</t>
        </is>
      </c>
      <c r="G1995" s="61" t="inlineStr">
        <is>
          <t>خرداد</t>
        </is>
      </c>
      <c r="H1995" s="134" t="inlineStr">
        <is>
          <t>بهار</t>
        </is>
      </c>
      <c r="I1995" s="134" t="inlineStr">
        <is>
          <t>دوشنبه</t>
        </is>
      </c>
      <c r="J1995" s="134" t="inlineStr">
        <is>
          <t>بله</t>
        </is>
      </c>
    </row>
    <row r="1996">
      <c r="A1996" s="173" t="n">
        <v>46917</v>
      </c>
      <c r="B1996" s="174" t="n">
        <v>46917</v>
      </c>
      <c r="C1996" s="174" t="n">
        <v>1407</v>
      </c>
      <c r="D1996" s="174" t="n">
        <v>3</v>
      </c>
      <c r="E1996" s="175" t="inlineStr">
        <is>
          <t>1407/03/24</t>
        </is>
      </c>
      <c r="F1996" s="128" t="inlineStr">
        <is>
          <t>1407/03</t>
        </is>
      </c>
      <c r="G1996" s="58" t="inlineStr">
        <is>
          <t>خرداد</t>
        </is>
      </c>
      <c r="H1996" s="128" t="inlineStr">
        <is>
          <t>بهار</t>
        </is>
      </c>
      <c r="I1996" s="128" t="inlineStr">
        <is>
          <t>سه‌شنبه</t>
        </is>
      </c>
      <c r="J1996" s="128" t="inlineStr">
        <is>
          <t>بله</t>
        </is>
      </c>
    </row>
    <row r="1997">
      <c r="A1997" s="176" t="n">
        <v>46918</v>
      </c>
      <c r="B1997" s="177" t="n">
        <v>46918</v>
      </c>
      <c r="C1997" s="177" t="n">
        <v>1407</v>
      </c>
      <c r="D1997" s="177" t="n">
        <v>3</v>
      </c>
      <c r="E1997" s="178" t="inlineStr">
        <is>
          <t>1407/03/25</t>
        </is>
      </c>
      <c r="F1997" s="134" t="inlineStr">
        <is>
          <t>1407/03</t>
        </is>
      </c>
      <c r="G1997" s="61" t="inlineStr">
        <is>
          <t>خرداد</t>
        </is>
      </c>
      <c r="H1997" s="134" t="inlineStr">
        <is>
          <t>بهار</t>
        </is>
      </c>
      <c r="I1997" s="134" t="inlineStr">
        <is>
          <t>چهارشنبه</t>
        </is>
      </c>
      <c r="J1997" s="134" t="inlineStr">
        <is>
          <t>بله</t>
        </is>
      </c>
    </row>
    <row r="1998">
      <c r="A1998" s="173" t="n">
        <v>46919</v>
      </c>
      <c r="B1998" s="174" t="n">
        <v>46919</v>
      </c>
      <c r="C1998" s="174" t="n">
        <v>1407</v>
      </c>
      <c r="D1998" s="174" t="n">
        <v>3</v>
      </c>
      <c r="E1998" s="175" t="inlineStr">
        <is>
          <t>1407/03/26</t>
        </is>
      </c>
      <c r="F1998" s="128" t="inlineStr">
        <is>
          <t>1407/03</t>
        </is>
      </c>
      <c r="G1998" s="58" t="inlineStr">
        <is>
          <t>خرداد</t>
        </is>
      </c>
      <c r="H1998" s="128" t="inlineStr">
        <is>
          <t>بهار</t>
        </is>
      </c>
      <c r="I1998" s="128" t="inlineStr">
        <is>
          <t>پنجشنبه</t>
        </is>
      </c>
      <c r="J1998" s="128" t="inlineStr">
        <is>
          <t>بله</t>
        </is>
      </c>
    </row>
    <row r="1999">
      <c r="A1999" s="176" t="n">
        <v>46920</v>
      </c>
      <c r="B1999" s="177" t="n">
        <v>46920</v>
      </c>
      <c r="C1999" s="177" t="n">
        <v>1407</v>
      </c>
      <c r="D1999" s="177" t="n">
        <v>3</v>
      </c>
      <c r="E1999" s="178" t="inlineStr">
        <is>
          <t>1407/03/27</t>
        </is>
      </c>
      <c r="F1999" s="134" t="inlineStr">
        <is>
          <t>1407/03</t>
        </is>
      </c>
      <c r="G1999" s="61" t="inlineStr">
        <is>
          <t>خرداد</t>
        </is>
      </c>
      <c r="H1999" s="134" t="inlineStr">
        <is>
          <t>بهار</t>
        </is>
      </c>
      <c r="I1999" s="134" t="inlineStr">
        <is>
          <t>جمعه</t>
        </is>
      </c>
      <c r="J1999" s="134" t="inlineStr">
        <is>
          <t>بله</t>
        </is>
      </c>
    </row>
    <row r="2000">
      <c r="A2000" s="173" t="n">
        <v>46921</v>
      </c>
      <c r="B2000" s="174" t="n">
        <v>46921</v>
      </c>
      <c r="C2000" s="174" t="n">
        <v>1407</v>
      </c>
      <c r="D2000" s="174" t="n">
        <v>3</v>
      </c>
      <c r="E2000" s="175" t="inlineStr">
        <is>
          <t>1407/03/28</t>
        </is>
      </c>
      <c r="F2000" s="128" t="inlineStr">
        <is>
          <t>1407/03</t>
        </is>
      </c>
      <c r="G2000" s="58" t="inlineStr">
        <is>
          <t>خرداد</t>
        </is>
      </c>
      <c r="H2000" s="128" t="inlineStr">
        <is>
          <t>بهار</t>
        </is>
      </c>
      <c r="I2000" s="128" t="inlineStr">
        <is>
          <t>شنبه</t>
        </is>
      </c>
      <c r="J2000" s="128" t="inlineStr">
        <is>
          <t>خیر</t>
        </is>
      </c>
    </row>
    <row r="2001">
      <c r="A2001" s="176" t="n">
        <v>46922</v>
      </c>
      <c r="B2001" s="177" t="n">
        <v>46922</v>
      </c>
      <c r="C2001" s="177" t="n">
        <v>1407</v>
      </c>
      <c r="D2001" s="177" t="n">
        <v>3</v>
      </c>
      <c r="E2001" s="178" t="inlineStr">
        <is>
          <t>1407/03/29</t>
        </is>
      </c>
      <c r="F2001" s="134" t="inlineStr">
        <is>
          <t>1407/03</t>
        </is>
      </c>
      <c r="G2001" s="61" t="inlineStr">
        <is>
          <t>خرداد</t>
        </is>
      </c>
      <c r="H2001" s="134" t="inlineStr">
        <is>
          <t>بهار</t>
        </is>
      </c>
      <c r="I2001" s="134" t="inlineStr">
        <is>
          <t>یکشنبه</t>
        </is>
      </c>
      <c r="J2001" s="134" t="inlineStr">
        <is>
          <t>خیر</t>
        </is>
      </c>
    </row>
    <row r="2002">
      <c r="A2002" s="173" t="n">
        <v>46923</v>
      </c>
      <c r="B2002" s="174" t="n">
        <v>46923</v>
      </c>
      <c r="C2002" s="174" t="n">
        <v>1407</v>
      </c>
      <c r="D2002" s="174" t="n">
        <v>3</v>
      </c>
      <c r="E2002" s="175" t="inlineStr">
        <is>
          <t>1407/03/30</t>
        </is>
      </c>
      <c r="F2002" s="128" t="inlineStr">
        <is>
          <t>1407/03</t>
        </is>
      </c>
      <c r="G2002" s="58" t="inlineStr">
        <is>
          <t>خرداد</t>
        </is>
      </c>
      <c r="H2002" s="128" t="inlineStr">
        <is>
          <t>بهار</t>
        </is>
      </c>
      <c r="I2002" s="128" t="inlineStr">
        <is>
          <t>دوشنبه</t>
        </is>
      </c>
      <c r="J2002" s="128" t="inlineStr">
        <is>
          <t>بله</t>
        </is>
      </c>
    </row>
    <row r="2003">
      <c r="A2003" s="176" t="n">
        <v>46924</v>
      </c>
      <c r="B2003" s="177" t="n">
        <v>46924</v>
      </c>
      <c r="C2003" s="177" t="n">
        <v>1407</v>
      </c>
      <c r="D2003" s="177" t="n">
        <v>3</v>
      </c>
      <c r="E2003" s="178" t="inlineStr">
        <is>
          <t>1407/03/31</t>
        </is>
      </c>
      <c r="F2003" s="134" t="inlineStr">
        <is>
          <t>1407/03</t>
        </is>
      </c>
      <c r="G2003" s="61" t="inlineStr">
        <is>
          <t>خرداد</t>
        </is>
      </c>
      <c r="H2003" s="134" t="inlineStr">
        <is>
          <t>بهار</t>
        </is>
      </c>
      <c r="I2003" s="134" t="inlineStr">
        <is>
          <t>سه‌شنبه</t>
        </is>
      </c>
      <c r="J2003" s="134" t="inlineStr">
        <is>
          <t>بله</t>
        </is>
      </c>
    </row>
    <row r="2004">
      <c r="A2004" s="173" t="n">
        <v>46925</v>
      </c>
      <c r="B2004" s="174" t="n">
        <v>46925</v>
      </c>
      <c r="C2004" s="174" t="n">
        <v>1407</v>
      </c>
      <c r="D2004" s="174" t="n">
        <v>4</v>
      </c>
      <c r="E2004" s="175" t="inlineStr">
        <is>
          <t>1407/04/01</t>
        </is>
      </c>
      <c r="F2004" s="128" t="inlineStr">
        <is>
          <t>1407/04</t>
        </is>
      </c>
      <c r="G2004" s="58" t="inlineStr">
        <is>
          <t>تیر</t>
        </is>
      </c>
      <c r="H2004" s="128" t="inlineStr">
        <is>
          <t>تابستان</t>
        </is>
      </c>
      <c r="I2004" s="128" t="inlineStr">
        <is>
          <t>چهارشنبه</t>
        </is>
      </c>
      <c r="J2004" s="128" t="inlineStr">
        <is>
          <t>بله</t>
        </is>
      </c>
    </row>
    <row r="2005">
      <c r="A2005" s="176" t="n">
        <v>46926</v>
      </c>
      <c r="B2005" s="177" t="n">
        <v>46926</v>
      </c>
      <c r="C2005" s="177" t="n">
        <v>1407</v>
      </c>
      <c r="D2005" s="177" t="n">
        <v>4</v>
      </c>
      <c r="E2005" s="178" t="inlineStr">
        <is>
          <t>1407/04/02</t>
        </is>
      </c>
      <c r="F2005" s="134" t="inlineStr">
        <is>
          <t>1407/04</t>
        </is>
      </c>
      <c r="G2005" s="61" t="inlineStr">
        <is>
          <t>تیر</t>
        </is>
      </c>
      <c r="H2005" s="134" t="inlineStr">
        <is>
          <t>تابستان</t>
        </is>
      </c>
      <c r="I2005" s="134" t="inlineStr">
        <is>
          <t>پنجشنبه</t>
        </is>
      </c>
      <c r="J2005" s="134" t="inlineStr">
        <is>
          <t>بله</t>
        </is>
      </c>
    </row>
    <row r="2006">
      <c r="A2006" s="173" t="n">
        <v>46927</v>
      </c>
      <c r="B2006" s="174" t="n">
        <v>46927</v>
      </c>
      <c r="C2006" s="174" t="n">
        <v>1407</v>
      </c>
      <c r="D2006" s="174" t="n">
        <v>4</v>
      </c>
      <c r="E2006" s="175" t="inlineStr">
        <is>
          <t>1407/04/03</t>
        </is>
      </c>
      <c r="F2006" s="128" t="inlineStr">
        <is>
          <t>1407/04</t>
        </is>
      </c>
      <c r="G2006" s="58" t="inlineStr">
        <is>
          <t>تیر</t>
        </is>
      </c>
      <c r="H2006" s="128" t="inlineStr">
        <is>
          <t>تابستان</t>
        </is>
      </c>
      <c r="I2006" s="128" t="inlineStr">
        <is>
          <t>جمعه</t>
        </is>
      </c>
      <c r="J2006" s="128" t="inlineStr">
        <is>
          <t>بله</t>
        </is>
      </c>
    </row>
    <row r="2007">
      <c r="A2007" s="176" t="n">
        <v>46928</v>
      </c>
      <c r="B2007" s="177" t="n">
        <v>46928</v>
      </c>
      <c r="C2007" s="177" t="n">
        <v>1407</v>
      </c>
      <c r="D2007" s="177" t="n">
        <v>4</v>
      </c>
      <c r="E2007" s="178" t="inlineStr">
        <is>
          <t>1407/04/04</t>
        </is>
      </c>
      <c r="F2007" s="134" t="inlineStr">
        <is>
          <t>1407/04</t>
        </is>
      </c>
      <c r="G2007" s="61" t="inlineStr">
        <is>
          <t>تیر</t>
        </is>
      </c>
      <c r="H2007" s="134" t="inlineStr">
        <is>
          <t>تابستان</t>
        </is>
      </c>
      <c r="I2007" s="134" t="inlineStr">
        <is>
          <t>شنبه</t>
        </is>
      </c>
      <c r="J2007" s="134" t="inlineStr">
        <is>
          <t>خیر</t>
        </is>
      </c>
    </row>
    <row r="2008">
      <c r="A2008" s="173" t="n">
        <v>46929</v>
      </c>
      <c r="B2008" s="174" t="n">
        <v>46929</v>
      </c>
      <c r="C2008" s="174" t="n">
        <v>1407</v>
      </c>
      <c r="D2008" s="174" t="n">
        <v>4</v>
      </c>
      <c r="E2008" s="175" t="inlineStr">
        <is>
          <t>1407/04/05</t>
        </is>
      </c>
      <c r="F2008" s="128" t="inlineStr">
        <is>
          <t>1407/04</t>
        </is>
      </c>
      <c r="G2008" s="58" t="inlineStr">
        <is>
          <t>تیر</t>
        </is>
      </c>
      <c r="H2008" s="128" t="inlineStr">
        <is>
          <t>تابستان</t>
        </is>
      </c>
      <c r="I2008" s="128" t="inlineStr">
        <is>
          <t>یکشنبه</t>
        </is>
      </c>
      <c r="J2008" s="128" t="inlineStr">
        <is>
          <t>خیر</t>
        </is>
      </c>
    </row>
    <row r="2009">
      <c r="A2009" s="176" t="n">
        <v>46930</v>
      </c>
      <c r="B2009" s="177" t="n">
        <v>46930</v>
      </c>
      <c r="C2009" s="177" t="n">
        <v>1407</v>
      </c>
      <c r="D2009" s="177" t="n">
        <v>4</v>
      </c>
      <c r="E2009" s="178" t="inlineStr">
        <is>
          <t>1407/04/06</t>
        </is>
      </c>
      <c r="F2009" s="134" t="inlineStr">
        <is>
          <t>1407/04</t>
        </is>
      </c>
      <c r="G2009" s="61" t="inlineStr">
        <is>
          <t>تیر</t>
        </is>
      </c>
      <c r="H2009" s="134" t="inlineStr">
        <is>
          <t>تابستان</t>
        </is>
      </c>
      <c r="I2009" s="134" t="inlineStr">
        <is>
          <t>دوشنبه</t>
        </is>
      </c>
      <c r="J2009" s="134" t="inlineStr">
        <is>
          <t>بله</t>
        </is>
      </c>
    </row>
    <row r="2010">
      <c r="A2010" s="173" t="n">
        <v>46931</v>
      </c>
      <c r="B2010" s="174" t="n">
        <v>46931</v>
      </c>
      <c r="C2010" s="174" t="n">
        <v>1407</v>
      </c>
      <c r="D2010" s="174" t="n">
        <v>4</v>
      </c>
      <c r="E2010" s="175" t="inlineStr">
        <is>
          <t>1407/04/07</t>
        </is>
      </c>
      <c r="F2010" s="128" t="inlineStr">
        <is>
          <t>1407/04</t>
        </is>
      </c>
      <c r="G2010" s="58" t="inlineStr">
        <is>
          <t>تیر</t>
        </is>
      </c>
      <c r="H2010" s="128" t="inlineStr">
        <is>
          <t>تابستان</t>
        </is>
      </c>
      <c r="I2010" s="128" t="inlineStr">
        <is>
          <t>سه‌شنبه</t>
        </is>
      </c>
      <c r="J2010" s="128" t="inlineStr">
        <is>
          <t>بله</t>
        </is>
      </c>
    </row>
    <row r="2011">
      <c r="A2011" s="176" t="n">
        <v>46932</v>
      </c>
      <c r="B2011" s="177" t="n">
        <v>46932</v>
      </c>
      <c r="C2011" s="177" t="n">
        <v>1407</v>
      </c>
      <c r="D2011" s="177" t="n">
        <v>4</v>
      </c>
      <c r="E2011" s="178" t="inlineStr">
        <is>
          <t>1407/04/08</t>
        </is>
      </c>
      <c r="F2011" s="134" t="inlineStr">
        <is>
          <t>1407/04</t>
        </is>
      </c>
      <c r="G2011" s="61" t="inlineStr">
        <is>
          <t>تیر</t>
        </is>
      </c>
      <c r="H2011" s="134" t="inlineStr">
        <is>
          <t>تابستان</t>
        </is>
      </c>
      <c r="I2011" s="134" t="inlineStr">
        <is>
          <t>چهارشنبه</t>
        </is>
      </c>
      <c r="J2011" s="134" t="inlineStr">
        <is>
          <t>بله</t>
        </is>
      </c>
    </row>
    <row r="2012">
      <c r="A2012" s="173" t="n">
        <v>46933</v>
      </c>
      <c r="B2012" s="174" t="n">
        <v>46933</v>
      </c>
      <c r="C2012" s="174" t="n">
        <v>1407</v>
      </c>
      <c r="D2012" s="174" t="n">
        <v>4</v>
      </c>
      <c r="E2012" s="175" t="inlineStr">
        <is>
          <t>1407/04/09</t>
        </is>
      </c>
      <c r="F2012" s="128" t="inlineStr">
        <is>
          <t>1407/04</t>
        </is>
      </c>
      <c r="G2012" s="58" t="inlineStr">
        <is>
          <t>تیر</t>
        </is>
      </c>
      <c r="H2012" s="128" t="inlineStr">
        <is>
          <t>تابستان</t>
        </is>
      </c>
      <c r="I2012" s="128" t="inlineStr">
        <is>
          <t>پنجشنبه</t>
        </is>
      </c>
      <c r="J2012" s="128" t="inlineStr">
        <is>
          <t>بله</t>
        </is>
      </c>
    </row>
    <row r="2013">
      <c r="A2013" s="176" t="n">
        <v>46934</v>
      </c>
      <c r="B2013" s="177" t="n">
        <v>46934</v>
      </c>
      <c r="C2013" s="177" t="n">
        <v>1407</v>
      </c>
      <c r="D2013" s="177" t="n">
        <v>4</v>
      </c>
      <c r="E2013" s="178" t="inlineStr">
        <is>
          <t>1407/04/10</t>
        </is>
      </c>
      <c r="F2013" s="134" t="inlineStr">
        <is>
          <t>1407/04</t>
        </is>
      </c>
      <c r="G2013" s="61" t="inlineStr">
        <is>
          <t>تیر</t>
        </is>
      </c>
      <c r="H2013" s="134" t="inlineStr">
        <is>
          <t>تابستان</t>
        </is>
      </c>
      <c r="I2013" s="134" t="inlineStr">
        <is>
          <t>جمعه</t>
        </is>
      </c>
      <c r="J2013" s="134" t="inlineStr">
        <is>
          <t>بله</t>
        </is>
      </c>
    </row>
    <row r="2014">
      <c r="A2014" s="173" t="n">
        <v>46935</v>
      </c>
      <c r="B2014" s="174" t="n">
        <v>46935</v>
      </c>
      <c r="C2014" s="174" t="n">
        <v>1407</v>
      </c>
      <c r="D2014" s="174" t="n">
        <v>4</v>
      </c>
      <c r="E2014" s="175" t="inlineStr">
        <is>
          <t>1407/04/11</t>
        </is>
      </c>
      <c r="F2014" s="128" t="inlineStr">
        <is>
          <t>1407/04</t>
        </is>
      </c>
      <c r="G2014" s="58" t="inlineStr">
        <is>
          <t>تیر</t>
        </is>
      </c>
      <c r="H2014" s="128" t="inlineStr">
        <is>
          <t>تابستان</t>
        </is>
      </c>
      <c r="I2014" s="128" t="inlineStr">
        <is>
          <t>شنبه</t>
        </is>
      </c>
      <c r="J2014" s="128" t="inlineStr">
        <is>
          <t>خیر</t>
        </is>
      </c>
    </row>
    <row r="2015">
      <c r="A2015" s="176" t="n">
        <v>46936</v>
      </c>
      <c r="B2015" s="177" t="n">
        <v>46936</v>
      </c>
      <c r="C2015" s="177" t="n">
        <v>1407</v>
      </c>
      <c r="D2015" s="177" t="n">
        <v>4</v>
      </c>
      <c r="E2015" s="178" t="inlineStr">
        <is>
          <t>1407/04/12</t>
        </is>
      </c>
      <c r="F2015" s="134" t="inlineStr">
        <is>
          <t>1407/04</t>
        </is>
      </c>
      <c r="G2015" s="61" t="inlineStr">
        <is>
          <t>تیر</t>
        </is>
      </c>
      <c r="H2015" s="134" t="inlineStr">
        <is>
          <t>تابستان</t>
        </is>
      </c>
      <c r="I2015" s="134" t="inlineStr">
        <is>
          <t>یکشنبه</t>
        </is>
      </c>
      <c r="J2015" s="134" t="inlineStr">
        <is>
          <t>خیر</t>
        </is>
      </c>
    </row>
    <row r="2016">
      <c r="A2016" s="173" t="n">
        <v>46937</v>
      </c>
      <c r="B2016" s="174" t="n">
        <v>46937</v>
      </c>
      <c r="C2016" s="174" t="n">
        <v>1407</v>
      </c>
      <c r="D2016" s="174" t="n">
        <v>4</v>
      </c>
      <c r="E2016" s="175" t="inlineStr">
        <is>
          <t>1407/04/13</t>
        </is>
      </c>
      <c r="F2016" s="128" t="inlineStr">
        <is>
          <t>1407/04</t>
        </is>
      </c>
      <c r="G2016" s="58" t="inlineStr">
        <is>
          <t>تیر</t>
        </is>
      </c>
      <c r="H2016" s="128" t="inlineStr">
        <is>
          <t>تابستان</t>
        </is>
      </c>
      <c r="I2016" s="128" t="inlineStr">
        <is>
          <t>دوشنبه</t>
        </is>
      </c>
      <c r="J2016" s="128" t="inlineStr">
        <is>
          <t>بله</t>
        </is>
      </c>
    </row>
    <row r="2017">
      <c r="A2017" s="176" t="n">
        <v>46938</v>
      </c>
      <c r="B2017" s="177" t="n">
        <v>46938</v>
      </c>
      <c r="C2017" s="177" t="n">
        <v>1407</v>
      </c>
      <c r="D2017" s="177" t="n">
        <v>4</v>
      </c>
      <c r="E2017" s="178" t="inlineStr">
        <is>
          <t>1407/04/14</t>
        </is>
      </c>
      <c r="F2017" s="134" t="inlineStr">
        <is>
          <t>1407/04</t>
        </is>
      </c>
      <c r="G2017" s="61" t="inlineStr">
        <is>
          <t>تیر</t>
        </is>
      </c>
      <c r="H2017" s="134" t="inlineStr">
        <is>
          <t>تابستان</t>
        </is>
      </c>
      <c r="I2017" s="134" t="inlineStr">
        <is>
          <t>سه‌شنبه</t>
        </is>
      </c>
      <c r="J2017" s="134" t="inlineStr">
        <is>
          <t>بله</t>
        </is>
      </c>
    </row>
    <row r="2018">
      <c r="A2018" s="173" t="n">
        <v>46939</v>
      </c>
      <c r="B2018" s="174" t="n">
        <v>46939</v>
      </c>
      <c r="C2018" s="174" t="n">
        <v>1407</v>
      </c>
      <c r="D2018" s="174" t="n">
        <v>4</v>
      </c>
      <c r="E2018" s="175" t="inlineStr">
        <is>
          <t>1407/04/15</t>
        </is>
      </c>
      <c r="F2018" s="128" t="inlineStr">
        <is>
          <t>1407/04</t>
        </is>
      </c>
      <c r="G2018" s="58" t="inlineStr">
        <is>
          <t>تیر</t>
        </is>
      </c>
      <c r="H2018" s="128" t="inlineStr">
        <is>
          <t>تابستان</t>
        </is>
      </c>
      <c r="I2018" s="128" t="inlineStr">
        <is>
          <t>چهارشنبه</t>
        </is>
      </c>
      <c r="J2018" s="128" t="inlineStr">
        <is>
          <t>بله</t>
        </is>
      </c>
    </row>
    <row r="2019">
      <c r="A2019" s="176" t="n">
        <v>46940</v>
      </c>
      <c r="B2019" s="177" t="n">
        <v>46940</v>
      </c>
      <c r="C2019" s="177" t="n">
        <v>1407</v>
      </c>
      <c r="D2019" s="177" t="n">
        <v>4</v>
      </c>
      <c r="E2019" s="178" t="inlineStr">
        <is>
          <t>1407/04/16</t>
        </is>
      </c>
      <c r="F2019" s="134" t="inlineStr">
        <is>
          <t>1407/04</t>
        </is>
      </c>
      <c r="G2019" s="61" t="inlineStr">
        <is>
          <t>تیر</t>
        </is>
      </c>
      <c r="H2019" s="134" t="inlineStr">
        <is>
          <t>تابستان</t>
        </is>
      </c>
      <c r="I2019" s="134" t="inlineStr">
        <is>
          <t>پنجشنبه</t>
        </is>
      </c>
      <c r="J2019" s="134" t="inlineStr">
        <is>
          <t>بله</t>
        </is>
      </c>
    </row>
    <row r="2020">
      <c r="A2020" s="173" t="n">
        <v>46941</v>
      </c>
      <c r="B2020" s="174" t="n">
        <v>46941</v>
      </c>
      <c r="C2020" s="174" t="n">
        <v>1407</v>
      </c>
      <c r="D2020" s="174" t="n">
        <v>4</v>
      </c>
      <c r="E2020" s="175" t="inlineStr">
        <is>
          <t>1407/04/17</t>
        </is>
      </c>
      <c r="F2020" s="128" t="inlineStr">
        <is>
          <t>1407/04</t>
        </is>
      </c>
      <c r="G2020" s="58" t="inlineStr">
        <is>
          <t>تیر</t>
        </is>
      </c>
      <c r="H2020" s="128" t="inlineStr">
        <is>
          <t>تابستان</t>
        </is>
      </c>
      <c r="I2020" s="128" t="inlineStr">
        <is>
          <t>جمعه</t>
        </is>
      </c>
      <c r="J2020" s="128" t="inlineStr">
        <is>
          <t>بله</t>
        </is>
      </c>
    </row>
    <row r="2021">
      <c r="A2021" s="176" t="n">
        <v>46942</v>
      </c>
      <c r="B2021" s="177" t="n">
        <v>46942</v>
      </c>
      <c r="C2021" s="177" t="n">
        <v>1407</v>
      </c>
      <c r="D2021" s="177" t="n">
        <v>4</v>
      </c>
      <c r="E2021" s="178" t="inlineStr">
        <is>
          <t>1407/04/18</t>
        </is>
      </c>
      <c r="F2021" s="134" t="inlineStr">
        <is>
          <t>1407/04</t>
        </is>
      </c>
      <c r="G2021" s="61" t="inlineStr">
        <is>
          <t>تیر</t>
        </is>
      </c>
      <c r="H2021" s="134" t="inlineStr">
        <is>
          <t>تابستان</t>
        </is>
      </c>
      <c r="I2021" s="134" t="inlineStr">
        <is>
          <t>شنبه</t>
        </is>
      </c>
      <c r="J2021" s="134" t="inlineStr">
        <is>
          <t>خیر</t>
        </is>
      </c>
    </row>
    <row r="2022">
      <c r="A2022" s="173" t="n">
        <v>46943</v>
      </c>
      <c r="B2022" s="174" t="n">
        <v>46943</v>
      </c>
      <c r="C2022" s="174" t="n">
        <v>1407</v>
      </c>
      <c r="D2022" s="174" t="n">
        <v>4</v>
      </c>
      <c r="E2022" s="175" t="inlineStr">
        <is>
          <t>1407/04/19</t>
        </is>
      </c>
      <c r="F2022" s="128" t="inlineStr">
        <is>
          <t>1407/04</t>
        </is>
      </c>
      <c r="G2022" s="58" t="inlineStr">
        <is>
          <t>تیر</t>
        </is>
      </c>
      <c r="H2022" s="128" t="inlineStr">
        <is>
          <t>تابستان</t>
        </is>
      </c>
      <c r="I2022" s="128" t="inlineStr">
        <is>
          <t>یکشنبه</t>
        </is>
      </c>
      <c r="J2022" s="128" t="inlineStr">
        <is>
          <t>خیر</t>
        </is>
      </c>
    </row>
    <row r="2023">
      <c r="A2023" s="176" t="n">
        <v>46944</v>
      </c>
      <c r="B2023" s="177" t="n">
        <v>46944</v>
      </c>
      <c r="C2023" s="177" t="n">
        <v>1407</v>
      </c>
      <c r="D2023" s="177" t="n">
        <v>4</v>
      </c>
      <c r="E2023" s="178" t="inlineStr">
        <is>
          <t>1407/04/20</t>
        </is>
      </c>
      <c r="F2023" s="134" t="inlineStr">
        <is>
          <t>1407/04</t>
        </is>
      </c>
      <c r="G2023" s="61" t="inlineStr">
        <is>
          <t>تیر</t>
        </is>
      </c>
      <c r="H2023" s="134" t="inlineStr">
        <is>
          <t>تابستان</t>
        </is>
      </c>
      <c r="I2023" s="134" t="inlineStr">
        <is>
          <t>دوشنبه</t>
        </is>
      </c>
      <c r="J2023" s="134" t="inlineStr">
        <is>
          <t>بله</t>
        </is>
      </c>
    </row>
    <row r="2024">
      <c r="A2024" s="173" t="n">
        <v>46945</v>
      </c>
      <c r="B2024" s="174" t="n">
        <v>46945</v>
      </c>
      <c r="C2024" s="174" t="n">
        <v>1407</v>
      </c>
      <c r="D2024" s="174" t="n">
        <v>4</v>
      </c>
      <c r="E2024" s="175" t="inlineStr">
        <is>
          <t>1407/04/21</t>
        </is>
      </c>
      <c r="F2024" s="128" t="inlineStr">
        <is>
          <t>1407/04</t>
        </is>
      </c>
      <c r="G2024" s="58" t="inlineStr">
        <is>
          <t>تیر</t>
        </is>
      </c>
      <c r="H2024" s="128" t="inlineStr">
        <is>
          <t>تابستان</t>
        </is>
      </c>
      <c r="I2024" s="128" t="inlineStr">
        <is>
          <t>سه‌شنبه</t>
        </is>
      </c>
      <c r="J2024" s="128" t="inlineStr">
        <is>
          <t>بله</t>
        </is>
      </c>
    </row>
    <row r="2025">
      <c r="A2025" s="176" t="n">
        <v>46946</v>
      </c>
      <c r="B2025" s="177" t="n">
        <v>46946</v>
      </c>
      <c r="C2025" s="177" t="n">
        <v>1407</v>
      </c>
      <c r="D2025" s="177" t="n">
        <v>4</v>
      </c>
      <c r="E2025" s="178" t="inlineStr">
        <is>
          <t>1407/04/22</t>
        </is>
      </c>
      <c r="F2025" s="134" t="inlineStr">
        <is>
          <t>1407/04</t>
        </is>
      </c>
      <c r="G2025" s="61" t="inlineStr">
        <is>
          <t>تیر</t>
        </is>
      </c>
      <c r="H2025" s="134" t="inlineStr">
        <is>
          <t>تابستان</t>
        </is>
      </c>
      <c r="I2025" s="134" t="inlineStr">
        <is>
          <t>چهارشنبه</t>
        </is>
      </c>
      <c r="J2025" s="134" t="inlineStr">
        <is>
          <t>بله</t>
        </is>
      </c>
    </row>
    <row r="2026">
      <c r="A2026" s="173" t="n">
        <v>46947</v>
      </c>
      <c r="B2026" s="174" t="n">
        <v>46947</v>
      </c>
      <c r="C2026" s="174" t="n">
        <v>1407</v>
      </c>
      <c r="D2026" s="174" t="n">
        <v>4</v>
      </c>
      <c r="E2026" s="175" t="inlineStr">
        <is>
          <t>1407/04/23</t>
        </is>
      </c>
      <c r="F2026" s="128" t="inlineStr">
        <is>
          <t>1407/04</t>
        </is>
      </c>
      <c r="G2026" s="58" t="inlineStr">
        <is>
          <t>تیر</t>
        </is>
      </c>
      <c r="H2026" s="128" t="inlineStr">
        <is>
          <t>تابستان</t>
        </is>
      </c>
      <c r="I2026" s="128" t="inlineStr">
        <is>
          <t>پنجشنبه</t>
        </is>
      </c>
      <c r="J2026" s="128" t="inlineStr">
        <is>
          <t>بله</t>
        </is>
      </c>
    </row>
    <row r="2027">
      <c r="A2027" s="176" t="n">
        <v>46948</v>
      </c>
      <c r="B2027" s="177" t="n">
        <v>46948</v>
      </c>
      <c r="C2027" s="177" t="n">
        <v>1407</v>
      </c>
      <c r="D2027" s="177" t="n">
        <v>4</v>
      </c>
      <c r="E2027" s="178" t="inlineStr">
        <is>
          <t>1407/04/24</t>
        </is>
      </c>
      <c r="F2027" s="134" t="inlineStr">
        <is>
          <t>1407/04</t>
        </is>
      </c>
      <c r="G2027" s="61" t="inlineStr">
        <is>
          <t>تیر</t>
        </is>
      </c>
      <c r="H2027" s="134" t="inlineStr">
        <is>
          <t>تابستان</t>
        </is>
      </c>
      <c r="I2027" s="134" t="inlineStr">
        <is>
          <t>جمعه</t>
        </is>
      </c>
      <c r="J2027" s="134" t="inlineStr">
        <is>
          <t>بله</t>
        </is>
      </c>
    </row>
    <row r="2028">
      <c r="A2028" s="173" t="n">
        <v>46949</v>
      </c>
      <c r="B2028" s="174" t="n">
        <v>46949</v>
      </c>
      <c r="C2028" s="174" t="n">
        <v>1407</v>
      </c>
      <c r="D2028" s="174" t="n">
        <v>4</v>
      </c>
      <c r="E2028" s="175" t="inlineStr">
        <is>
          <t>1407/04/25</t>
        </is>
      </c>
      <c r="F2028" s="128" t="inlineStr">
        <is>
          <t>1407/04</t>
        </is>
      </c>
      <c r="G2028" s="58" t="inlineStr">
        <is>
          <t>تیر</t>
        </is>
      </c>
      <c r="H2028" s="128" t="inlineStr">
        <is>
          <t>تابستان</t>
        </is>
      </c>
      <c r="I2028" s="128" t="inlineStr">
        <is>
          <t>شنبه</t>
        </is>
      </c>
      <c r="J2028" s="128" t="inlineStr">
        <is>
          <t>خیر</t>
        </is>
      </c>
    </row>
    <row r="2029">
      <c r="A2029" s="176" t="n">
        <v>46950</v>
      </c>
      <c r="B2029" s="177" t="n">
        <v>46950</v>
      </c>
      <c r="C2029" s="177" t="n">
        <v>1407</v>
      </c>
      <c r="D2029" s="177" t="n">
        <v>4</v>
      </c>
      <c r="E2029" s="178" t="inlineStr">
        <is>
          <t>1407/04/26</t>
        </is>
      </c>
      <c r="F2029" s="134" t="inlineStr">
        <is>
          <t>1407/04</t>
        </is>
      </c>
      <c r="G2029" s="61" t="inlineStr">
        <is>
          <t>تیر</t>
        </is>
      </c>
      <c r="H2029" s="134" t="inlineStr">
        <is>
          <t>تابستان</t>
        </is>
      </c>
      <c r="I2029" s="134" t="inlineStr">
        <is>
          <t>یکشنبه</t>
        </is>
      </c>
      <c r="J2029" s="134" t="inlineStr">
        <is>
          <t>خیر</t>
        </is>
      </c>
    </row>
    <row r="2030">
      <c r="A2030" s="173" t="n">
        <v>46951</v>
      </c>
      <c r="B2030" s="174" t="n">
        <v>46951</v>
      </c>
      <c r="C2030" s="174" t="n">
        <v>1407</v>
      </c>
      <c r="D2030" s="174" t="n">
        <v>4</v>
      </c>
      <c r="E2030" s="175" t="inlineStr">
        <is>
          <t>1407/04/27</t>
        </is>
      </c>
      <c r="F2030" s="128" t="inlineStr">
        <is>
          <t>1407/04</t>
        </is>
      </c>
      <c r="G2030" s="58" t="inlineStr">
        <is>
          <t>تیر</t>
        </is>
      </c>
      <c r="H2030" s="128" t="inlineStr">
        <is>
          <t>تابستان</t>
        </is>
      </c>
      <c r="I2030" s="128" t="inlineStr">
        <is>
          <t>دوشنبه</t>
        </is>
      </c>
      <c r="J2030" s="128" t="inlineStr">
        <is>
          <t>بله</t>
        </is>
      </c>
    </row>
    <row r="2031">
      <c r="A2031" s="176" t="n">
        <v>46952</v>
      </c>
      <c r="B2031" s="177" t="n">
        <v>46952</v>
      </c>
      <c r="C2031" s="177" t="n">
        <v>1407</v>
      </c>
      <c r="D2031" s="177" t="n">
        <v>4</v>
      </c>
      <c r="E2031" s="178" t="inlineStr">
        <is>
          <t>1407/04/28</t>
        </is>
      </c>
      <c r="F2031" s="134" t="inlineStr">
        <is>
          <t>1407/04</t>
        </is>
      </c>
      <c r="G2031" s="61" t="inlineStr">
        <is>
          <t>تیر</t>
        </is>
      </c>
      <c r="H2031" s="134" t="inlineStr">
        <is>
          <t>تابستان</t>
        </is>
      </c>
      <c r="I2031" s="134" t="inlineStr">
        <is>
          <t>سه‌شنبه</t>
        </is>
      </c>
      <c r="J2031" s="134" t="inlineStr">
        <is>
          <t>بله</t>
        </is>
      </c>
    </row>
    <row r="2032">
      <c r="A2032" s="173" t="n">
        <v>46953</v>
      </c>
      <c r="B2032" s="174" t="n">
        <v>46953</v>
      </c>
      <c r="C2032" s="174" t="n">
        <v>1407</v>
      </c>
      <c r="D2032" s="174" t="n">
        <v>4</v>
      </c>
      <c r="E2032" s="175" t="inlineStr">
        <is>
          <t>1407/04/29</t>
        </is>
      </c>
      <c r="F2032" s="128" t="inlineStr">
        <is>
          <t>1407/04</t>
        </is>
      </c>
      <c r="G2032" s="58" t="inlineStr">
        <is>
          <t>تیر</t>
        </is>
      </c>
      <c r="H2032" s="128" t="inlineStr">
        <is>
          <t>تابستان</t>
        </is>
      </c>
      <c r="I2032" s="128" t="inlineStr">
        <is>
          <t>چهارشنبه</t>
        </is>
      </c>
      <c r="J2032" s="128" t="inlineStr">
        <is>
          <t>بله</t>
        </is>
      </c>
    </row>
    <row r="2033">
      <c r="A2033" s="176" t="n">
        <v>46954</v>
      </c>
      <c r="B2033" s="177" t="n">
        <v>46954</v>
      </c>
      <c r="C2033" s="177" t="n">
        <v>1407</v>
      </c>
      <c r="D2033" s="177" t="n">
        <v>4</v>
      </c>
      <c r="E2033" s="178" t="inlineStr">
        <is>
          <t>1407/04/30</t>
        </is>
      </c>
      <c r="F2033" s="134" t="inlineStr">
        <is>
          <t>1407/04</t>
        </is>
      </c>
      <c r="G2033" s="61" t="inlineStr">
        <is>
          <t>تیر</t>
        </is>
      </c>
      <c r="H2033" s="134" t="inlineStr">
        <is>
          <t>تابستان</t>
        </is>
      </c>
      <c r="I2033" s="134" t="inlineStr">
        <is>
          <t>پنجشنبه</t>
        </is>
      </c>
      <c r="J2033" s="134" t="inlineStr">
        <is>
          <t>بله</t>
        </is>
      </c>
    </row>
    <row r="2034">
      <c r="A2034" s="173" t="n">
        <v>46955</v>
      </c>
      <c r="B2034" s="174" t="n">
        <v>46955</v>
      </c>
      <c r="C2034" s="174" t="n">
        <v>1407</v>
      </c>
      <c r="D2034" s="174" t="n">
        <v>4</v>
      </c>
      <c r="E2034" s="175" t="inlineStr">
        <is>
          <t>1407/04/31</t>
        </is>
      </c>
      <c r="F2034" s="128" t="inlineStr">
        <is>
          <t>1407/04</t>
        </is>
      </c>
      <c r="G2034" s="58" t="inlineStr">
        <is>
          <t>تیر</t>
        </is>
      </c>
      <c r="H2034" s="128" t="inlineStr">
        <is>
          <t>تابستان</t>
        </is>
      </c>
      <c r="I2034" s="128" t="inlineStr">
        <is>
          <t>جمعه</t>
        </is>
      </c>
      <c r="J2034" s="128" t="inlineStr">
        <is>
          <t>بله</t>
        </is>
      </c>
    </row>
    <row r="2035">
      <c r="A2035" s="176" t="n">
        <v>46956</v>
      </c>
      <c r="B2035" s="177" t="n">
        <v>46956</v>
      </c>
      <c r="C2035" s="177" t="n">
        <v>1407</v>
      </c>
      <c r="D2035" s="177" t="n">
        <v>5</v>
      </c>
      <c r="E2035" s="178" t="inlineStr">
        <is>
          <t>1407/05/01</t>
        </is>
      </c>
      <c r="F2035" s="134" t="inlineStr">
        <is>
          <t>1407/05</t>
        </is>
      </c>
      <c r="G2035" s="61" t="inlineStr">
        <is>
          <t>مرداد</t>
        </is>
      </c>
      <c r="H2035" s="134" t="inlineStr">
        <is>
          <t>تابستان</t>
        </is>
      </c>
      <c r="I2035" s="134" t="inlineStr">
        <is>
          <t>شنبه</t>
        </is>
      </c>
      <c r="J2035" s="134" t="inlineStr">
        <is>
          <t>خیر</t>
        </is>
      </c>
    </row>
    <row r="2036">
      <c r="A2036" s="173" t="n">
        <v>46957</v>
      </c>
      <c r="B2036" s="174" t="n">
        <v>46957</v>
      </c>
      <c r="C2036" s="174" t="n">
        <v>1407</v>
      </c>
      <c r="D2036" s="174" t="n">
        <v>5</v>
      </c>
      <c r="E2036" s="175" t="inlineStr">
        <is>
          <t>1407/05/02</t>
        </is>
      </c>
      <c r="F2036" s="128" t="inlineStr">
        <is>
          <t>1407/05</t>
        </is>
      </c>
      <c r="G2036" s="58" t="inlineStr">
        <is>
          <t>مرداد</t>
        </is>
      </c>
      <c r="H2036" s="128" t="inlineStr">
        <is>
          <t>تابستان</t>
        </is>
      </c>
      <c r="I2036" s="128" t="inlineStr">
        <is>
          <t>یکشنبه</t>
        </is>
      </c>
      <c r="J2036" s="128" t="inlineStr">
        <is>
          <t>خیر</t>
        </is>
      </c>
    </row>
    <row r="2037">
      <c r="A2037" s="176" t="n">
        <v>46958</v>
      </c>
      <c r="B2037" s="177" t="n">
        <v>46958</v>
      </c>
      <c r="C2037" s="177" t="n">
        <v>1407</v>
      </c>
      <c r="D2037" s="177" t="n">
        <v>5</v>
      </c>
      <c r="E2037" s="178" t="inlineStr">
        <is>
          <t>1407/05/03</t>
        </is>
      </c>
      <c r="F2037" s="134" t="inlineStr">
        <is>
          <t>1407/05</t>
        </is>
      </c>
      <c r="G2037" s="61" t="inlineStr">
        <is>
          <t>مرداد</t>
        </is>
      </c>
      <c r="H2037" s="134" t="inlineStr">
        <is>
          <t>تابستان</t>
        </is>
      </c>
      <c r="I2037" s="134" t="inlineStr">
        <is>
          <t>دوشنبه</t>
        </is>
      </c>
      <c r="J2037" s="134" t="inlineStr">
        <is>
          <t>بله</t>
        </is>
      </c>
    </row>
    <row r="2038">
      <c r="A2038" s="173" t="n">
        <v>46959</v>
      </c>
      <c r="B2038" s="174" t="n">
        <v>46959</v>
      </c>
      <c r="C2038" s="174" t="n">
        <v>1407</v>
      </c>
      <c r="D2038" s="174" t="n">
        <v>5</v>
      </c>
      <c r="E2038" s="175" t="inlineStr">
        <is>
          <t>1407/05/04</t>
        </is>
      </c>
      <c r="F2038" s="128" t="inlineStr">
        <is>
          <t>1407/05</t>
        </is>
      </c>
      <c r="G2038" s="58" t="inlineStr">
        <is>
          <t>مرداد</t>
        </is>
      </c>
      <c r="H2038" s="128" t="inlineStr">
        <is>
          <t>تابستان</t>
        </is>
      </c>
      <c r="I2038" s="128" t="inlineStr">
        <is>
          <t>سه‌شنبه</t>
        </is>
      </c>
      <c r="J2038" s="128" t="inlineStr">
        <is>
          <t>بله</t>
        </is>
      </c>
    </row>
    <row r="2039">
      <c r="A2039" s="176" t="n">
        <v>46960</v>
      </c>
      <c r="B2039" s="177" t="n">
        <v>46960</v>
      </c>
      <c r="C2039" s="177" t="n">
        <v>1407</v>
      </c>
      <c r="D2039" s="177" t="n">
        <v>5</v>
      </c>
      <c r="E2039" s="178" t="inlineStr">
        <is>
          <t>1407/05/05</t>
        </is>
      </c>
      <c r="F2039" s="134" t="inlineStr">
        <is>
          <t>1407/05</t>
        </is>
      </c>
      <c r="G2039" s="61" t="inlineStr">
        <is>
          <t>مرداد</t>
        </is>
      </c>
      <c r="H2039" s="134" t="inlineStr">
        <is>
          <t>تابستان</t>
        </is>
      </c>
      <c r="I2039" s="134" t="inlineStr">
        <is>
          <t>چهارشنبه</t>
        </is>
      </c>
      <c r="J2039" s="134" t="inlineStr">
        <is>
          <t>بله</t>
        </is>
      </c>
    </row>
    <row r="2040">
      <c r="A2040" s="173" t="n">
        <v>46961</v>
      </c>
      <c r="B2040" s="174" t="n">
        <v>46961</v>
      </c>
      <c r="C2040" s="174" t="n">
        <v>1407</v>
      </c>
      <c r="D2040" s="174" t="n">
        <v>5</v>
      </c>
      <c r="E2040" s="175" t="inlineStr">
        <is>
          <t>1407/05/06</t>
        </is>
      </c>
      <c r="F2040" s="128" t="inlineStr">
        <is>
          <t>1407/05</t>
        </is>
      </c>
      <c r="G2040" s="58" t="inlineStr">
        <is>
          <t>مرداد</t>
        </is>
      </c>
      <c r="H2040" s="128" t="inlineStr">
        <is>
          <t>تابستان</t>
        </is>
      </c>
      <c r="I2040" s="128" t="inlineStr">
        <is>
          <t>پنجشنبه</t>
        </is>
      </c>
      <c r="J2040" s="128" t="inlineStr">
        <is>
          <t>بله</t>
        </is>
      </c>
    </row>
    <row r="2041">
      <c r="A2041" s="176" t="n">
        <v>46962</v>
      </c>
      <c r="B2041" s="177" t="n">
        <v>46962</v>
      </c>
      <c r="C2041" s="177" t="n">
        <v>1407</v>
      </c>
      <c r="D2041" s="177" t="n">
        <v>5</v>
      </c>
      <c r="E2041" s="178" t="inlineStr">
        <is>
          <t>1407/05/07</t>
        </is>
      </c>
      <c r="F2041" s="134" t="inlineStr">
        <is>
          <t>1407/05</t>
        </is>
      </c>
      <c r="G2041" s="61" t="inlineStr">
        <is>
          <t>مرداد</t>
        </is>
      </c>
      <c r="H2041" s="134" t="inlineStr">
        <is>
          <t>تابستان</t>
        </is>
      </c>
      <c r="I2041" s="134" t="inlineStr">
        <is>
          <t>جمعه</t>
        </is>
      </c>
      <c r="J2041" s="134" t="inlineStr">
        <is>
          <t>بله</t>
        </is>
      </c>
    </row>
    <row r="2042">
      <c r="A2042" s="173" t="n">
        <v>46963</v>
      </c>
      <c r="B2042" s="174" t="n">
        <v>46963</v>
      </c>
      <c r="C2042" s="174" t="n">
        <v>1407</v>
      </c>
      <c r="D2042" s="174" t="n">
        <v>5</v>
      </c>
      <c r="E2042" s="175" t="inlineStr">
        <is>
          <t>1407/05/08</t>
        </is>
      </c>
      <c r="F2042" s="128" t="inlineStr">
        <is>
          <t>1407/05</t>
        </is>
      </c>
      <c r="G2042" s="58" t="inlineStr">
        <is>
          <t>مرداد</t>
        </is>
      </c>
      <c r="H2042" s="128" t="inlineStr">
        <is>
          <t>تابستان</t>
        </is>
      </c>
      <c r="I2042" s="128" t="inlineStr">
        <is>
          <t>شنبه</t>
        </is>
      </c>
      <c r="J2042" s="128" t="inlineStr">
        <is>
          <t>خیر</t>
        </is>
      </c>
    </row>
    <row r="2043">
      <c r="A2043" s="176" t="n">
        <v>46964</v>
      </c>
      <c r="B2043" s="177" t="n">
        <v>46964</v>
      </c>
      <c r="C2043" s="177" t="n">
        <v>1407</v>
      </c>
      <c r="D2043" s="177" t="n">
        <v>5</v>
      </c>
      <c r="E2043" s="178" t="inlineStr">
        <is>
          <t>1407/05/09</t>
        </is>
      </c>
      <c r="F2043" s="134" t="inlineStr">
        <is>
          <t>1407/05</t>
        </is>
      </c>
      <c r="G2043" s="61" t="inlineStr">
        <is>
          <t>مرداد</t>
        </is>
      </c>
      <c r="H2043" s="134" t="inlineStr">
        <is>
          <t>تابستان</t>
        </is>
      </c>
      <c r="I2043" s="134" t="inlineStr">
        <is>
          <t>یکشنبه</t>
        </is>
      </c>
      <c r="J2043" s="134" t="inlineStr">
        <is>
          <t>خیر</t>
        </is>
      </c>
    </row>
    <row r="2044">
      <c r="A2044" s="173" t="n">
        <v>46965</v>
      </c>
      <c r="B2044" s="174" t="n">
        <v>46965</v>
      </c>
      <c r="C2044" s="174" t="n">
        <v>1407</v>
      </c>
      <c r="D2044" s="174" t="n">
        <v>5</v>
      </c>
      <c r="E2044" s="175" t="inlineStr">
        <is>
          <t>1407/05/10</t>
        </is>
      </c>
      <c r="F2044" s="128" t="inlineStr">
        <is>
          <t>1407/05</t>
        </is>
      </c>
      <c r="G2044" s="58" t="inlineStr">
        <is>
          <t>مرداد</t>
        </is>
      </c>
      <c r="H2044" s="128" t="inlineStr">
        <is>
          <t>تابستان</t>
        </is>
      </c>
      <c r="I2044" s="128" t="inlineStr">
        <is>
          <t>دوشنبه</t>
        </is>
      </c>
      <c r="J2044" s="128" t="inlineStr">
        <is>
          <t>بله</t>
        </is>
      </c>
    </row>
    <row r="2045">
      <c r="A2045" s="176" t="n">
        <v>46966</v>
      </c>
      <c r="B2045" s="177" t="n">
        <v>46966</v>
      </c>
      <c r="C2045" s="177" t="n">
        <v>1407</v>
      </c>
      <c r="D2045" s="177" t="n">
        <v>5</v>
      </c>
      <c r="E2045" s="178" t="inlineStr">
        <is>
          <t>1407/05/11</t>
        </is>
      </c>
      <c r="F2045" s="134" t="inlineStr">
        <is>
          <t>1407/05</t>
        </is>
      </c>
      <c r="G2045" s="61" t="inlineStr">
        <is>
          <t>مرداد</t>
        </is>
      </c>
      <c r="H2045" s="134" t="inlineStr">
        <is>
          <t>تابستان</t>
        </is>
      </c>
      <c r="I2045" s="134" t="inlineStr">
        <is>
          <t>سه‌شنبه</t>
        </is>
      </c>
      <c r="J2045" s="134" t="inlineStr">
        <is>
          <t>بله</t>
        </is>
      </c>
    </row>
    <row r="2046">
      <c r="A2046" s="173" t="n">
        <v>46967</v>
      </c>
      <c r="B2046" s="174" t="n">
        <v>46967</v>
      </c>
      <c r="C2046" s="174" t="n">
        <v>1407</v>
      </c>
      <c r="D2046" s="174" t="n">
        <v>5</v>
      </c>
      <c r="E2046" s="175" t="inlineStr">
        <is>
          <t>1407/05/12</t>
        </is>
      </c>
      <c r="F2046" s="128" t="inlineStr">
        <is>
          <t>1407/05</t>
        </is>
      </c>
      <c r="G2046" s="58" t="inlineStr">
        <is>
          <t>مرداد</t>
        </is>
      </c>
      <c r="H2046" s="128" t="inlineStr">
        <is>
          <t>تابستان</t>
        </is>
      </c>
      <c r="I2046" s="128" t="inlineStr">
        <is>
          <t>چهارشنبه</t>
        </is>
      </c>
      <c r="J2046" s="128" t="inlineStr">
        <is>
          <t>بله</t>
        </is>
      </c>
    </row>
    <row r="2047">
      <c r="A2047" s="176" t="n">
        <v>46968</v>
      </c>
      <c r="B2047" s="177" t="n">
        <v>46968</v>
      </c>
      <c r="C2047" s="177" t="n">
        <v>1407</v>
      </c>
      <c r="D2047" s="177" t="n">
        <v>5</v>
      </c>
      <c r="E2047" s="178" t="inlineStr">
        <is>
          <t>1407/05/13</t>
        </is>
      </c>
      <c r="F2047" s="134" t="inlineStr">
        <is>
          <t>1407/05</t>
        </is>
      </c>
      <c r="G2047" s="61" t="inlineStr">
        <is>
          <t>مرداد</t>
        </is>
      </c>
      <c r="H2047" s="134" t="inlineStr">
        <is>
          <t>تابستان</t>
        </is>
      </c>
      <c r="I2047" s="134" t="inlineStr">
        <is>
          <t>پنجشنبه</t>
        </is>
      </c>
      <c r="J2047" s="134" t="inlineStr">
        <is>
          <t>بله</t>
        </is>
      </c>
    </row>
    <row r="2048">
      <c r="A2048" s="173" t="n">
        <v>46969</v>
      </c>
      <c r="B2048" s="174" t="n">
        <v>46969</v>
      </c>
      <c r="C2048" s="174" t="n">
        <v>1407</v>
      </c>
      <c r="D2048" s="174" t="n">
        <v>5</v>
      </c>
      <c r="E2048" s="175" t="inlineStr">
        <is>
          <t>1407/05/14</t>
        </is>
      </c>
      <c r="F2048" s="128" t="inlineStr">
        <is>
          <t>1407/05</t>
        </is>
      </c>
      <c r="G2048" s="58" t="inlineStr">
        <is>
          <t>مرداد</t>
        </is>
      </c>
      <c r="H2048" s="128" t="inlineStr">
        <is>
          <t>تابستان</t>
        </is>
      </c>
      <c r="I2048" s="128" t="inlineStr">
        <is>
          <t>جمعه</t>
        </is>
      </c>
      <c r="J2048" s="128" t="inlineStr">
        <is>
          <t>بله</t>
        </is>
      </c>
    </row>
    <row r="2049">
      <c r="A2049" s="176" t="n">
        <v>46970</v>
      </c>
      <c r="B2049" s="177" t="n">
        <v>46970</v>
      </c>
      <c r="C2049" s="177" t="n">
        <v>1407</v>
      </c>
      <c r="D2049" s="177" t="n">
        <v>5</v>
      </c>
      <c r="E2049" s="178" t="inlineStr">
        <is>
          <t>1407/05/15</t>
        </is>
      </c>
      <c r="F2049" s="134" t="inlineStr">
        <is>
          <t>1407/05</t>
        </is>
      </c>
      <c r="G2049" s="61" t="inlineStr">
        <is>
          <t>مرداد</t>
        </is>
      </c>
      <c r="H2049" s="134" t="inlineStr">
        <is>
          <t>تابستان</t>
        </is>
      </c>
      <c r="I2049" s="134" t="inlineStr">
        <is>
          <t>شنبه</t>
        </is>
      </c>
      <c r="J2049" s="134" t="inlineStr">
        <is>
          <t>خیر</t>
        </is>
      </c>
    </row>
    <row r="2050">
      <c r="A2050" s="173" t="n">
        <v>46971</v>
      </c>
      <c r="B2050" s="174" t="n">
        <v>46971</v>
      </c>
      <c r="C2050" s="174" t="n">
        <v>1407</v>
      </c>
      <c r="D2050" s="174" t="n">
        <v>5</v>
      </c>
      <c r="E2050" s="175" t="inlineStr">
        <is>
          <t>1407/05/16</t>
        </is>
      </c>
      <c r="F2050" s="128" t="inlineStr">
        <is>
          <t>1407/05</t>
        </is>
      </c>
      <c r="G2050" s="58" t="inlineStr">
        <is>
          <t>مرداد</t>
        </is>
      </c>
      <c r="H2050" s="128" t="inlineStr">
        <is>
          <t>تابستان</t>
        </is>
      </c>
      <c r="I2050" s="128" t="inlineStr">
        <is>
          <t>یکشنبه</t>
        </is>
      </c>
      <c r="J2050" s="128" t="inlineStr">
        <is>
          <t>خیر</t>
        </is>
      </c>
    </row>
    <row r="2051">
      <c r="A2051" s="176" t="n">
        <v>46972</v>
      </c>
      <c r="B2051" s="177" t="n">
        <v>46972</v>
      </c>
      <c r="C2051" s="177" t="n">
        <v>1407</v>
      </c>
      <c r="D2051" s="177" t="n">
        <v>5</v>
      </c>
      <c r="E2051" s="178" t="inlineStr">
        <is>
          <t>1407/05/17</t>
        </is>
      </c>
      <c r="F2051" s="134" t="inlineStr">
        <is>
          <t>1407/05</t>
        </is>
      </c>
      <c r="G2051" s="61" t="inlineStr">
        <is>
          <t>مرداد</t>
        </is>
      </c>
      <c r="H2051" s="134" t="inlineStr">
        <is>
          <t>تابستان</t>
        </is>
      </c>
      <c r="I2051" s="134" t="inlineStr">
        <is>
          <t>دوشنبه</t>
        </is>
      </c>
      <c r="J2051" s="134" t="inlineStr">
        <is>
          <t>بله</t>
        </is>
      </c>
    </row>
    <row r="2052">
      <c r="A2052" s="173" t="n">
        <v>46973</v>
      </c>
      <c r="B2052" s="174" t="n">
        <v>46973</v>
      </c>
      <c r="C2052" s="174" t="n">
        <v>1407</v>
      </c>
      <c r="D2052" s="174" t="n">
        <v>5</v>
      </c>
      <c r="E2052" s="175" t="inlineStr">
        <is>
          <t>1407/05/18</t>
        </is>
      </c>
      <c r="F2052" s="128" t="inlineStr">
        <is>
          <t>1407/05</t>
        </is>
      </c>
      <c r="G2052" s="58" t="inlineStr">
        <is>
          <t>مرداد</t>
        </is>
      </c>
      <c r="H2052" s="128" t="inlineStr">
        <is>
          <t>تابستان</t>
        </is>
      </c>
      <c r="I2052" s="128" t="inlineStr">
        <is>
          <t>سه‌شنبه</t>
        </is>
      </c>
      <c r="J2052" s="128" t="inlineStr">
        <is>
          <t>بله</t>
        </is>
      </c>
    </row>
    <row r="2053">
      <c r="A2053" s="176" t="n">
        <v>46974</v>
      </c>
      <c r="B2053" s="177" t="n">
        <v>46974</v>
      </c>
      <c r="C2053" s="177" t="n">
        <v>1407</v>
      </c>
      <c r="D2053" s="177" t="n">
        <v>5</v>
      </c>
      <c r="E2053" s="178" t="inlineStr">
        <is>
          <t>1407/05/19</t>
        </is>
      </c>
      <c r="F2053" s="134" t="inlineStr">
        <is>
          <t>1407/05</t>
        </is>
      </c>
      <c r="G2053" s="61" t="inlineStr">
        <is>
          <t>مرداد</t>
        </is>
      </c>
      <c r="H2053" s="134" t="inlineStr">
        <is>
          <t>تابستان</t>
        </is>
      </c>
      <c r="I2053" s="134" t="inlineStr">
        <is>
          <t>چهارشنبه</t>
        </is>
      </c>
      <c r="J2053" s="134" t="inlineStr">
        <is>
          <t>بله</t>
        </is>
      </c>
    </row>
    <row r="2054">
      <c r="A2054" s="173" t="n">
        <v>46975</v>
      </c>
      <c r="B2054" s="174" t="n">
        <v>46975</v>
      </c>
      <c r="C2054" s="174" t="n">
        <v>1407</v>
      </c>
      <c r="D2054" s="174" t="n">
        <v>5</v>
      </c>
      <c r="E2054" s="175" t="inlineStr">
        <is>
          <t>1407/05/20</t>
        </is>
      </c>
      <c r="F2054" s="128" t="inlineStr">
        <is>
          <t>1407/05</t>
        </is>
      </c>
      <c r="G2054" s="58" t="inlineStr">
        <is>
          <t>مرداد</t>
        </is>
      </c>
      <c r="H2054" s="128" t="inlineStr">
        <is>
          <t>تابستان</t>
        </is>
      </c>
      <c r="I2054" s="128" t="inlineStr">
        <is>
          <t>پنجشنبه</t>
        </is>
      </c>
      <c r="J2054" s="128" t="inlineStr">
        <is>
          <t>بله</t>
        </is>
      </c>
    </row>
    <row r="2055">
      <c r="A2055" s="176" t="n">
        <v>46976</v>
      </c>
      <c r="B2055" s="177" t="n">
        <v>46976</v>
      </c>
      <c r="C2055" s="177" t="n">
        <v>1407</v>
      </c>
      <c r="D2055" s="177" t="n">
        <v>5</v>
      </c>
      <c r="E2055" s="178" t="inlineStr">
        <is>
          <t>1407/05/21</t>
        </is>
      </c>
      <c r="F2055" s="134" t="inlineStr">
        <is>
          <t>1407/05</t>
        </is>
      </c>
      <c r="G2055" s="61" t="inlineStr">
        <is>
          <t>مرداد</t>
        </is>
      </c>
      <c r="H2055" s="134" t="inlineStr">
        <is>
          <t>تابستان</t>
        </is>
      </c>
      <c r="I2055" s="134" t="inlineStr">
        <is>
          <t>جمعه</t>
        </is>
      </c>
      <c r="J2055" s="134" t="inlineStr">
        <is>
          <t>بله</t>
        </is>
      </c>
    </row>
    <row r="2056">
      <c r="A2056" s="173" t="n">
        <v>46977</v>
      </c>
      <c r="B2056" s="174" t="n">
        <v>46977</v>
      </c>
      <c r="C2056" s="174" t="n">
        <v>1407</v>
      </c>
      <c r="D2056" s="174" t="n">
        <v>5</v>
      </c>
      <c r="E2056" s="175" t="inlineStr">
        <is>
          <t>1407/05/22</t>
        </is>
      </c>
      <c r="F2056" s="128" t="inlineStr">
        <is>
          <t>1407/05</t>
        </is>
      </c>
      <c r="G2056" s="58" t="inlineStr">
        <is>
          <t>مرداد</t>
        </is>
      </c>
      <c r="H2056" s="128" t="inlineStr">
        <is>
          <t>تابستان</t>
        </is>
      </c>
      <c r="I2056" s="128" t="inlineStr">
        <is>
          <t>شنبه</t>
        </is>
      </c>
      <c r="J2056" s="128" t="inlineStr">
        <is>
          <t>خیر</t>
        </is>
      </c>
    </row>
    <row r="2057">
      <c r="A2057" s="176" t="n">
        <v>46978</v>
      </c>
      <c r="B2057" s="177" t="n">
        <v>46978</v>
      </c>
      <c r="C2057" s="177" t="n">
        <v>1407</v>
      </c>
      <c r="D2057" s="177" t="n">
        <v>5</v>
      </c>
      <c r="E2057" s="178" t="inlineStr">
        <is>
          <t>1407/05/23</t>
        </is>
      </c>
      <c r="F2057" s="134" t="inlineStr">
        <is>
          <t>1407/05</t>
        </is>
      </c>
      <c r="G2057" s="61" t="inlineStr">
        <is>
          <t>مرداد</t>
        </is>
      </c>
      <c r="H2057" s="134" t="inlineStr">
        <is>
          <t>تابستان</t>
        </is>
      </c>
      <c r="I2057" s="134" t="inlineStr">
        <is>
          <t>یکشنبه</t>
        </is>
      </c>
      <c r="J2057" s="134" t="inlineStr">
        <is>
          <t>خیر</t>
        </is>
      </c>
    </row>
    <row r="2058">
      <c r="A2058" s="173" t="n">
        <v>46979</v>
      </c>
      <c r="B2058" s="174" t="n">
        <v>46979</v>
      </c>
      <c r="C2058" s="174" t="n">
        <v>1407</v>
      </c>
      <c r="D2058" s="174" t="n">
        <v>5</v>
      </c>
      <c r="E2058" s="175" t="inlineStr">
        <is>
          <t>1407/05/24</t>
        </is>
      </c>
      <c r="F2058" s="128" t="inlineStr">
        <is>
          <t>1407/05</t>
        </is>
      </c>
      <c r="G2058" s="58" t="inlineStr">
        <is>
          <t>مرداد</t>
        </is>
      </c>
      <c r="H2058" s="128" t="inlineStr">
        <is>
          <t>تابستان</t>
        </is>
      </c>
      <c r="I2058" s="128" t="inlineStr">
        <is>
          <t>دوشنبه</t>
        </is>
      </c>
      <c r="J2058" s="128" t="inlineStr">
        <is>
          <t>بله</t>
        </is>
      </c>
    </row>
    <row r="2059">
      <c r="A2059" s="176" t="n">
        <v>46980</v>
      </c>
      <c r="B2059" s="177" t="n">
        <v>46980</v>
      </c>
      <c r="C2059" s="177" t="n">
        <v>1407</v>
      </c>
      <c r="D2059" s="177" t="n">
        <v>5</v>
      </c>
      <c r="E2059" s="178" t="inlineStr">
        <is>
          <t>1407/05/25</t>
        </is>
      </c>
      <c r="F2059" s="134" t="inlineStr">
        <is>
          <t>1407/05</t>
        </is>
      </c>
      <c r="G2059" s="61" t="inlineStr">
        <is>
          <t>مرداد</t>
        </is>
      </c>
      <c r="H2059" s="134" t="inlineStr">
        <is>
          <t>تابستان</t>
        </is>
      </c>
      <c r="I2059" s="134" t="inlineStr">
        <is>
          <t>سه‌شنبه</t>
        </is>
      </c>
      <c r="J2059" s="134" t="inlineStr">
        <is>
          <t>بله</t>
        </is>
      </c>
    </row>
    <row r="2060">
      <c r="A2060" s="173" t="n">
        <v>46981</v>
      </c>
      <c r="B2060" s="174" t="n">
        <v>46981</v>
      </c>
      <c r="C2060" s="174" t="n">
        <v>1407</v>
      </c>
      <c r="D2060" s="174" t="n">
        <v>5</v>
      </c>
      <c r="E2060" s="175" t="inlineStr">
        <is>
          <t>1407/05/26</t>
        </is>
      </c>
      <c r="F2060" s="128" t="inlineStr">
        <is>
          <t>1407/05</t>
        </is>
      </c>
      <c r="G2060" s="58" t="inlineStr">
        <is>
          <t>مرداد</t>
        </is>
      </c>
      <c r="H2060" s="128" t="inlineStr">
        <is>
          <t>تابستان</t>
        </is>
      </c>
      <c r="I2060" s="128" t="inlineStr">
        <is>
          <t>چهارشنبه</t>
        </is>
      </c>
      <c r="J2060" s="128" t="inlineStr">
        <is>
          <t>بله</t>
        </is>
      </c>
    </row>
    <row r="2061">
      <c r="A2061" s="176" t="n">
        <v>46982</v>
      </c>
      <c r="B2061" s="177" t="n">
        <v>46982</v>
      </c>
      <c r="C2061" s="177" t="n">
        <v>1407</v>
      </c>
      <c r="D2061" s="177" t="n">
        <v>5</v>
      </c>
      <c r="E2061" s="178" t="inlineStr">
        <is>
          <t>1407/05/27</t>
        </is>
      </c>
      <c r="F2061" s="134" t="inlineStr">
        <is>
          <t>1407/05</t>
        </is>
      </c>
      <c r="G2061" s="61" t="inlineStr">
        <is>
          <t>مرداد</t>
        </is>
      </c>
      <c r="H2061" s="134" t="inlineStr">
        <is>
          <t>تابستان</t>
        </is>
      </c>
      <c r="I2061" s="134" t="inlineStr">
        <is>
          <t>پنجشنبه</t>
        </is>
      </c>
      <c r="J2061" s="134" t="inlineStr">
        <is>
          <t>بله</t>
        </is>
      </c>
    </row>
    <row r="2062">
      <c r="A2062" s="173" t="n">
        <v>46983</v>
      </c>
      <c r="B2062" s="174" t="n">
        <v>46983</v>
      </c>
      <c r="C2062" s="174" t="n">
        <v>1407</v>
      </c>
      <c r="D2062" s="174" t="n">
        <v>5</v>
      </c>
      <c r="E2062" s="175" t="inlineStr">
        <is>
          <t>1407/05/28</t>
        </is>
      </c>
      <c r="F2062" s="128" t="inlineStr">
        <is>
          <t>1407/05</t>
        </is>
      </c>
      <c r="G2062" s="58" t="inlineStr">
        <is>
          <t>مرداد</t>
        </is>
      </c>
      <c r="H2062" s="128" t="inlineStr">
        <is>
          <t>تابستان</t>
        </is>
      </c>
      <c r="I2062" s="128" t="inlineStr">
        <is>
          <t>جمعه</t>
        </is>
      </c>
      <c r="J2062" s="128" t="inlineStr">
        <is>
          <t>بله</t>
        </is>
      </c>
    </row>
    <row r="2063">
      <c r="A2063" s="176" t="n">
        <v>46984</v>
      </c>
      <c r="B2063" s="177" t="n">
        <v>46984</v>
      </c>
      <c r="C2063" s="177" t="n">
        <v>1407</v>
      </c>
      <c r="D2063" s="177" t="n">
        <v>5</v>
      </c>
      <c r="E2063" s="178" t="inlineStr">
        <is>
          <t>1407/05/29</t>
        </is>
      </c>
      <c r="F2063" s="134" t="inlineStr">
        <is>
          <t>1407/05</t>
        </is>
      </c>
      <c r="G2063" s="61" t="inlineStr">
        <is>
          <t>مرداد</t>
        </is>
      </c>
      <c r="H2063" s="134" t="inlineStr">
        <is>
          <t>تابستان</t>
        </is>
      </c>
      <c r="I2063" s="134" t="inlineStr">
        <is>
          <t>شنبه</t>
        </is>
      </c>
      <c r="J2063" s="134" t="inlineStr">
        <is>
          <t>خیر</t>
        </is>
      </c>
    </row>
    <row r="2064">
      <c r="A2064" s="173" t="n">
        <v>46985</v>
      </c>
      <c r="B2064" s="174" t="n">
        <v>46985</v>
      </c>
      <c r="C2064" s="174" t="n">
        <v>1407</v>
      </c>
      <c r="D2064" s="174" t="n">
        <v>5</v>
      </c>
      <c r="E2064" s="175" t="inlineStr">
        <is>
          <t>1407/05/30</t>
        </is>
      </c>
      <c r="F2064" s="128" t="inlineStr">
        <is>
          <t>1407/05</t>
        </is>
      </c>
      <c r="G2064" s="58" t="inlineStr">
        <is>
          <t>مرداد</t>
        </is>
      </c>
      <c r="H2064" s="128" t="inlineStr">
        <is>
          <t>تابستان</t>
        </is>
      </c>
      <c r="I2064" s="128" t="inlineStr">
        <is>
          <t>یکشنبه</t>
        </is>
      </c>
      <c r="J2064" s="128" t="inlineStr">
        <is>
          <t>خیر</t>
        </is>
      </c>
    </row>
    <row r="2065">
      <c r="A2065" s="176" t="n">
        <v>46986</v>
      </c>
      <c r="B2065" s="177" t="n">
        <v>46986</v>
      </c>
      <c r="C2065" s="177" t="n">
        <v>1407</v>
      </c>
      <c r="D2065" s="177" t="n">
        <v>5</v>
      </c>
      <c r="E2065" s="178" t="inlineStr">
        <is>
          <t>1407/05/31</t>
        </is>
      </c>
      <c r="F2065" s="134" t="inlineStr">
        <is>
          <t>1407/05</t>
        </is>
      </c>
      <c r="G2065" s="61" t="inlineStr">
        <is>
          <t>مرداد</t>
        </is>
      </c>
      <c r="H2065" s="134" t="inlineStr">
        <is>
          <t>تابستان</t>
        </is>
      </c>
      <c r="I2065" s="134" t="inlineStr">
        <is>
          <t>دوشنبه</t>
        </is>
      </c>
      <c r="J2065" s="134" t="inlineStr">
        <is>
          <t>بله</t>
        </is>
      </c>
    </row>
    <row r="2066">
      <c r="A2066" s="173" t="n">
        <v>46987</v>
      </c>
      <c r="B2066" s="174" t="n">
        <v>46987</v>
      </c>
      <c r="C2066" s="174" t="n">
        <v>1407</v>
      </c>
      <c r="D2066" s="174" t="n">
        <v>6</v>
      </c>
      <c r="E2066" s="175" t="inlineStr">
        <is>
          <t>1407/06/01</t>
        </is>
      </c>
      <c r="F2066" s="128" t="inlineStr">
        <is>
          <t>1407/06</t>
        </is>
      </c>
      <c r="G2066" s="58" t="inlineStr">
        <is>
          <t>شهریور</t>
        </is>
      </c>
      <c r="H2066" s="128" t="inlineStr">
        <is>
          <t>تابستان</t>
        </is>
      </c>
      <c r="I2066" s="128" t="inlineStr">
        <is>
          <t>سه‌شنبه</t>
        </is>
      </c>
      <c r="J2066" s="128" t="inlineStr">
        <is>
          <t>بله</t>
        </is>
      </c>
    </row>
    <row r="2067">
      <c r="A2067" s="176" t="n">
        <v>46988</v>
      </c>
      <c r="B2067" s="177" t="n">
        <v>46988</v>
      </c>
      <c r="C2067" s="177" t="n">
        <v>1407</v>
      </c>
      <c r="D2067" s="177" t="n">
        <v>6</v>
      </c>
      <c r="E2067" s="178" t="inlineStr">
        <is>
          <t>1407/06/02</t>
        </is>
      </c>
      <c r="F2067" s="134" t="inlineStr">
        <is>
          <t>1407/06</t>
        </is>
      </c>
      <c r="G2067" s="61" t="inlineStr">
        <is>
          <t>شهریور</t>
        </is>
      </c>
      <c r="H2067" s="134" t="inlineStr">
        <is>
          <t>تابستان</t>
        </is>
      </c>
      <c r="I2067" s="134" t="inlineStr">
        <is>
          <t>چهارشنبه</t>
        </is>
      </c>
      <c r="J2067" s="134" t="inlineStr">
        <is>
          <t>بله</t>
        </is>
      </c>
    </row>
    <row r="2068">
      <c r="A2068" s="173" t="n">
        <v>46989</v>
      </c>
      <c r="B2068" s="174" t="n">
        <v>46989</v>
      </c>
      <c r="C2068" s="174" t="n">
        <v>1407</v>
      </c>
      <c r="D2068" s="174" t="n">
        <v>6</v>
      </c>
      <c r="E2068" s="175" t="inlineStr">
        <is>
          <t>1407/06/03</t>
        </is>
      </c>
      <c r="F2068" s="128" t="inlineStr">
        <is>
          <t>1407/06</t>
        </is>
      </c>
      <c r="G2068" s="58" t="inlineStr">
        <is>
          <t>شهریور</t>
        </is>
      </c>
      <c r="H2068" s="128" t="inlineStr">
        <is>
          <t>تابستان</t>
        </is>
      </c>
      <c r="I2068" s="128" t="inlineStr">
        <is>
          <t>پنجشنبه</t>
        </is>
      </c>
      <c r="J2068" s="128" t="inlineStr">
        <is>
          <t>بله</t>
        </is>
      </c>
    </row>
    <row r="2069">
      <c r="A2069" s="176" t="n">
        <v>46990</v>
      </c>
      <c r="B2069" s="177" t="n">
        <v>46990</v>
      </c>
      <c r="C2069" s="177" t="n">
        <v>1407</v>
      </c>
      <c r="D2069" s="177" t="n">
        <v>6</v>
      </c>
      <c r="E2069" s="178" t="inlineStr">
        <is>
          <t>1407/06/04</t>
        </is>
      </c>
      <c r="F2069" s="134" t="inlineStr">
        <is>
          <t>1407/06</t>
        </is>
      </c>
      <c r="G2069" s="61" t="inlineStr">
        <is>
          <t>شهریور</t>
        </is>
      </c>
      <c r="H2069" s="134" t="inlineStr">
        <is>
          <t>تابستان</t>
        </is>
      </c>
      <c r="I2069" s="134" t="inlineStr">
        <is>
          <t>جمعه</t>
        </is>
      </c>
      <c r="J2069" s="134" t="inlineStr">
        <is>
          <t>بله</t>
        </is>
      </c>
    </row>
    <row r="2070">
      <c r="A2070" s="173" t="n">
        <v>46991</v>
      </c>
      <c r="B2070" s="174" t="n">
        <v>46991</v>
      </c>
      <c r="C2070" s="174" t="n">
        <v>1407</v>
      </c>
      <c r="D2070" s="174" t="n">
        <v>6</v>
      </c>
      <c r="E2070" s="175" t="inlineStr">
        <is>
          <t>1407/06/05</t>
        </is>
      </c>
      <c r="F2070" s="128" t="inlineStr">
        <is>
          <t>1407/06</t>
        </is>
      </c>
      <c r="G2070" s="58" t="inlineStr">
        <is>
          <t>شهریور</t>
        </is>
      </c>
      <c r="H2070" s="128" t="inlineStr">
        <is>
          <t>تابستان</t>
        </is>
      </c>
      <c r="I2070" s="128" t="inlineStr">
        <is>
          <t>شنبه</t>
        </is>
      </c>
      <c r="J2070" s="128" t="inlineStr">
        <is>
          <t>خیر</t>
        </is>
      </c>
    </row>
    <row r="2071">
      <c r="A2071" s="176" t="n">
        <v>46992</v>
      </c>
      <c r="B2071" s="177" t="n">
        <v>46992</v>
      </c>
      <c r="C2071" s="177" t="n">
        <v>1407</v>
      </c>
      <c r="D2071" s="177" t="n">
        <v>6</v>
      </c>
      <c r="E2071" s="178" t="inlineStr">
        <is>
          <t>1407/06/06</t>
        </is>
      </c>
      <c r="F2071" s="134" t="inlineStr">
        <is>
          <t>1407/06</t>
        </is>
      </c>
      <c r="G2071" s="61" t="inlineStr">
        <is>
          <t>شهریور</t>
        </is>
      </c>
      <c r="H2071" s="134" t="inlineStr">
        <is>
          <t>تابستان</t>
        </is>
      </c>
      <c r="I2071" s="134" t="inlineStr">
        <is>
          <t>یکشنبه</t>
        </is>
      </c>
      <c r="J2071" s="134" t="inlineStr">
        <is>
          <t>خیر</t>
        </is>
      </c>
    </row>
    <row r="2072">
      <c r="A2072" s="173" t="n">
        <v>46993</v>
      </c>
      <c r="B2072" s="174" t="n">
        <v>46993</v>
      </c>
      <c r="C2072" s="174" t="n">
        <v>1407</v>
      </c>
      <c r="D2072" s="174" t="n">
        <v>6</v>
      </c>
      <c r="E2072" s="175" t="inlineStr">
        <is>
          <t>1407/06/07</t>
        </is>
      </c>
      <c r="F2072" s="128" t="inlineStr">
        <is>
          <t>1407/06</t>
        </is>
      </c>
      <c r="G2072" s="58" t="inlineStr">
        <is>
          <t>شهریور</t>
        </is>
      </c>
      <c r="H2072" s="128" t="inlineStr">
        <is>
          <t>تابستان</t>
        </is>
      </c>
      <c r="I2072" s="128" t="inlineStr">
        <is>
          <t>دوشنبه</t>
        </is>
      </c>
      <c r="J2072" s="128" t="inlineStr">
        <is>
          <t>بله</t>
        </is>
      </c>
    </row>
    <row r="2073">
      <c r="A2073" s="176" t="n">
        <v>46994</v>
      </c>
      <c r="B2073" s="177" t="n">
        <v>46994</v>
      </c>
      <c r="C2073" s="177" t="n">
        <v>1407</v>
      </c>
      <c r="D2073" s="177" t="n">
        <v>6</v>
      </c>
      <c r="E2073" s="178" t="inlineStr">
        <is>
          <t>1407/06/08</t>
        </is>
      </c>
      <c r="F2073" s="134" t="inlineStr">
        <is>
          <t>1407/06</t>
        </is>
      </c>
      <c r="G2073" s="61" t="inlineStr">
        <is>
          <t>شهریور</t>
        </is>
      </c>
      <c r="H2073" s="134" t="inlineStr">
        <is>
          <t>تابستان</t>
        </is>
      </c>
      <c r="I2073" s="134" t="inlineStr">
        <is>
          <t>سه‌شنبه</t>
        </is>
      </c>
      <c r="J2073" s="134" t="inlineStr">
        <is>
          <t>بله</t>
        </is>
      </c>
    </row>
    <row r="2074">
      <c r="A2074" s="173" t="n">
        <v>46995</v>
      </c>
      <c r="B2074" s="174" t="n">
        <v>46995</v>
      </c>
      <c r="C2074" s="174" t="n">
        <v>1407</v>
      </c>
      <c r="D2074" s="174" t="n">
        <v>6</v>
      </c>
      <c r="E2074" s="175" t="inlineStr">
        <is>
          <t>1407/06/09</t>
        </is>
      </c>
      <c r="F2074" s="128" t="inlineStr">
        <is>
          <t>1407/06</t>
        </is>
      </c>
      <c r="G2074" s="58" t="inlineStr">
        <is>
          <t>شهریور</t>
        </is>
      </c>
      <c r="H2074" s="128" t="inlineStr">
        <is>
          <t>تابستان</t>
        </is>
      </c>
      <c r="I2074" s="128" t="inlineStr">
        <is>
          <t>چهارشنبه</t>
        </is>
      </c>
      <c r="J2074" s="128" t="inlineStr">
        <is>
          <t>بله</t>
        </is>
      </c>
    </row>
    <row r="2075">
      <c r="A2075" s="176" t="n">
        <v>46996</v>
      </c>
      <c r="B2075" s="177" t="n">
        <v>46996</v>
      </c>
      <c r="C2075" s="177" t="n">
        <v>1407</v>
      </c>
      <c r="D2075" s="177" t="n">
        <v>6</v>
      </c>
      <c r="E2075" s="178" t="inlineStr">
        <is>
          <t>1407/06/10</t>
        </is>
      </c>
      <c r="F2075" s="134" t="inlineStr">
        <is>
          <t>1407/06</t>
        </is>
      </c>
      <c r="G2075" s="61" t="inlineStr">
        <is>
          <t>شهریور</t>
        </is>
      </c>
      <c r="H2075" s="134" t="inlineStr">
        <is>
          <t>تابستان</t>
        </is>
      </c>
      <c r="I2075" s="134" t="inlineStr">
        <is>
          <t>پنجشنبه</t>
        </is>
      </c>
      <c r="J2075" s="134" t="inlineStr">
        <is>
          <t>بله</t>
        </is>
      </c>
    </row>
    <row r="2076">
      <c r="A2076" s="173" t="n">
        <v>46997</v>
      </c>
      <c r="B2076" s="174" t="n">
        <v>46997</v>
      </c>
      <c r="C2076" s="174" t="n">
        <v>1407</v>
      </c>
      <c r="D2076" s="174" t="n">
        <v>6</v>
      </c>
      <c r="E2076" s="175" t="inlineStr">
        <is>
          <t>1407/06/11</t>
        </is>
      </c>
      <c r="F2076" s="128" t="inlineStr">
        <is>
          <t>1407/06</t>
        </is>
      </c>
      <c r="G2076" s="58" t="inlineStr">
        <is>
          <t>شهریور</t>
        </is>
      </c>
      <c r="H2076" s="128" t="inlineStr">
        <is>
          <t>تابستان</t>
        </is>
      </c>
      <c r="I2076" s="128" t="inlineStr">
        <is>
          <t>جمعه</t>
        </is>
      </c>
      <c r="J2076" s="128" t="inlineStr">
        <is>
          <t>بله</t>
        </is>
      </c>
    </row>
    <row r="2077">
      <c r="A2077" s="176" t="n">
        <v>46998</v>
      </c>
      <c r="B2077" s="177" t="n">
        <v>46998</v>
      </c>
      <c r="C2077" s="177" t="n">
        <v>1407</v>
      </c>
      <c r="D2077" s="177" t="n">
        <v>6</v>
      </c>
      <c r="E2077" s="178" t="inlineStr">
        <is>
          <t>1407/06/12</t>
        </is>
      </c>
      <c r="F2077" s="134" t="inlineStr">
        <is>
          <t>1407/06</t>
        </is>
      </c>
      <c r="G2077" s="61" t="inlineStr">
        <is>
          <t>شهریور</t>
        </is>
      </c>
      <c r="H2077" s="134" t="inlineStr">
        <is>
          <t>تابستان</t>
        </is>
      </c>
      <c r="I2077" s="134" t="inlineStr">
        <is>
          <t>شنبه</t>
        </is>
      </c>
      <c r="J2077" s="134" t="inlineStr">
        <is>
          <t>خیر</t>
        </is>
      </c>
    </row>
    <row r="2078">
      <c r="A2078" s="173" t="n">
        <v>46999</v>
      </c>
      <c r="B2078" s="174" t="n">
        <v>46999</v>
      </c>
      <c r="C2078" s="174" t="n">
        <v>1407</v>
      </c>
      <c r="D2078" s="174" t="n">
        <v>6</v>
      </c>
      <c r="E2078" s="175" t="inlineStr">
        <is>
          <t>1407/06/13</t>
        </is>
      </c>
      <c r="F2078" s="128" t="inlineStr">
        <is>
          <t>1407/06</t>
        </is>
      </c>
      <c r="G2078" s="58" t="inlineStr">
        <is>
          <t>شهریور</t>
        </is>
      </c>
      <c r="H2078" s="128" t="inlineStr">
        <is>
          <t>تابستان</t>
        </is>
      </c>
      <c r="I2078" s="128" t="inlineStr">
        <is>
          <t>یکشنبه</t>
        </is>
      </c>
      <c r="J2078" s="128" t="inlineStr">
        <is>
          <t>خیر</t>
        </is>
      </c>
    </row>
    <row r="2079">
      <c r="A2079" s="176" t="n">
        <v>47000</v>
      </c>
      <c r="B2079" s="177" t="n">
        <v>47000</v>
      </c>
      <c r="C2079" s="177" t="n">
        <v>1407</v>
      </c>
      <c r="D2079" s="177" t="n">
        <v>6</v>
      </c>
      <c r="E2079" s="178" t="inlineStr">
        <is>
          <t>1407/06/14</t>
        </is>
      </c>
      <c r="F2079" s="134" t="inlineStr">
        <is>
          <t>1407/06</t>
        </is>
      </c>
      <c r="G2079" s="61" t="inlineStr">
        <is>
          <t>شهریور</t>
        </is>
      </c>
      <c r="H2079" s="134" t="inlineStr">
        <is>
          <t>تابستان</t>
        </is>
      </c>
      <c r="I2079" s="134" t="inlineStr">
        <is>
          <t>دوشنبه</t>
        </is>
      </c>
      <c r="J2079" s="134" t="inlineStr">
        <is>
          <t>بله</t>
        </is>
      </c>
    </row>
    <row r="2080">
      <c r="A2080" s="173" t="n">
        <v>47001</v>
      </c>
      <c r="B2080" s="174" t="n">
        <v>47001</v>
      </c>
      <c r="C2080" s="174" t="n">
        <v>1407</v>
      </c>
      <c r="D2080" s="174" t="n">
        <v>6</v>
      </c>
      <c r="E2080" s="175" t="inlineStr">
        <is>
          <t>1407/06/15</t>
        </is>
      </c>
      <c r="F2080" s="128" t="inlineStr">
        <is>
          <t>1407/06</t>
        </is>
      </c>
      <c r="G2080" s="58" t="inlineStr">
        <is>
          <t>شهریور</t>
        </is>
      </c>
      <c r="H2080" s="128" t="inlineStr">
        <is>
          <t>تابستان</t>
        </is>
      </c>
      <c r="I2080" s="128" t="inlineStr">
        <is>
          <t>سه‌شنبه</t>
        </is>
      </c>
      <c r="J2080" s="128" t="inlineStr">
        <is>
          <t>بله</t>
        </is>
      </c>
    </row>
    <row r="2081">
      <c r="A2081" s="176" t="n">
        <v>47002</v>
      </c>
      <c r="B2081" s="177" t="n">
        <v>47002</v>
      </c>
      <c r="C2081" s="177" t="n">
        <v>1407</v>
      </c>
      <c r="D2081" s="177" t="n">
        <v>6</v>
      </c>
      <c r="E2081" s="178" t="inlineStr">
        <is>
          <t>1407/06/16</t>
        </is>
      </c>
      <c r="F2081" s="134" t="inlineStr">
        <is>
          <t>1407/06</t>
        </is>
      </c>
      <c r="G2081" s="61" t="inlineStr">
        <is>
          <t>شهریور</t>
        </is>
      </c>
      <c r="H2081" s="134" t="inlineStr">
        <is>
          <t>تابستان</t>
        </is>
      </c>
      <c r="I2081" s="134" t="inlineStr">
        <is>
          <t>چهارشنبه</t>
        </is>
      </c>
      <c r="J2081" s="134" t="inlineStr">
        <is>
          <t>بله</t>
        </is>
      </c>
    </row>
    <row r="2082">
      <c r="A2082" s="173" t="n">
        <v>47003</v>
      </c>
      <c r="B2082" s="174" t="n">
        <v>47003</v>
      </c>
      <c r="C2082" s="174" t="n">
        <v>1407</v>
      </c>
      <c r="D2082" s="174" t="n">
        <v>6</v>
      </c>
      <c r="E2082" s="175" t="inlineStr">
        <is>
          <t>1407/06/17</t>
        </is>
      </c>
      <c r="F2082" s="128" t="inlineStr">
        <is>
          <t>1407/06</t>
        </is>
      </c>
      <c r="G2082" s="58" t="inlineStr">
        <is>
          <t>شهریور</t>
        </is>
      </c>
      <c r="H2082" s="128" t="inlineStr">
        <is>
          <t>تابستان</t>
        </is>
      </c>
      <c r="I2082" s="128" t="inlineStr">
        <is>
          <t>پنجشنبه</t>
        </is>
      </c>
      <c r="J2082" s="128" t="inlineStr">
        <is>
          <t>بله</t>
        </is>
      </c>
    </row>
    <row r="2083">
      <c r="A2083" s="176" t="n">
        <v>47004</v>
      </c>
      <c r="B2083" s="177" t="n">
        <v>47004</v>
      </c>
      <c r="C2083" s="177" t="n">
        <v>1407</v>
      </c>
      <c r="D2083" s="177" t="n">
        <v>6</v>
      </c>
      <c r="E2083" s="178" t="inlineStr">
        <is>
          <t>1407/06/18</t>
        </is>
      </c>
      <c r="F2083" s="134" t="inlineStr">
        <is>
          <t>1407/06</t>
        </is>
      </c>
      <c r="G2083" s="61" t="inlineStr">
        <is>
          <t>شهریور</t>
        </is>
      </c>
      <c r="H2083" s="134" t="inlineStr">
        <is>
          <t>تابستان</t>
        </is>
      </c>
      <c r="I2083" s="134" t="inlineStr">
        <is>
          <t>جمعه</t>
        </is>
      </c>
      <c r="J2083" s="134" t="inlineStr">
        <is>
          <t>بله</t>
        </is>
      </c>
    </row>
    <row r="2084">
      <c r="A2084" s="173" t="n">
        <v>47005</v>
      </c>
      <c r="B2084" s="174" t="n">
        <v>47005</v>
      </c>
      <c r="C2084" s="174" t="n">
        <v>1407</v>
      </c>
      <c r="D2084" s="174" t="n">
        <v>6</v>
      </c>
      <c r="E2084" s="175" t="inlineStr">
        <is>
          <t>1407/06/19</t>
        </is>
      </c>
      <c r="F2084" s="128" t="inlineStr">
        <is>
          <t>1407/06</t>
        </is>
      </c>
      <c r="G2084" s="58" t="inlineStr">
        <is>
          <t>شهریور</t>
        </is>
      </c>
      <c r="H2084" s="128" t="inlineStr">
        <is>
          <t>تابستان</t>
        </is>
      </c>
      <c r="I2084" s="128" t="inlineStr">
        <is>
          <t>شنبه</t>
        </is>
      </c>
      <c r="J2084" s="128" t="inlineStr">
        <is>
          <t>خیر</t>
        </is>
      </c>
    </row>
    <row r="2085">
      <c r="A2085" s="176" t="n">
        <v>47006</v>
      </c>
      <c r="B2085" s="177" t="n">
        <v>47006</v>
      </c>
      <c r="C2085" s="177" t="n">
        <v>1407</v>
      </c>
      <c r="D2085" s="177" t="n">
        <v>6</v>
      </c>
      <c r="E2085" s="178" t="inlineStr">
        <is>
          <t>1407/06/20</t>
        </is>
      </c>
      <c r="F2085" s="134" t="inlineStr">
        <is>
          <t>1407/06</t>
        </is>
      </c>
      <c r="G2085" s="61" t="inlineStr">
        <is>
          <t>شهریور</t>
        </is>
      </c>
      <c r="H2085" s="134" t="inlineStr">
        <is>
          <t>تابستان</t>
        </is>
      </c>
      <c r="I2085" s="134" t="inlineStr">
        <is>
          <t>یکشنبه</t>
        </is>
      </c>
      <c r="J2085" s="134" t="inlineStr">
        <is>
          <t>خیر</t>
        </is>
      </c>
    </row>
    <row r="2086">
      <c r="A2086" s="173" t="n">
        <v>47007</v>
      </c>
      <c r="B2086" s="174" t="n">
        <v>47007</v>
      </c>
      <c r="C2086" s="174" t="n">
        <v>1407</v>
      </c>
      <c r="D2086" s="174" t="n">
        <v>6</v>
      </c>
      <c r="E2086" s="175" t="inlineStr">
        <is>
          <t>1407/06/21</t>
        </is>
      </c>
      <c r="F2086" s="128" t="inlineStr">
        <is>
          <t>1407/06</t>
        </is>
      </c>
      <c r="G2086" s="58" t="inlineStr">
        <is>
          <t>شهریور</t>
        </is>
      </c>
      <c r="H2086" s="128" t="inlineStr">
        <is>
          <t>تابستان</t>
        </is>
      </c>
      <c r="I2086" s="128" t="inlineStr">
        <is>
          <t>دوشنبه</t>
        </is>
      </c>
      <c r="J2086" s="128" t="inlineStr">
        <is>
          <t>بله</t>
        </is>
      </c>
    </row>
    <row r="2087">
      <c r="A2087" s="176" t="n">
        <v>47008</v>
      </c>
      <c r="B2087" s="177" t="n">
        <v>47008</v>
      </c>
      <c r="C2087" s="177" t="n">
        <v>1407</v>
      </c>
      <c r="D2087" s="177" t="n">
        <v>6</v>
      </c>
      <c r="E2087" s="178" t="inlineStr">
        <is>
          <t>1407/06/22</t>
        </is>
      </c>
      <c r="F2087" s="134" t="inlineStr">
        <is>
          <t>1407/06</t>
        </is>
      </c>
      <c r="G2087" s="61" t="inlineStr">
        <is>
          <t>شهریور</t>
        </is>
      </c>
      <c r="H2087" s="134" t="inlineStr">
        <is>
          <t>تابستان</t>
        </is>
      </c>
      <c r="I2087" s="134" t="inlineStr">
        <is>
          <t>سه‌شنبه</t>
        </is>
      </c>
      <c r="J2087" s="134" t="inlineStr">
        <is>
          <t>بله</t>
        </is>
      </c>
    </row>
    <row r="2088">
      <c r="A2088" s="173" t="n">
        <v>47009</v>
      </c>
      <c r="B2088" s="174" t="n">
        <v>47009</v>
      </c>
      <c r="C2088" s="174" t="n">
        <v>1407</v>
      </c>
      <c r="D2088" s="174" t="n">
        <v>6</v>
      </c>
      <c r="E2088" s="175" t="inlineStr">
        <is>
          <t>1407/06/23</t>
        </is>
      </c>
      <c r="F2088" s="128" t="inlineStr">
        <is>
          <t>1407/06</t>
        </is>
      </c>
      <c r="G2088" s="58" t="inlineStr">
        <is>
          <t>شهریور</t>
        </is>
      </c>
      <c r="H2088" s="128" t="inlineStr">
        <is>
          <t>تابستان</t>
        </is>
      </c>
      <c r="I2088" s="128" t="inlineStr">
        <is>
          <t>چهارشنبه</t>
        </is>
      </c>
      <c r="J2088" s="128" t="inlineStr">
        <is>
          <t>بله</t>
        </is>
      </c>
    </row>
    <row r="2089">
      <c r="A2089" s="176" t="n">
        <v>47010</v>
      </c>
      <c r="B2089" s="177" t="n">
        <v>47010</v>
      </c>
      <c r="C2089" s="177" t="n">
        <v>1407</v>
      </c>
      <c r="D2089" s="177" t="n">
        <v>6</v>
      </c>
      <c r="E2089" s="178" t="inlineStr">
        <is>
          <t>1407/06/24</t>
        </is>
      </c>
      <c r="F2089" s="134" t="inlineStr">
        <is>
          <t>1407/06</t>
        </is>
      </c>
      <c r="G2089" s="61" t="inlineStr">
        <is>
          <t>شهریور</t>
        </is>
      </c>
      <c r="H2089" s="134" t="inlineStr">
        <is>
          <t>تابستان</t>
        </is>
      </c>
      <c r="I2089" s="134" t="inlineStr">
        <is>
          <t>پنجشنبه</t>
        </is>
      </c>
      <c r="J2089" s="134" t="inlineStr">
        <is>
          <t>بله</t>
        </is>
      </c>
    </row>
    <row r="2090">
      <c r="A2090" s="173" t="n">
        <v>47011</v>
      </c>
      <c r="B2090" s="174" t="n">
        <v>47011</v>
      </c>
      <c r="C2090" s="174" t="n">
        <v>1407</v>
      </c>
      <c r="D2090" s="174" t="n">
        <v>6</v>
      </c>
      <c r="E2090" s="175" t="inlineStr">
        <is>
          <t>1407/06/25</t>
        </is>
      </c>
      <c r="F2090" s="128" t="inlineStr">
        <is>
          <t>1407/06</t>
        </is>
      </c>
      <c r="G2090" s="58" t="inlineStr">
        <is>
          <t>شهریور</t>
        </is>
      </c>
      <c r="H2090" s="128" t="inlineStr">
        <is>
          <t>تابستان</t>
        </is>
      </c>
      <c r="I2090" s="128" t="inlineStr">
        <is>
          <t>جمعه</t>
        </is>
      </c>
      <c r="J2090" s="128" t="inlineStr">
        <is>
          <t>بله</t>
        </is>
      </c>
    </row>
    <row r="2091">
      <c r="A2091" s="176" t="n">
        <v>47012</v>
      </c>
      <c r="B2091" s="177" t="n">
        <v>47012</v>
      </c>
      <c r="C2091" s="177" t="n">
        <v>1407</v>
      </c>
      <c r="D2091" s="177" t="n">
        <v>6</v>
      </c>
      <c r="E2091" s="178" t="inlineStr">
        <is>
          <t>1407/06/26</t>
        </is>
      </c>
      <c r="F2091" s="134" t="inlineStr">
        <is>
          <t>1407/06</t>
        </is>
      </c>
      <c r="G2091" s="61" t="inlineStr">
        <is>
          <t>شهریور</t>
        </is>
      </c>
      <c r="H2091" s="134" t="inlineStr">
        <is>
          <t>تابستان</t>
        </is>
      </c>
      <c r="I2091" s="134" t="inlineStr">
        <is>
          <t>شنبه</t>
        </is>
      </c>
      <c r="J2091" s="134" t="inlineStr">
        <is>
          <t>خیر</t>
        </is>
      </c>
    </row>
    <row r="2092">
      <c r="A2092" s="173" t="n">
        <v>47013</v>
      </c>
      <c r="B2092" s="174" t="n">
        <v>47013</v>
      </c>
      <c r="C2092" s="174" t="n">
        <v>1407</v>
      </c>
      <c r="D2092" s="174" t="n">
        <v>6</v>
      </c>
      <c r="E2092" s="175" t="inlineStr">
        <is>
          <t>1407/06/27</t>
        </is>
      </c>
      <c r="F2092" s="128" t="inlineStr">
        <is>
          <t>1407/06</t>
        </is>
      </c>
      <c r="G2092" s="58" t="inlineStr">
        <is>
          <t>شهریور</t>
        </is>
      </c>
      <c r="H2092" s="128" t="inlineStr">
        <is>
          <t>تابستان</t>
        </is>
      </c>
      <c r="I2092" s="128" t="inlineStr">
        <is>
          <t>یکشنبه</t>
        </is>
      </c>
      <c r="J2092" s="128" t="inlineStr">
        <is>
          <t>خیر</t>
        </is>
      </c>
    </row>
    <row r="2093">
      <c r="A2093" s="176" t="n">
        <v>47014</v>
      </c>
      <c r="B2093" s="177" t="n">
        <v>47014</v>
      </c>
      <c r="C2093" s="177" t="n">
        <v>1407</v>
      </c>
      <c r="D2093" s="177" t="n">
        <v>6</v>
      </c>
      <c r="E2093" s="178" t="inlineStr">
        <is>
          <t>1407/06/28</t>
        </is>
      </c>
      <c r="F2093" s="134" t="inlineStr">
        <is>
          <t>1407/06</t>
        </is>
      </c>
      <c r="G2093" s="61" t="inlineStr">
        <is>
          <t>شهریور</t>
        </is>
      </c>
      <c r="H2093" s="134" t="inlineStr">
        <is>
          <t>تابستان</t>
        </is>
      </c>
      <c r="I2093" s="134" t="inlineStr">
        <is>
          <t>دوشنبه</t>
        </is>
      </c>
      <c r="J2093" s="134" t="inlineStr">
        <is>
          <t>بله</t>
        </is>
      </c>
    </row>
    <row r="2094">
      <c r="A2094" s="173" t="n">
        <v>47015</v>
      </c>
      <c r="B2094" s="174" t="n">
        <v>47015</v>
      </c>
      <c r="C2094" s="174" t="n">
        <v>1407</v>
      </c>
      <c r="D2094" s="174" t="n">
        <v>6</v>
      </c>
      <c r="E2094" s="175" t="inlineStr">
        <is>
          <t>1407/06/29</t>
        </is>
      </c>
      <c r="F2094" s="128" t="inlineStr">
        <is>
          <t>1407/06</t>
        </is>
      </c>
      <c r="G2094" s="58" t="inlineStr">
        <is>
          <t>شهریور</t>
        </is>
      </c>
      <c r="H2094" s="128" t="inlineStr">
        <is>
          <t>تابستان</t>
        </is>
      </c>
      <c r="I2094" s="128" t="inlineStr">
        <is>
          <t>سه‌شنبه</t>
        </is>
      </c>
      <c r="J2094" s="128" t="inlineStr">
        <is>
          <t>بله</t>
        </is>
      </c>
    </row>
    <row r="2095">
      <c r="A2095" s="176" t="n">
        <v>47016</v>
      </c>
      <c r="B2095" s="177" t="n">
        <v>47016</v>
      </c>
      <c r="C2095" s="177" t="n">
        <v>1407</v>
      </c>
      <c r="D2095" s="177" t="n">
        <v>6</v>
      </c>
      <c r="E2095" s="178" t="inlineStr">
        <is>
          <t>1407/06/30</t>
        </is>
      </c>
      <c r="F2095" s="134" t="inlineStr">
        <is>
          <t>1407/06</t>
        </is>
      </c>
      <c r="G2095" s="61" t="inlineStr">
        <is>
          <t>شهریور</t>
        </is>
      </c>
      <c r="H2095" s="134" t="inlineStr">
        <is>
          <t>تابستان</t>
        </is>
      </c>
      <c r="I2095" s="134" t="inlineStr">
        <is>
          <t>چهارشنبه</t>
        </is>
      </c>
      <c r="J2095" s="134" t="inlineStr">
        <is>
          <t>بله</t>
        </is>
      </c>
    </row>
    <row r="2096">
      <c r="A2096" s="173" t="n">
        <v>47017</v>
      </c>
      <c r="B2096" s="174" t="n">
        <v>47017</v>
      </c>
      <c r="C2096" s="174" t="n">
        <v>1407</v>
      </c>
      <c r="D2096" s="174" t="n">
        <v>6</v>
      </c>
      <c r="E2096" s="175" t="inlineStr">
        <is>
          <t>1407/06/31</t>
        </is>
      </c>
      <c r="F2096" s="128" t="inlineStr">
        <is>
          <t>1407/06</t>
        </is>
      </c>
      <c r="G2096" s="58" t="inlineStr">
        <is>
          <t>شهریور</t>
        </is>
      </c>
      <c r="H2096" s="128" t="inlineStr">
        <is>
          <t>تابستان</t>
        </is>
      </c>
      <c r="I2096" s="128" t="inlineStr">
        <is>
          <t>پنجشنبه</t>
        </is>
      </c>
      <c r="J2096" s="128" t="inlineStr">
        <is>
          <t>بله</t>
        </is>
      </c>
    </row>
    <row r="2097">
      <c r="A2097" s="176" t="n">
        <v>47018</v>
      </c>
      <c r="B2097" s="177" t="n">
        <v>47018</v>
      </c>
      <c r="C2097" s="177" t="n">
        <v>1407</v>
      </c>
      <c r="D2097" s="177" t="n">
        <v>7</v>
      </c>
      <c r="E2097" s="178" t="inlineStr">
        <is>
          <t>1407/07/01</t>
        </is>
      </c>
      <c r="F2097" s="134" t="inlineStr">
        <is>
          <t>1407/07</t>
        </is>
      </c>
      <c r="G2097" s="61" t="inlineStr">
        <is>
          <t>مهر</t>
        </is>
      </c>
      <c r="H2097" s="134" t="inlineStr">
        <is>
          <t>پاییز</t>
        </is>
      </c>
      <c r="I2097" s="134" t="inlineStr">
        <is>
          <t>جمعه</t>
        </is>
      </c>
      <c r="J2097" s="134" t="inlineStr">
        <is>
          <t>بله</t>
        </is>
      </c>
    </row>
    <row r="2098">
      <c r="A2098" s="173" t="n">
        <v>47019</v>
      </c>
      <c r="B2098" s="174" t="n">
        <v>47019</v>
      </c>
      <c r="C2098" s="174" t="n">
        <v>1407</v>
      </c>
      <c r="D2098" s="174" t="n">
        <v>7</v>
      </c>
      <c r="E2098" s="175" t="inlineStr">
        <is>
          <t>1407/07/02</t>
        </is>
      </c>
      <c r="F2098" s="128" t="inlineStr">
        <is>
          <t>1407/07</t>
        </is>
      </c>
      <c r="G2098" s="58" t="inlineStr">
        <is>
          <t>مهر</t>
        </is>
      </c>
      <c r="H2098" s="128" t="inlineStr">
        <is>
          <t>پاییز</t>
        </is>
      </c>
      <c r="I2098" s="128" t="inlineStr">
        <is>
          <t>شنبه</t>
        </is>
      </c>
      <c r="J2098" s="128" t="inlineStr">
        <is>
          <t>خیر</t>
        </is>
      </c>
    </row>
    <row r="2099">
      <c r="A2099" s="176" t="n">
        <v>47020</v>
      </c>
      <c r="B2099" s="177" t="n">
        <v>47020</v>
      </c>
      <c r="C2099" s="177" t="n">
        <v>1407</v>
      </c>
      <c r="D2099" s="177" t="n">
        <v>7</v>
      </c>
      <c r="E2099" s="178" t="inlineStr">
        <is>
          <t>1407/07/03</t>
        </is>
      </c>
      <c r="F2099" s="134" t="inlineStr">
        <is>
          <t>1407/07</t>
        </is>
      </c>
      <c r="G2099" s="61" t="inlineStr">
        <is>
          <t>مهر</t>
        </is>
      </c>
      <c r="H2099" s="134" t="inlineStr">
        <is>
          <t>پاییز</t>
        </is>
      </c>
      <c r="I2099" s="134" t="inlineStr">
        <is>
          <t>یکشنبه</t>
        </is>
      </c>
      <c r="J2099" s="134" t="inlineStr">
        <is>
          <t>خیر</t>
        </is>
      </c>
    </row>
    <row r="2100">
      <c r="A2100" s="173" t="n">
        <v>47021</v>
      </c>
      <c r="B2100" s="174" t="n">
        <v>47021</v>
      </c>
      <c r="C2100" s="174" t="n">
        <v>1407</v>
      </c>
      <c r="D2100" s="174" t="n">
        <v>7</v>
      </c>
      <c r="E2100" s="175" t="inlineStr">
        <is>
          <t>1407/07/04</t>
        </is>
      </c>
      <c r="F2100" s="128" t="inlineStr">
        <is>
          <t>1407/07</t>
        </is>
      </c>
      <c r="G2100" s="58" t="inlineStr">
        <is>
          <t>مهر</t>
        </is>
      </c>
      <c r="H2100" s="128" t="inlineStr">
        <is>
          <t>پاییز</t>
        </is>
      </c>
      <c r="I2100" s="128" t="inlineStr">
        <is>
          <t>دوشنبه</t>
        </is>
      </c>
      <c r="J2100" s="128" t="inlineStr">
        <is>
          <t>بله</t>
        </is>
      </c>
    </row>
    <row r="2101">
      <c r="A2101" s="176" t="n">
        <v>47022</v>
      </c>
      <c r="B2101" s="177" t="n">
        <v>47022</v>
      </c>
      <c r="C2101" s="177" t="n">
        <v>1407</v>
      </c>
      <c r="D2101" s="177" t="n">
        <v>7</v>
      </c>
      <c r="E2101" s="178" t="inlineStr">
        <is>
          <t>1407/07/05</t>
        </is>
      </c>
      <c r="F2101" s="134" t="inlineStr">
        <is>
          <t>1407/07</t>
        </is>
      </c>
      <c r="G2101" s="61" t="inlineStr">
        <is>
          <t>مهر</t>
        </is>
      </c>
      <c r="H2101" s="134" t="inlineStr">
        <is>
          <t>پاییز</t>
        </is>
      </c>
      <c r="I2101" s="134" t="inlineStr">
        <is>
          <t>سه‌شنبه</t>
        </is>
      </c>
      <c r="J2101" s="134" t="inlineStr">
        <is>
          <t>بله</t>
        </is>
      </c>
    </row>
    <row r="2102">
      <c r="A2102" s="173" t="n">
        <v>47023</v>
      </c>
      <c r="B2102" s="174" t="n">
        <v>47023</v>
      </c>
      <c r="C2102" s="174" t="n">
        <v>1407</v>
      </c>
      <c r="D2102" s="174" t="n">
        <v>7</v>
      </c>
      <c r="E2102" s="175" t="inlineStr">
        <is>
          <t>1407/07/06</t>
        </is>
      </c>
      <c r="F2102" s="128" t="inlineStr">
        <is>
          <t>1407/07</t>
        </is>
      </c>
      <c r="G2102" s="58" t="inlineStr">
        <is>
          <t>مهر</t>
        </is>
      </c>
      <c r="H2102" s="128" t="inlineStr">
        <is>
          <t>پاییز</t>
        </is>
      </c>
      <c r="I2102" s="128" t="inlineStr">
        <is>
          <t>چهارشنبه</t>
        </is>
      </c>
      <c r="J2102" s="128" t="inlineStr">
        <is>
          <t>بله</t>
        </is>
      </c>
    </row>
    <row r="2103">
      <c r="A2103" s="176" t="n">
        <v>47024</v>
      </c>
      <c r="B2103" s="177" t="n">
        <v>47024</v>
      </c>
      <c r="C2103" s="177" t="n">
        <v>1407</v>
      </c>
      <c r="D2103" s="177" t="n">
        <v>7</v>
      </c>
      <c r="E2103" s="178" t="inlineStr">
        <is>
          <t>1407/07/07</t>
        </is>
      </c>
      <c r="F2103" s="134" t="inlineStr">
        <is>
          <t>1407/07</t>
        </is>
      </c>
      <c r="G2103" s="61" t="inlineStr">
        <is>
          <t>مهر</t>
        </is>
      </c>
      <c r="H2103" s="134" t="inlineStr">
        <is>
          <t>پاییز</t>
        </is>
      </c>
      <c r="I2103" s="134" t="inlineStr">
        <is>
          <t>پنجشنبه</t>
        </is>
      </c>
      <c r="J2103" s="134" t="inlineStr">
        <is>
          <t>بله</t>
        </is>
      </c>
    </row>
    <row r="2104">
      <c r="A2104" s="173" t="n">
        <v>47025</v>
      </c>
      <c r="B2104" s="174" t="n">
        <v>47025</v>
      </c>
      <c r="C2104" s="174" t="n">
        <v>1407</v>
      </c>
      <c r="D2104" s="174" t="n">
        <v>7</v>
      </c>
      <c r="E2104" s="175" t="inlineStr">
        <is>
          <t>1407/07/08</t>
        </is>
      </c>
      <c r="F2104" s="128" t="inlineStr">
        <is>
          <t>1407/07</t>
        </is>
      </c>
      <c r="G2104" s="58" t="inlineStr">
        <is>
          <t>مهر</t>
        </is>
      </c>
      <c r="H2104" s="128" t="inlineStr">
        <is>
          <t>پاییز</t>
        </is>
      </c>
      <c r="I2104" s="128" t="inlineStr">
        <is>
          <t>جمعه</t>
        </is>
      </c>
      <c r="J2104" s="128" t="inlineStr">
        <is>
          <t>بله</t>
        </is>
      </c>
    </row>
    <row r="2105">
      <c r="A2105" s="176" t="n">
        <v>47026</v>
      </c>
      <c r="B2105" s="177" t="n">
        <v>47026</v>
      </c>
      <c r="C2105" s="177" t="n">
        <v>1407</v>
      </c>
      <c r="D2105" s="177" t="n">
        <v>7</v>
      </c>
      <c r="E2105" s="178" t="inlineStr">
        <is>
          <t>1407/07/09</t>
        </is>
      </c>
      <c r="F2105" s="134" t="inlineStr">
        <is>
          <t>1407/07</t>
        </is>
      </c>
      <c r="G2105" s="61" t="inlineStr">
        <is>
          <t>مهر</t>
        </is>
      </c>
      <c r="H2105" s="134" t="inlineStr">
        <is>
          <t>پاییز</t>
        </is>
      </c>
      <c r="I2105" s="134" t="inlineStr">
        <is>
          <t>شنبه</t>
        </is>
      </c>
      <c r="J2105" s="134" t="inlineStr">
        <is>
          <t>خیر</t>
        </is>
      </c>
    </row>
    <row r="2106">
      <c r="A2106" s="173" t="n">
        <v>47027</v>
      </c>
      <c r="B2106" s="174" t="n">
        <v>47027</v>
      </c>
      <c r="C2106" s="174" t="n">
        <v>1407</v>
      </c>
      <c r="D2106" s="174" t="n">
        <v>7</v>
      </c>
      <c r="E2106" s="175" t="inlineStr">
        <is>
          <t>1407/07/10</t>
        </is>
      </c>
      <c r="F2106" s="128" t="inlineStr">
        <is>
          <t>1407/07</t>
        </is>
      </c>
      <c r="G2106" s="58" t="inlineStr">
        <is>
          <t>مهر</t>
        </is>
      </c>
      <c r="H2106" s="128" t="inlineStr">
        <is>
          <t>پاییز</t>
        </is>
      </c>
      <c r="I2106" s="128" t="inlineStr">
        <is>
          <t>یکشنبه</t>
        </is>
      </c>
      <c r="J2106" s="128" t="inlineStr">
        <is>
          <t>خیر</t>
        </is>
      </c>
    </row>
    <row r="2107">
      <c r="A2107" s="176" t="n">
        <v>47028</v>
      </c>
      <c r="B2107" s="177" t="n">
        <v>47028</v>
      </c>
      <c r="C2107" s="177" t="n">
        <v>1407</v>
      </c>
      <c r="D2107" s="177" t="n">
        <v>7</v>
      </c>
      <c r="E2107" s="178" t="inlineStr">
        <is>
          <t>1407/07/11</t>
        </is>
      </c>
      <c r="F2107" s="134" t="inlineStr">
        <is>
          <t>1407/07</t>
        </is>
      </c>
      <c r="G2107" s="61" t="inlineStr">
        <is>
          <t>مهر</t>
        </is>
      </c>
      <c r="H2107" s="134" t="inlineStr">
        <is>
          <t>پاییز</t>
        </is>
      </c>
      <c r="I2107" s="134" t="inlineStr">
        <is>
          <t>دوشنبه</t>
        </is>
      </c>
      <c r="J2107" s="134" t="inlineStr">
        <is>
          <t>بله</t>
        </is>
      </c>
    </row>
    <row r="2108">
      <c r="A2108" s="173" t="n">
        <v>47029</v>
      </c>
      <c r="B2108" s="174" t="n">
        <v>47029</v>
      </c>
      <c r="C2108" s="174" t="n">
        <v>1407</v>
      </c>
      <c r="D2108" s="174" t="n">
        <v>7</v>
      </c>
      <c r="E2108" s="175" t="inlineStr">
        <is>
          <t>1407/07/12</t>
        </is>
      </c>
      <c r="F2108" s="128" t="inlineStr">
        <is>
          <t>1407/07</t>
        </is>
      </c>
      <c r="G2108" s="58" t="inlineStr">
        <is>
          <t>مهر</t>
        </is>
      </c>
      <c r="H2108" s="128" t="inlineStr">
        <is>
          <t>پاییز</t>
        </is>
      </c>
      <c r="I2108" s="128" t="inlineStr">
        <is>
          <t>سه‌شنبه</t>
        </is>
      </c>
      <c r="J2108" s="128" t="inlineStr">
        <is>
          <t>بله</t>
        </is>
      </c>
    </row>
    <row r="2109">
      <c r="A2109" s="176" t="n">
        <v>47030</v>
      </c>
      <c r="B2109" s="177" t="n">
        <v>47030</v>
      </c>
      <c r="C2109" s="177" t="n">
        <v>1407</v>
      </c>
      <c r="D2109" s="177" t="n">
        <v>7</v>
      </c>
      <c r="E2109" s="178" t="inlineStr">
        <is>
          <t>1407/07/13</t>
        </is>
      </c>
      <c r="F2109" s="134" t="inlineStr">
        <is>
          <t>1407/07</t>
        </is>
      </c>
      <c r="G2109" s="61" t="inlineStr">
        <is>
          <t>مهر</t>
        </is>
      </c>
      <c r="H2109" s="134" t="inlineStr">
        <is>
          <t>پاییز</t>
        </is>
      </c>
      <c r="I2109" s="134" t="inlineStr">
        <is>
          <t>چهارشنبه</t>
        </is>
      </c>
      <c r="J2109" s="134" t="inlineStr">
        <is>
          <t>بله</t>
        </is>
      </c>
    </row>
    <row r="2110">
      <c r="A2110" s="173" t="n">
        <v>47031</v>
      </c>
      <c r="B2110" s="174" t="n">
        <v>47031</v>
      </c>
      <c r="C2110" s="174" t="n">
        <v>1407</v>
      </c>
      <c r="D2110" s="174" t="n">
        <v>7</v>
      </c>
      <c r="E2110" s="175" t="inlineStr">
        <is>
          <t>1407/07/14</t>
        </is>
      </c>
      <c r="F2110" s="128" t="inlineStr">
        <is>
          <t>1407/07</t>
        </is>
      </c>
      <c r="G2110" s="58" t="inlineStr">
        <is>
          <t>مهر</t>
        </is>
      </c>
      <c r="H2110" s="128" t="inlineStr">
        <is>
          <t>پاییز</t>
        </is>
      </c>
      <c r="I2110" s="128" t="inlineStr">
        <is>
          <t>پنجشنبه</t>
        </is>
      </c>
      <c r="J2110" s="128" t="inlineStr">
        <is>
          <t>بله</t>
        </is>
      </c>
    </row>
    <row r="2111">
      <c r="A2111" s="176" t="n">
        <v>47032</v>
      </c>
      <c r="B2111" s="177" t="n">
        <v>47032</v>
      </c>
      <c r="C2111" s="177" t="n">
        <v>1407</v>
      </c>
      <c r="D2111" s="177" t="n">
        <v>7</v>
      </c>
      <c r="E2111" s="178" t="inlineStr">
        <is>
          <t>1407/07/15</t>
        </is>
      </c>
      <c r="F2111" s="134" t="inlineStr">
        <is>
          <t>1407/07</t>
        </is>
      </c>
      <c r="G2111" s="61" t="inlineStr">
        <is>
          <t>مهر</t>
        </is>
      </c>
      <c r="H2111" s="134" t="inlineStr">
        <is>
          <t>پاییز</t>
        </is>
      </c>
      <c r="I2111" s="134" t="inlineStr">
        <is>
          <t>جمعه</t>
        </is>
      </c>
      <c r="J2111" s="134" t="inlineStr">
        <is>
          <t>بله</t>
        </is>
      </c>
    </row>
    <row r="2112">
      <c r="A2112" s="173" t="n">
        <v>47033</v>
      </c>
      <c r="B2112" s="174" t="n">
        <v>47033</v>
      </c>
      <c r="C2112" s="174" t="n">
        <v>1407</v>
      </c>
      <c r="D2112" s="174" t="n">
        <v>7</v>
      </c>
      <c r="E2112" s="175" t="inlineStr">
        <is>
          <t>1407/07/16</t>
        </is>
      </c>
      <c r="F2112" s="128" t="inlineStr">
        <is>
          <t>1407/07</t>
        </is>
      </c>
      <c r="G2112" s="58" t="inlineStr">
        <is>
          <t>مهر</t>
        </is>
      </c>
      <c r="H2112" s="128" t="inlineStr">
        <is>
          <t>پاییز</t>
        </is>
      </c>
      <c r="I2112" s="128" t="inlineStr">
        <is>
          <t>شنبه</t>
        </is>
      </c>
      <c r="J2112" s="128" t="inlineStr">
        <is>
          <t>خیر</t>
        </is>
      </c>
    </row>
    <row r="2113">
      <c r="A2113" s="176" t="n">
        <v>47034</v>
      </c>
      <c r="B2113" s="177" t="n">
        <v>47034</v>
      </c>
      <c r="C2113" s="177" t="n">
        <v>1407</v>
      </c>
      <c r="D2113" s="177" t="n">
        <v>7</v>
      </c>
      <c r="E2113" s="178" t="inlineStr">
        <is>
          <t>1407/07/17</t>
        </is>
      </c>
      <c r="F2113" s="134" t="inlineStr">
        <is>
          <t>1407/07</t>
        </is>
      </c>
      <c r="G2113" s="61" t="inlineStr">
        <is>
          <t>مهر</t>
        </is>
      </c>
      <c r="H2113" s="134" t="inlineStr">
        <is>
          <t>پاییز</t>
        </is>
      </c>
      <c r="I2113" s="134" t="inlineStr">
        <is>
          <t>یکشنبه</t>
        </is>
      </c>
      <c r="J2113" s="134" t="inlineStr">
        <is>
          <t>خیر</t>
        </is>
      </c>
    </row>
    <row r="2114">
      <c r="A2114" s="173" t="n">
        <v>47035</v>
      </c>
      <c r="B2114" s="174" t="n">
        <v>47035</v>
      </c>
      <c r="C2114" s="174" t="n">
        <v>1407</v>
      </c>
      <c r="D2114" s="174" t="n">
        <v>7</v>
      </c>
      <c r="E2114" s="175" t="inlineStr">
        <is>
          <t>1407/07/18</t>
        </is>
      </c>
      <c r="F2114" s="128" t="inlineStr">
        <is>
          <t>1407/07</t>
        </is>
      </c>
      <c r="G2114" s="58" t="inlineStr">
        <is>
          <t>مهر</t>
        </is>
      </c>
      <c r="H2114" s="128" t="inlineStr">
        <is>
          <t>پاییز</t>
        </is>
      </c>
      <c r="I2114" s="128" t="inlineStr">
        <is>
          <t>دوشنبه</t>
        </is>
      </c>
      <c r="J2114" s="128" t="inlineStr">
        <is>
          <t>بله</t>
        </is>
      </c>
    </row>
    <row r="2115">
      <c r="A2115" s="176" t="n">
        <v>47036</v>
      </c>
      <c r="B2115" s="177" t="n">
        <v>47036</v>
      </c>
      <c r="C2115" s="177" t="n">
        <v>1407</v>
      </c>
      <c r="D2115" s="177" t="n">
        <v>7</v>
      </c>
      <c r="E2115" s="178" t="inlineStr">
        <is>
          <t>1407/07/19</t>
        </is>
      </c>
      <c r="F2115" s="134" t="inlineStr">
        <is>
          <t>1407/07</t>
        </is>
      </c>
      <c r="G2115" s="61" t="inlineStr">
        <is>
          <t>مهر</t>
        </is>
      </c>
      <c r="H2115" s="134" t="inlineStr">
        <is>
          <t>پاییز</t>
        </is>
      </c>
      <c r="I2115" s="134" t="inlineStr">
        <is>
          <t>سه‌شنبه</t>
        </is>
      </c>
      <c r="J2115" s="134" t="inlineStr">
        <is>
          <t>بله</t>
        </is>
      </c>
    </row>
    <row r="2116">
      <c r="A2116" s="173" t="n">
        <v>47037</v>
      </c>
      <c r="B2116" s="174" t="n">
        <v>47037</v>
      </c>
      <c r="C2116" s="174" t="n">
        <v>1407</v>
      </c>
      <c r="D2116" s="174" t="n">
        <v>7</v>
      </c>
      <c r="E2116" s="175" t="inlineStr">
        <is>
          <t>1407/07/20</t>
        </is>
      </c>
      <c r="F2116" s="128" t="inlineStr">
        <is>
          <t>1407/07</t>
        </is>
      </c>
      <c r="G2116" s="58" t="inlineStr">
        <is>
          <t>مهر</t>
        </is>
      </c>
      <c r="H2116" s="128" t="inlineStr">
        <is>
          <t>پاییز</t>
        </is>
      </c>
      <c r="I2116" s="128" t="inlineStr">
        <is>
          <t>چهارشنبه</t>
        </is>
      </c>
      <c r="J2116" s="128" t="inlineStr">
        <is>
          <t>بله</t>
        </is>
      </c>
    </row>
    <row r="2117">
      <c r="A2117" s="176" t="n">
        <v>47038</v>
      </c>
      <c r="B2117" s="177" t="n">
        <v>47038</v>
      </c>
      <c r="C2117" s="177" t="n">
        <v>1407</v>
      </c>
      <c r="D2117" s="177" t="n">
        <v>7</v>
      </c>
      <c r="E2117" s="178" t="inlineStr">
        <is>
          <t>1407/07/21</t>
        </is>
      </c>
      <c r="F2117" s="134" t="inlineStr">
        <is>
          <t>1407/07</t>
        </is>
      </c>
      <c r="G2117" s="61" t="inlineStr">
        <is>
          <t>مهر</t>
        </is>
      </c>
      <c r="H2117" s="134" t="inlineStr">
        <is>
          <t>پاییز</t>
        </is>
      </c>
      <c r="I2117" s="134" t="inlineStr">
        <is>
          <t>پنجشنبه</t>
        </is>
      </c>
      <c r="J2117" s="134" t="inlineStr">
        <is>
          <t>بله</t>
        </is>
      </c>
    </row>
    <row r="2118">
      <c r="A2118" s="173" t="n">
        <v>47039</v>
      </c>
      <c r="B2118" s="174" t="n">
        <v>47039</v>
      </c>
      <c r="C2118" s="174" t="n">
        <v>1407</v>
      </c>
      <c r="D2118" s="174" t="n">
        <v>7</v>
      </c>
      <c r="E2118" s="175" t="inlineStr">
        <is>
          <t>1407/07/22</t>
        </is>
      </c>
      <c r="F2118" s="128" t="inlineStr">
        <is>
          <t>1407/07</t>
        </is>
      </c>
      <c r="G2118" s="58" t="inlineStr">
        <is>
          <t>مهر</t>
        </is>
      </c>
      <c r="H2118" s="128" t="inlineStr">
        <is>
          <t>پاییز</t>
        </is>
      </c>
      <c r="I2118" s="128" t="inlineStr">
        <is>
          <t>جمعه</t>
        </is>
      </c>
      <c r="J2118" s="128" t="inlineStr">
        <is>
          <t>بله</t>
        </is>
      </c>
    </row>
    <row r="2119">
      <c r="A2119" s="176" t="n">
        <v>47040</v>
      </c>
      <c r="B2119" s="177" t="n">
        <v>47040</v>
      </c>
      <c r="C2119" s="177" t="n">
        <v>1407</v>
      </c>
      <c r="D2119" s="177" t="n">
        <v>7</v>
      </c>
      <c r="E2119" s="178" t="inlineStr">
        <is>
          <t>1407/07/23</t>
        </is>
      </c>
      <c r="F2119" s="134" t="inlineStr">
        <is>
          <t>1407/07</t>
        </is>
      </c>
      <c r="G2119" s="61" t="inlineStr">
        <is>
          <t>مهر</t>
        </is>
      </c>
      <c r="H2119" s="134" t="inlineStr">
        <is>
          <t>پاییز</t>
        </is>
      </c>
      <c r="I2119" s="134" t="inlineStr">
        <is>
          <t>شنبه</t>
        </is>
      </c>
      <c r="J2119" s="134" t="inlineStr">
        <is>
          <t>خیر</t>
        </is>
      </c>
    </row>
    <row r="2120">
      <c r="A2120" s="173" t="n">
        <v>47041</v>
      </c>
      <c r="B2120" s="174" t="n">
        <v>47041</v>
      </c>
      <c r="C2120" s="174" t="n">
        <v>1407</v>
      </c>
      <c r="D2120" s="174" t="n">
        <v>7</v>
      </c>
      <c r="E2120" s="175" t="inlineStr">
        <is>
          <t>1407/07/24</t>
        </is>
      </c>
      <c r="F2120" s="128" t="inlineStr">
        <is>
          <t>1407/07</t>
        </is>
      </c>
      <c r="G2120" s="58" t="inlineStr">
        <is>
          <t>مهر</t>
        </is>
      </c>
      <c r="H2120" s="128" t="inlineStr">
        <is>
          <t>پاییز</t>
        </is>
      </c>
      <c r="I2120" s="128" t="inlineStr">
        <is>
          <t>یکشنبه</t>
        </is>
      </c>
      <c r="J2120" s="128" t="inlineStr">
        <is>
          <t>خیر</t>
        </is>
      </c>
    </row>
    <row r="2121">
      <c r="A2121" s="176" t="n">
        <v>47042</v>
      </c>
      <c r="B2121" s="177" t="n">
        <v>47042</v>
      </c>
      <c r="C2121" s="177" t="n">
        <v>1407</v>
      </c>
      <c r="D2121" s="177" t="n">
        <v>7</v>
      </c>
      <c r="E2121" s="178" t="inlineStr">
        <is>
          <t>1407/07/25</t>
        </is>
      </c>
      <c r="F2121" s="134" t="inlineStr">
        <is>
          <t>1407/07</t>
        </is>
      </c>
      <c r="G2121" s="61" t="inlineStr">
        <is>
          <t>مهر</t>
        </is>
      </c>
      <c r="H2121" s="134" t="inlineStr">
        <is>
          <t>پاییز</t>
        </is>
      </c>
      <c r="I2121" s="134" t="inlineStr">
        <is>
          <t>دوشنبه</t>
        </is>
      </c>
      <c r="J2121" s="134" t="inlineStr">
        <is>
          <t>بله</t>
        </is>
      </c>
    </row>
    <row r="2122">
      <c r="A2122" s="173" t="n">
        <v>47043</v>
      </c>
      <c r="B2122" s="174" t="n">
        <v>47043</v>
      </c>
      <c r="C2122" s="174" t="n">
        <v>1407</v>
      </c>
      <c r="D2122" s="174" t="n">
        <v>7</v>
      </c>
      <c r="E2122" s="175" t="inlineStr">
        <is>
          <t>1407/07/26</t>
        </is>
      </c>
      <c r="F2122" s="128" t="inlineStr">
        <is>
          <t>1407/07</t>
        </is>
      </c>
      <c r="G2122" s="58" t="inlineStr">
        <is>
          <t>مهر</t>
        </is>
      </c>
      <c r="H2122" s="128" t="inlineStr">
        <is>
          <t>پاییز</t>
        </is>
      </c>
      <c r="I2122" s="128" t="inlineStr">
        <is>
          <t>سه‌شنبه</t>
        </is>
      </c>
      <c r="J2122" s="128" t="inlineStr">
        <is>
          <t>بله</t>
        </is>
      </c>
    </row>
    <row r="2123">
      <c r="A2123" s="176" t="n">
        <v>47044</v>
      </c>
      <c r="B2123" s="177" t="n">
        <v>47044</v>
      </c>
      <c r="C2123" s="177" t="n">
        <v>1407</v>
      </c>
      <c r="D2123" s="177" t="n">
        <v>7</v>
      </c>
      <c r="E2123" s="178" t="inlineStr">
        <is>
          <t>1407/07/27</t>
        </is>
      </c>
      <c r="F2123" s="134" t="inlineStr">
        <is>
          <t>1407/07</t>
        </is>
      </c>
      <c r="G2123" s="61" t="inlineStr">
        <is>
          <t>مهر</t>
        </is>
      </c>
      <c r="H2123" s="134" t="inlineStr">
        <is>
          <t>پاییز</t>
        </is>
      </c>
      <c r="I2123" s="134" t="inlineStr">
        <is>
          <t>چهارشنبه</t>
        </is>
      </c>
      <c r="J2123" s="134" t="inlineStr">
        <is>
          <t>بله</t>
        </is>
      </c>
    </row>
    <row r="2124">
      <c r="A2124" s="173" t="n">
        <v>47045</v>
      </c>
      <c r="B2124" s="174" t="n">
        <v>47045</v>
      </c>
      <c r="C2124" s="174" t="n">
        <v>1407</v>
      </c>
      <c r="D2124" s="174" t="n">
        <v>7</v>
      </c>
      <c r="E2124" s="175" t="inlineStr">
        <is>
          <t>1407/07/28</t>
        </is>
      </c>
      <c r="F2124" s="128" t="inlineStr">
        <is>
          <t>1407/07</t>
        </is>
      </c>
      <c r="G2124" s="58" t="inlineStr">
        <is>
          <t>مهر</t>
        </is>
      </c>
      <c r="H2124" s="128" t="inlineStr">
        <is>
          <t>پاییز</t>
        </is>
      </c>
      <c r="I2124" s="128" t="inlineStr">
        <is>
          <t>پنجشنبه</t>
        </is>
      </c>
      <c r="J2124" s="128" t="inlineStr">
        <is>
          <t>بله</t>
        </is>
      </c>
    </row>
    <row r="2125">
      <c r="A2125" s="176" t="n">
        <v>47046</v>
      </c>
      <c r="B2125" s="177" t="n">
        <v>47046</v>
      </c>
      <c r="C2125" s="177" t="n">
        <v>1407</v>
      </c>
      <c r="D2125" s="177" t="n">
        <v>7</v>
      </c>
      <c r="E2125" s="178" t="inlineStr">
        <is>
          <t>1407/07/29</t>
        </is>
      </c>
      <c r="F2125" s="134" t="inlineStr">
        <is>
          <t>1407/07</t>
        </is>
      </c>
      <c r="G2125" s="61" t="inlineStr">
        <is>
          <t>مهر</t>
        </is>
      </c>
      <c r="H2125" s="134" t="inlineStr">
        <is>
          <t>پاییز</t>
        </is>
      </c>
      <c r="I2125" s="134" t="inlineStr">
        <is>
          <t>جمعه</t>
        </is>
      </c>
      <c r="J2125" s="134" t="inlineStr">
        <is>
          <t>بله</t>
        </is>
      </c>
    </row>
    <row r="2126">
      <c r="A2126" s="173" t="n">
        <v>47047</v>
      </c>
      <c r="B2126" s="174" t="n">
        <v>47047</v>
      </c>
      <c r="C2126" s="174" t="n">
        <v>1407</v>
      </c>
      <c r="D2126" s="174" t="n">
        <v>7</v>
      </c>
      <c r="E2126" s="175" t="inlineStr">
        <is>
          <t>1407/07/30</t>
        </is>
      </c>
      <c r="F2126" s="128" t="inlineStr">
        <is>
          <t>1407/07</t>
        </is>
      </c>
      <c r="G2126" s="58" t="inlineStr">
        <is>
          <t>مهر</t>
        </is>
      </c>
      <c r="H2126" s="128" t="inlineStr">
        <is>
          <t>پاییز</t>
        </is>
      </c>
      <c r="I2126" s="128" t="inlineStr">
        <is>
          <t>شنبه</t>
        </is>
      </c>
      <c r="J2126" s="128" t="inlineStr">
        <is>
          <t>خیر</t>
        </is>
      </c>
    </row>
    <row r="2127">
      <c r="A2127" s="176" t="n">
        <v>47048</v>
      </c>
      <c r="B2127" s="177" t="n">
        <v>47048</v>
      </c>
      <c r="C2127" s="177" t="n">
        <v>1407</v>
      </c>
      <c r="D2127" s="177" t="n">
        <v>8</v>
      </c>
      <c r="E2127" s="178" t="inlineStr">
        <is>
          <t>1407/08/01</t>
        </is>
      </c>
      <c r="F2127" s="134" t="inlineStr">
        <is>
          <t>1407/08</t>
        </is>
      </c>
      <c r="G2127" s="61" t="inlineStr">
        <is>
          <t>آبان</t>
        </is>
      </c>
      <c r="H2127" s="134" t="inlineStr">
        <is>
          <t>پاییز</t>
        </is>
      </c>
      <c r="I2127" s="134" t="inlineStr">
        <is>
          <t>یکشنبه</t>
        </is>
      </c>
      <c r="J2127" s="134" t="inlineStr">
        <is>
          <t>خیر</t>
        </is>
      </c>
    </row>
    <row r="2128">
      <c r="A2128" s="173" t="n">
        <v>47049</v>
      </c>
      <c r="B2128" s="174" t="n">
        <v>47049</v>
      </c>
      <c r="C2128" s="174" t="n">
        <v>1407</v>
      </c>
      <c r="D2128" s="174" t="n">
        <v>8</v>
      </c>
      <c r="E2128" s="175" t="inlineStr">
        <is>
          <t>1407/08/02</t>
        </is>
      </c>
      <c r="F2128" s="128" t="inlineStr">
        <is>
          <t>1407/08</t>
        </is>
      </c>
      <c r="G2128" s="58" t="inlineStr">
        <is>
          <t>آبان</t>
        </is>
      </c>
      <c r="H2128" s="128" t="inlineStr">
        <is>
          <t>پاییز</t>
        </is>
      </c>
      <c r="I2128" s="128" t="inlineStr">
        <is>
          <t>دوشنبه</t>
        </is>
      </c>
      <c r="J2128" s="128" t="inlineStr">
        <is>
          <t>بله</t>
        </is>
      </c>
    </row>
    <row r="2129">
      <c r="A2129" s="176" t="n">
        <v>47050</v>
      </c>
      <c r="B2129" s="177" t="n">
        <v>47050</v>
      </c>
      <c r="C2129" s="177" t="n">
        <v>1407</v>
      </c>
      <c r="D2129" s="177" t="n">
        <v>8</v>
      </c>
      <c r="E2129" s="178" t="inlineStr">
        <is>
          <t>1407/08/03</t>
        </is>
      </c>
      <c r="F2129" s="134" t="inlineStr">
        <is>
          <t>1407/08</t>
        </is>
      </c>
      <c r="G2129" s="61" t="inlineStr">
        <is>
          <t>آبان</t>
        </is>
      </c>
      <c r="H2129" s="134" t="inlineStr">
        <is>
          <t>پاییز</t>
        </is>
      </c>
      <c r="I2129" s="134" t="inlineStr">
        <is>
          <t>سه‌شنبه</t>
        </is>
      </c>
      <c r="J2129" s="134" t="inlineStr">
        <is>
          <t>بله</t>
        </is>
      </c>
    </row>
    <row r="2130">
      <c r="A2130" s="173" t="n">
        <v>47051</v>
      </c>
      <c r="B2130" s="174" t="n">
        <v>47051</v>
      </c>
      <c r="C2130" s="174" t="n">
        <v>1407</v>
      </c>
      <c r="D2130" s="174" t="n">
        <v>8</v>
      </c>
      <c r="E2130" s="175" t="inlineStr">
        <is>
          <t>1407/08/04</t>
        </is>
      </c>
      <c r="F2130" s="128" t="inlineStr">
        <is>
          <t>1407/08</t>
        </is>
      </c>
      <c r="G2130" s="58" t="inlineStr">
        <is>
          <t>آبان</t>
        </is>
      </c>
      <c r="H2130" s="128" t="inlineStr">
        <is>
          <t>پاییز</t>
        </is>
      </c>
      <c r="I2130" s="128" t="inlineStr">
        <is>
          <t>چهارشنبه</t>
        </is>
      </c>
      <c r="J2130" s="128" t="inlineStr">
        <is>
          <t>بله</t>
        </is>
      </c>
    </row>
    <row r="2131">
      <c r="A2131" s="176" t="n">
        <v>47052</v>
      </c>
      <c r="B2131" s="177" t="n">
        <v>47052</v>
      </c>
      <c r="C2131" s="177" t="n">
        <v>1407</v>
      </c>
      <c r="D2131" s="177" t="n">
        <v>8</v>
      </c>
      <c r="E2131" s="178" t="inlineStr">
        <is>
          <t>1407/08/05</t>
        </is>
      </c>
      <c r="F2131" s="134" t="inlineStr">
        <is>
          <t>1407/08</t>
        </is>
      </c>
      <c r="G2131" s="61" t="inlineStr">
        <is>
          <t>آبان</t>
        </is>
      </c>
      <c r="H2131" s="134" t="inlineStr">
        <is>
          <t>پاییز</t>
        </is>
      </c>
      <c r="I2131" s="134" t="inlineStr">
        <is>
          <t>پنجشنبه</t>
        </is>
      </c>
      <c r="J2131" s="134" t="inlineStr">
        <is>
          <t>بله</t>
        </is>
      </c>
    </row>
    <row r="2132">
      <c r="A2132" s="173" t="n">
        <v>47053</v>
      </c>
      <c r="B2132" s="174" t="n">
        <v>47053</v>
      </c>
      <c r="C2132" s="174" t="n">
        <v>1407</v>
      </c>
      <c r="D2132" s="174" t="n">
        <v>8</v>
      </c>
      <c r="E2132" s="175" t="inlineStr">
        <is>
          <t>1407/08/06</t>
        </is>
      </c>
      <c r="F2132" s="128" t="inlineStr">
        <is>
          <t>1407/08</t>
        </is>
      </c>
      <c r="G2132" s="58" t="inlineStr">
        <is>
          <t>آبان</t>
        </is>
      </c>
      <c r="H2132" s="128" t="inlineStr">
        <is>
          <t>پاییز</t>
        </is>
      </c>
      <c r="I2132" s="128" t="inlineStr">
        <is>
          <t>جمعه</t>
        </is>
      </c>
      <c r="J2132" s="128" t="inlineStr">
        <is>
          <t>بله</t>
        </is>
      </c>
    </row>
    <row r="2133">
      <c r="A2133" s="176" t="n">
        <v>47054</v>
      </c>
      <c r="B2133" s="177" t="n">
        <v>47054</v>
      </c>
      <c r="C2133" s="177" t="n">
        <v>1407</v>
      </c>
      <c r="D2133" s="177" t="n">
        <v>8</v>
      </c>
      <c r="E2133" s="178" t="inlineStr">
        <is>
          <t>1407/08/07</t>
        </is>
      </c>
      <c r="F2133" s="134" t="inlineStr">
        <is>
          <t>1407/08</t>
        </is>
      </c>
      <c r="G2133" s="61" t="inlineStr">
        <is>
          <t>آبان</t>
        </is>
      </c>
      <c r="H2133" s="134" t="inlineStr">
        <is>
          <t>پاییز</t>
        </is>
      </c>
      <c r="I2133" s="134" t="inlineStr">
        <is>
          <t>شنبه</t>
        </is>
      </c>
      <c r="J2133" s="134" t="inlineStr">
        <is>
          <t>خیر</t>
        </is>
      </c>
    </row>
    <row r="2134">
      <c r="A2134" s="173" t="n">
        <v>47055</v>
      </c>
      <c r="B2134" s="174" t="n">
        <v>47055</v>
      </c>
      <c r="C2134" s="174" t="n">
        <v>1407</v>
      </c>
      <c r="D2134" s="174" t="n">
        <v>8</v>
      </c>
      <c r="E2134" s="175" t="inlineStr">
        <is>
          <t>1407/08/08</t>
        </is>
      </c>
      <c r="F2134" s="128" t="inlineStr">
        <is>
          <t>1407/08</t>
        </is>
      </c>
      <c r="G2134" s="58" t="inlineStr">
        <is>
          <t>آبان</t>
        </is>
      </c>
      <c r="H2134" s="128" t="inlineStr">
        <is>
          <t>پاییز</t>
        </is>
      </c>
      <c r="I2134" s="128" t="inlineStr">
        <is>
          <t>یکشنبه</t>
        </is>
      </c>
      <c r="J2134" s="128" t="inlineStr">
        <is>
          <t>خیر</t>
        </is>
      </c>
    </row>
    <row r="2135">
      <c r="A2135" s="176" t="n">
        <v>47056</v>
      </c>
      <c r="B2135" s="177" t="n">
        <v>47056</v>
      </c>
      <c r="C2135" s="177" t="n">
        <v>1407</v>
      </c>
      <c r="D2135" s="177" t="n">
        <v>8</v>
      </c>
      <c r="E2135" s="178" t="inlineStr">
        <is>
          <t>1407/08/09</t>
        </is>
      </c>
      <c r="F2135" s="134" t="inlineStr">
        <is>
          <t>1407/08</t>
        </is>
      </c>
      <c r="G2135" s="61" t="inlineStr">
        <is>
          <t>آبان</t>
        </is>
      </c>
      <c r="H2135" s="134" t="inlineStr">
        <is>
          <t>پاییز</t>
        </is>
      </c>
      <c r="I2135" s="134" t="inlineStr">
        <is>
          <t>دوشنبه</t>
        </is>
      </c>
      <c r="J2135" s="134" t="inlineStr">
        <is>
          <t>بله</t>
        </is>
      </c>
    </row>
    <row r="2136">
      <c r="A2136" s="173" t="n">
        <v>47057</v>
      </c>
      <c r="B2136" s="174" t="n">
        <v>47057</v>
      </c>
      <c r="C2136" s="174" t="n">
        <v>1407</v>
      </c>
      <c r="D2136" s="174" t="n">
        <v>8</v>
      </c>
      <c r="E2136" s="175" t="inlineStr">
        <is>
          <t>1407/08/10</t>
        </is>
      </c>
      <c r="F2136" s="128" t="inlineStr">
        <is>
          <t>1407/08</t>
        </is>
      </c>
      <c r="G2136" s="58" t="inlineStr">
        <is>
          <t>آبان</t>
        </is>
      </c>
      <c r="H2136" s="128" t="inlineStr">
        <is>
          <t>پاییز</t>
        </is>
      </c>
      <c r="I2136" s="128" t="inlineStr">
        <is>
          <t>سه‌شنبه</t>
        </is>
      </c>
      <c r="J2136" s="128" t="inlineStr">
        <is>
          <t>بله</t>
        </is>
      </c>
    </row>
    <row r="2137">
      <c r="A2137" s="176" t="n">
        <v>47058</v>
      </c>
      <c r="B2137" s="177" t="n">
        <v>47058</v>
      </c>
      <c r="C2137" s="177" t="n">
        <v>1407</v>
      </c>
      <c r="D2137" s="177" t="n">
        <v>8</v>
      </c>
      <c r="E2137" s="178" t="inlineStr">
        <is>
          <t>1407/08/11</t>
        </is>
      </c>
      <c r="F2137" s="134" t="inlineStr">
        <is>
          <t>1407/08</t>
        </is>
      </c>
      <c r="G2137" s="61" t="inlineStr">
        <is>
          <t>آبان</t>
        </is>
      </c>
      <c r="H2137" s="134" t="inlineStr">
        <is>
          <t>پاییز</t>
        </is>
      </c>
      <c r="I2137" s="134" t="inlineStr">
        <is>
          <t>چهارشنبه</t>
        </is>
      </c>
      <c r="J2137" s="134" t="inlineStr">
        <is>
          <t>بله</t>
        </is>
      </c>
    </row>
    <row r="2138">
      <c r="A2138" s="173" t="n">
        <v>47059</v>
      </c>
      <c r="B2138" s="174" t="n">
        <v>47059</v>
      </c>
      <c r="C2138" s="174" t="n">
        <v>1407</v>
      </c>
      <c r="D2138" s="174" t="n">
        <v>8</v>
      </c>
      <c r="E2138" s="175" t="inlineStr">
        <is>
          <t>1407/08/12</t>
        </is>
      </c>
      <c r="F2138" s="128" t="inlineStr">
        <is>
          <t>1407/08</t>
        </is>
      </c>
      <c r="G2138" s="58" t="inlineStr">
        <is>
          <t>آبان</t>
        </is>
      </c>
      <c r="H2138" s="128" t="inlineStr">
        <is>
          <t>پاییز</t>
        </is>
      </c>
      <c r="I2138" s="128" t="inlineStr">
        <is>
          <t>پنجشنبه</t>
        </is>
      </c>
      <c r="J2138" s="128" t="inlineStr">
        <is>
          <t>بله</t>
        </is>
      </c>
    </row>
    <row r="2139">
      <c r="A2139" s="176" t="n">
        <v>47060</v>
      </c>
      <c r="B2139" s="177" t="n">
        <v>47060</v>
      </c>
      <c r="C2139" s="177" t="n">
        <v>1407</v>
      </c>
      <c r="D2139" s="177" t="n">
        <v>8</v>
      </c>
      <c r="E2139" s="178" t="inlineStr">
        <is>
          <t>1407/08/13</t>
        </is>
      </c>
      <c r="F2139" s="134" t="inlineStr">
        <is>
          <t>1407/08</t>
        </is>
      </c>
      <c r="G2139" s="61" t="inlineStr">
        <is>
          <t>آبان</t>
        </is>
      </c>
      <c r="H2139" s="134" t="inlineStr">
        <is>
          <t>پاییز</t>
        </is>
      </c>
      <c r="I2139" s="134" t="inlineStr">
        <is>
          <t>جمعه</t>
        </is>
      </c>
      <c r="J2139" s="134" t="inlineStr">
        <is>
          <t>بله</t>
        </is>
      </c>
    </row>
    <row r="2140">
      <c r="A2140" s="173" t="n">
        <v>47061</v>
      </c>
      <c r="B2140" s="174" t="n">
        <v>47061</v>
      </c>
      <c r="C2140" s="174" t="n">
        <v>1407</v>
      </c>
      <c r="D2140" s="174" t="n">
        <v>8</v>
      </c>
      <c r="E2140" s="175" t="inlineStr">
        <is>
          <t>1407/08/14</t>
        </is>
      </c>
      <c r="F2140" s="128" t="inlineStr">
        <is>
          <t>1407/08</t>
        </is>
      </c>
      <c r="G2140" s="58" t="inlineStr">
        <is>
          <t>آبان</t>
        </is>
      </c>
      <c r="H2140" s="128" t="inlineStr">
        <is>
          <t>پاییز</t>
        </is>
      </c>
      <c r="I2140" s="128" t="inlineStr">
        <is>
          <t>شنبه</t>
        </is>
      </c>
      <c r="J2140" s="128" t="inlineStr">
        <is>
          <t>خیر</t>
        </is>
      </c>
    </row>
    <row r="2141">
      <c r="A2141" s="176" t="n">
        <v>47062</v>
      </c>
      <c r="B2141" s="177" t="n">
        <v>47062</v>
      </c>
      <c r="C2141" s="177" t="n">
        <v>1407</v>
      </c>
      <c r="D2141" s="177" t="n">
        <v>8</v>
      </c>
      <c r="E2141" s="178" t="inlineStr">
        <is>
          <t>1407/08/15</t>
        </is>
      </c>
      <c r="F2141" s="134" t="inlineStr">
        <is>
          <t>1407/08</t>
        </is>
      </c>
      <c r="G2141" s="61" t="inlineStr">
        <is>
          <t>آبان</t>
        </is>
      </c>
      <c r="H2141" s="134" t="inlineStr">
        <is>
          <t>پاییز</t>
        </is>
      </c>
      <c r="I2141" s="134" t="inlineStr">
        <is>
          <t>یکشنبه</t>
        </is>
      </c>
      <c r="J2141" s="134" t="inlineStr">
        <is>
          <t>خیر</t>
        </is>
      </c>
    </row>
    <row r="2142">
      <c r="A2142" s="173" t="n">
        <v>47063</v>
      </c>
      <c r="B2142" s="174" t="n">
        <v>47063</v>
      </c>
      <c r="C2142" s="174" t="n">
        <v>1407</v>
      </c>
      <c r="D2142" s="174" t="n">
        <v>8</v>
      </c>
      <c r="E2142" s="175" t="inlineStr">
        <is>
          <t>1407/08/16</t>
        </is>
      </c>
      <c r="F2142" s="128" t="inlineStr">
        <is>
          <t>1407/08</t>
        </is>
      </c>
      <c r="G2142" s="58" t="inlineStr">
        <is>
          <t>آبان</t>
        </is>
      </c>
      <c r="H2142" s="128" t="inlineStr">
        <is>
          <t>پاییز</t>
        </is>
      </c>
      <c r="I2142" s="128" t="inlineStr">
        <is>
          <t>دوشنبه</t>
        </is>
      </c>
      <c r="J2142" s="128" t="inlineStr">
        <is>
          <t>بله</t>
        </is>
      </c>
    </row>
    <row r="2143">
      <c r="A2143" s="176" t="n">
        <v>47064</v>
      </c>
      <c r="B2143" s="177" t="n">
        <v>47064</v>
      </c>
      <c r="C2143" s="177" t="n">
        <v>1407</v>
      </c>
      <c r="D2143" s="177" t="n">
        <v>8</v>
      </c>
      <c r="E2143" s="178" t="inlineStr">
        <is>
          <t>1407/08/17</t>
        </is>
      </c>
      <c r="F2143" s="134" t="inlineStr">
        <is>
          <t>1407/08</t>
        </is>
      </c>
      <c r="G2143" s="61" t="inlineStr">
        <is>
          <t>آبان</t>
        </is>
      </c>
      <c r="H2143" s="134" t="inlineStr">
        <is>
          <t>پاییز</t>
        </is>
      </c>
      <c r="I2143" s="134" t="inlineStr">
        <is>
          <t>سه‌شنبه</t>
        </is>
      </c>
      <c r="J2143" s="134" t="inlineStr">
        <is>
          <t>بله</t>
        </is>
      </c>
    </row>
    <row r="2144">
      <c r="A2144" s="173" t="n">
        <v>47065</v>
      </c>
      <c r="B2144" s="174" t="n">
        <v>47065</v>
      </c>
      <c r="C2144" s="174" t="n">
        <v>1407</v>
      </c>
      <c r="D2144" s="174" t="n">
        <v>8</v>
      </c>
      <c r="E2144" s="175" t="inlineStr">
        <is>
          <t>1407/08/18</t>
        </is>
      </c>
      <c r="F2144" s="128" t="inlineStr">
        <is>
          <t>1407/08</t>
        </is>
      </c>
      <c r="G2144" s="58" t="inlineStr">
        <is>
          <t>آبان</t>
        </is>
      </c>
      <c r="H2144" s="128" t="inlineStr">
        <is>
          <t>پاییز</t>
        </is>
      </c>
      <c r="I2144" s="128" t="inlineStr">
        <is>
          <t>چهارشنبه</t>
        </is>
      </c>
      <c r="J2144" s="128" t="inlineStr">
        <is>
          <t>بله</t>
        </is>
      </c>
    </row>
    <row r="2145">
      <c r="A2145" s="176" t="n">
        <v>47066</v>
      </c>
      <c r="B2145" s="177" t="n">
        <v>47066</v>
      </c>
      <c r="C2145" s="177" t="n">
        <v>1407</v>
      </c>
      <c r="D2145" s="177" t="n">
        <v>8</v>
      </c>
      <c r="E2145" s="178" t="inlineStr">
        <is>
          <t>1407/08/19</t>
        </is>
      </c>
      <c r="F2145" s="134" t="inlineStr">
        <is>
          <t>1407/08</t>
        </is>
      </c>
      <c r="G2145" s="61" t="inlineStr">
        <is>
          <t>آبان</t>
        </is>
      </c>
      <c r="H2145" s="134" t="inlineStr">
        <is>
          <t>پاییز</t>
        </is>
      </c>
      <c r="I2145" s="134" t="inlineStr">
        <is>
          <t>پنجشنبه</t>
        </is>
      </c>
      <c r="J2145" s="134" t="inlineStr">
        <is>
          <t>بله</t>
        </is>
      </c>
    </row>
    <row r="2146">
      <c r="A2146" s="173" t="n">
        <v>47067</v>
      </c>
      <c r="B2146" s="174" t="n">
        <v>47067</v>
      </c>
      <c r="C2146" s="174" t="n">
        <v>1407</v>
      </c>
      <c r="D2146" s="174" t="n">
        <v>8</v>
      </c>
      <c r="E2146" s="175" t="inlineStr">
        <is>
          <t>1407/08/20</t>
        </is>
      </c>
      <c r="F2146" s="128" t="inlineStr">
        <is>
          <t>1407/08</t>
        </is>
      </c>
      <c r="G2146" s="58" t="inlineStr">
        <is>
          <t>آبان</t>
        </is>
      </c>
      <c r="H2146" s="128" t="inlineStr">
        <is>
          <t>پاییز</t>
        </is>
      </c>
      <c r="I2146" s="128" t="inlineStr">
        <is>
          <t>جمعه</t>
        </is>
      </c>
      <c r="J2146" s="128" t="inlineStr">
        <is>
          <t>بله</t>
        </is>
      </c>
    </row>
    <row r="2147">
      <c r="A2147" s="176" t="n">
        <v>47068</v>
      </c>
      <c r="B2147" s="177" t="n">
        <v>47068</v>
      </c>
      <c r="C2147" s="177" t="n">
        <v>1407</v>
      </c>
      <c r="D2147" s="177" t="n">
        <v>8</v>
      </c>
      <c r="E2147" s="178" t="inlineStr">
        <is>
          <t>1407/08/21</t>
        </is>
      </c>
      <c r="F2147" s="134" t="inlineStr">
        <is>
          <t>1407/08</t>
        </is>
      </c>
      <c r="G2147" s="61" t="inlineStr">
        <is>
          <t>آبان</t>
        </is>
      </c>
      <c r="H2147" s="134" t="inlineStr">
        <is>
          <t>پاییز</t>
        </is>
      </c>
      <c r="I2147" s="134" t="inlineStr">
        <is>
          <t>شنبه</t>
        </is>
      </c>
      <c r="J2147" s="134" t="inlineStr">
        <is>
          <t>خیر</t>
        </is>
      </c>
    </row>
    <row r="2148">
      <c r="A2148" s="173" t="n">
        <v>47069</v>
      </c>
      <c r="B2148" s="174" t="n">
        <v>47069</v>
      </c>
      <c r="C2148" s="174" t="n">
        <v>1407</v>
      </c>
      <c r="D2148" s="174" t="n">
        <v>8</v>
      </c>
      <c r="E2148" s="175" t="inlineStr">
        <is>
          <t>1407/08/22</t>
        </is>
      </c>
      <c r="F2148" s="128" t="inlineStr">
        <is>
          <t>1407/08</t>
        </is>
      </c>
      <c r="G2148" s="58" t="inlineStr">
        <is>
          <t>آبان</t>
        </is>
      </c>
      <c r="H2148" s="128" t="inlineStr">
        <is>
          <t>پاییز</t>
        </is>
      </c>
      <c r="I2148" s="128" t="inlineStr">
        <is>
          <t>یکشنبه</t>
        </is>
      </c>
      <c r="J2148" s="128" t="inlineStr">
        <is>
          <t>خیر</t>
        </is>
      </c>
    </row>
    <row r="2149">
      <c r="A2149" s="176" t="n">
        <v>47070</v>
      </c>
      <c r="B2149" s="177" t="n">
        <v>47070</v>
      </c>
      <c r="C2149" s="177" t="n">
        <v>1407</v>
      </c>
      <c r="D2149" s="177" t="n">
        <v>8</v>
      </c>
      <c r="E2149" s="178" t="inlineStr">
        <is>
          <t>1407/08/23</t>
        </is>
      </c>
      <c r="F2149" s="134" t="inlineStr">
        <is>
          <t>1407/08</t>
        </is>
      </c>
      <c r="G2149" s="61" t="inlineStr">
        <is>
          <t>آبان</t>
        </is>
      </c>
      <c r="H2149" s="134" t="inlineStr">
        <is>
          <t>پاییز</t>
        </is>
      </c>
      <c r="I2149" s="134" t="inlineStr">
        <is>
          <t>دوشنبه</t>
        </is>
      </c>
      <c r="J2149" s="134" t="inlineStr">
        <is>
          <t>بله</t>
        </is>
      </c>
    </row>
    <row r="2150">
      <c r="A2150" s="173" t="n">
        <v>47071</v>
      </c>
      <c r="B2150" s="174" t="n">
        <v>47071</v>
      </c>
      <c r="C2150" s="174" t="n">
        <v>1407</v>
      </c>
      <c r="D2150" s="174" t="n">
        <v>8</v>
      </c>
      <c r="E2150" s="175" t="inlineStr">
        <is>
          <t>1407/08/24</t>
        </is>
      </c>
      <c r="F2150" s="128" t="inlineStr">
        <is>
          <t>1407/08</t>
        </is>
      </c>
      <c r="G2150" s="58" t="inlineStr">
        <is>
          <t>آبان</t>
        </is>
      </c>
      <c r="H2150" s="128" t="inlineStr">
        <is>
          <t>پاییز</t>
        </is>
      </c>
      <c r="I2150" s="128" t="inlineStr">
        <is>
          <t>سه‌شنبه</t>
        </is>
      </c>
      <c r="J2150" s="128" t="inlineStr">
        <is>
          <t>بله</t>
        </is>
      </c>
    </row>
    <row r="2151">
      <c r="A2151" s="176" t="n">
        <v>47072</v>
      </c>
      <c r="B2151" s="177" t="n">
        <v>47072</v>
      </c>
      <c r="C2151" s="177" t="n">
        <v>1407</v>
      </c>
      <c r="D2151" s="177" t="n">
        <v>8</v>
      </c>
      <c r="E2151" s="178" t="inlineStr">
        <is>
          <t>1407/08/25</t>
        </is>
      </c>
      <c r="F2151" s="134" t="inlineStr">
        <is>
          <t>1407/08</t>
        </is>
      </c>
      <c r="G2151" s="61" t="inlineStr">
        <is>
          <t>آبان</t>
        </is>
      </c>
      <c r="H2151" s="134" t="inlineStr">
        <is>
          <t>پاییز</t>
        </is>
      </c>
      <c r="I2151" s="134" t="inlineStr">
        <is>
          <t>چهارشنبه</t>
        </is>
      </c>
      <c r="J2151" s="134" t="inlineStr">
        <is>
          <t>بله</t>
        </is>
      </c>
    </row>
    <row r="2152">
      <c r="A2152" s="173" t="n">
        <v>47073</v>
      </c>
      <c r="B2152" s="174" t="n">
        <v>47073</v>
      </c>
      <c r="C2152" s="174" t="n">
        <v>1407</v>
      </c>
      <c r="D2152" s="174" t="n">
        <v>8</v>
      </c>
      <c r="E2152" s="175" t="inlineStr">
        <is>
          <t>1407/08/26</t>
        </is>
      </c>
      <c r="F2152" s="128" t="inlineStr">
        <is>
          <t>1407/08</t>
        </is>
      </c>
      <c r="G2152" s="58" t="inlineStr">
        <is>
          <t>آبان</t>
        </is>
      </c>
      <c r="H2152" s="128" t="inlineStr">
        <is>
          <t>پاییز</t>
        </is>
      </c>
      <c r="I2152" s="128" t="inlineStr">
        <is>
          <t>پنجشنبه</t>
        </is>
      </c>
      <c r="J2152" s="128" t="inlineStr">
        <is>
          <t>بله</t>
        </is>
      </c>
    </row>
    <row r="2153">
      <c r="A2153" s="176" t="n">
        <v>47074</v>
      </c>
      <c r="B2153" s="177" t="n">
        <v>47074</v>
      </c>
      <c r="C2153" s="177" t="n">
        <v>1407</v>
      </c>
      <c r="D2153" s="177" t="n">
        <v>8</v>
      </c>
      <c r="E2153" s="178" t="inlineStr">
        <is>
          <t>1407/08/27</t>
        </is>
      </c>
      <c r="F2153" s="134" t="inlineStr">
        <is>
          <t>1407/08</t>
        </is>
      </c>
      <c r="G2153" s="61" t="inlineStr">
        <is>
          <t>آبان</t>
        </is>
      </c>
      <c r="H2153" s="134" t="inlineStr">
        <is>
          <t>پاییز</t>
        </is>
      </c>
      <c r="I2153" s="134" t="inlineStr">
        <is>
          <t>جمعه</t>
        </is>
      </c>
      <c r="J2153" s="134" t="inlineStr">
        <is>
          <t>بله</t>
        </is>
      </c>
    </row>
    <row r="2154">
      <c r="A2154" s="173" t="n">
        <v>47075</v>
      </c>
      <c r="B2154" s="174" t="n">
        <v>47075</v>
      </c>
      <c r="C2154" s="174" t="n">
        <v>1407</v>
      </c>
      <c r="D2154" s="174" t="n">
        <v>8</v>
      </c>
      <c r="E2154" s="175" t="inlineStr">
        <is>
          <t>1407/08/28</t>
        </is>
      </c>
      <c r="F2154" s="128" t="inlineStr">
        <is>
          <t>1407/08</t>
        </is>
      </c>
      <c r="G2154" s="58" t="inlineStr">
        <is>
          <t>آبان</t>
        </is>
      </c>
      <c r="H2154" s="128" t="inlineStr">
        <is>
          <t>پاییز</t>
        </is>
      </c>
      <c r="I2154" s="128" t="inlineStr">
        <is>
          <t>شنبه</t>
        </is>
      </c>
      <c r="J2154" s="128" t="inlineStr">
        <is>
          <t>خیر</t>
        </is>
      </c>
    </row>
    <row r="2155">
      <c r="A2155" s="176" t="n">
        <v>47076</v>
      </c>
      <c r="B2155" s="177" t="n">
        <v>47076</v>
      </c>
      <c r="C2155" s="177" t="n">
        <v>1407</v>
      </c>
      <c r="D2155" s="177" t="n">
        <v>8</v>
      </c>
      <c r="E2155" s="178" t="inlineStr">
        <is>
          <t>1407/08/29</t>
        </is>
      </c>
      <c r="F2155" s="134" t="inlineStr">
        <is>
          <t>1407/08</t>
        </is>
      </c>
      <c r="G2155" s="61" t="inlineStr">
        <is>
          <t>آبان</t>
        </is>
      </c>
      <c r="H2155" s="134" t="inlineStr">
        <is>
          <t>پاییز</t>
        </is>
      </c>
      <c r="I2155" s="134" t="inlineStr">
        <is>
          <t>یکشنبه</t>
        </is>
      </c>
      <c r="J2155" s="134" t="inlineStr">
        <is>
          <t>خیر</t>
        </is>
      </c>
    </row>
    <row r="2156">
      <c r="A2156" s="173" t="n">
        <v>47077</v>
      </c>
      <c r="B2156" s="174" t="n">
        <v>47077</v>
      </c>
      <c r="C2156" s="174" t="n">
        <v>1407</v>
      </c>
      <c r="D2156" s="174" t="n">
        <v>8</v>
      </c>
      <c r="E2156" s="175" t="inlineStr">
        <is>
          <t>1407/08/30</t>
        </is>
      </c>
      <c r="F2156" s="128" t="inlineStr">
        <is>
          <t>1407/08</t>
        </is>
      </c>
      <c r="G2156" s="58" t="inlineStr">
        <is>
          <t>آبان</t>
        </is>
      </c>
      <c r="H2156" s="128" t="inlineStr">
        <is>
          <t>پاییز</t>
        </is>
      </c>
      <c r="I2156" s="128" t="inlineStr">
        <is>
          <t>دوشنبه</t>
        </is>
      </c>
      <c r="J2156" s="128" t="inlineStr">
        <is>
          <t>بله</t>
        </is>
      </c>
    </row>
    <row r="2157">
      <c r="A2157" s="176" t="n">
        <v>47078</v>
      </c>
      <c r="B2157" s="177" t="n">
        <v>47078</v>
      </c>
      <c r="C2157" s="177" t="n">
        <v>1407</v>
      </c>
      <c r="D2157" s="177" t="n">
        <v>9</v>
      </c>
      <c r="E2157" s="178" t="inlineStr">
        <is>
          <t>1407/09/01</t>
        </is>
      </c>
      <c r="F2157" s="134" t="inlineStr">
        <is>
          <t>1407/09</t>
        </is>
      </c>
      <c r="G2157" s="61" t="inlineStr">
        <is>
          <t>آذر</t>
        </is>
      </c>
      <c r="H2157" s="134" t="inlineStr">
        <is>
          <t>پاییز</t>
        </is>
      </c>
      <c r="I2157" s="134" t="inlineStr">
        <is>
          <t>سه‌شنبه</t>
        </is>
      </c>
      <c r="J2157" s="134" t="inlineStr">
        <is>
          <t>بله</t>
        </is>
      </c>
    </row>
    <row r="2158">
      <c r="A2158" s="173" t="n">
        <v>47079</v>
      </c>
      <c r="B2158" s="174" t="n">
        <v>47079</v>
      </c>
      <c r="C2158" s="174" t="n">
        <v>1407</v>
      </c>
      <c r="D2158" s="174" t="n">
        <v>9</v>
      </c>
      <c r="E2158" s="175" t="inlineStr">
        <is>
          <t>1407/09/02</t>
        </is>
      </c>
      <c r="F2158" s="128" t="inlineStr">
        <is>
          <t>1407/09</t>
        </is>
      </c>
      <c r="G2158" s="58" t="inlineStr">
        <is>
          <t>آذر</t>
        </is>
      </c>
      <c r="H2158" s="128" t="inlineStr">
        <is>
          <t>پاییز</t>
        </is>
      </c>
      <c r="I2158" s="128" t="inlineStr">
        <is>
          <t>چهارشنبه</t>
        </is>
      </c>
      <c r="J2158" s="128" t="inlineStr">
        <is>
          <t>بله</t>
        </is>
      </c>
    </row>
    <row r="2159">
      <c r="A2159" s="176" t="n">
        <v>47080</v>
      </c>
      <c r="B2159" s="177" t="n">
        <v>47080</v>
      </c>
      <c r="C2159" s="177" t="n">
        <v>1407</v>
      </c>
      <c r="D2159" s="177" t="n">
        <v>9</v>
      </c>
      <c r="E2159" s="178" t="inlineStr">
        <is>
          <t>1407/09/03</t>
        </is>
      </c>
      <c r="F2159" s="134" t="inlineStr">
        <is>
          <t>1407/09</t>
        </is>
      </c>
      <c r="G2159" s="61" t="inlineStr">
        <is>
          <t>آذر</t>
        </is>
      </c>
      <c r="H2159" s="134" t="inlineStr">
        <is>
          <t>پاییز</t>
        </is>
      </c>
      <c r="I2159" s="134" t="inlineStr">
        <is>
          <t>پنجشنبه</t>
        </is>
      </c>
      <c r="J2159" s="134" t="inlineStr">
        <is>
          <t>بله</t>
        </is>
      </c>
    </row>
    <row r="2160">
      <c r="A2160" s="173" t="n">
        <v>47081</v>
      </c>
      <c r="B2160" s="174" t="n">
        <v>47081</v>
      </c>
      <c r="C2160" s="174" t="n">
        <v>1407</v>
      </c>
      <c r="D2160" s="174" t="n">
        <v>9</v>
      </c>
      <c r="E2160" s="175" t="inlineStr">
        <is>
          <t>1407/09/04</t>
        </is>
      </c>
      <c r="F2160" s="128" t="inlineStr">
        <is>
          <t>1407/09</t>
        </is>
      </c>
      <c r="G2160" s="58" t="inlineStr">
        <is>
          <t>آذر</t>
        </is>
      </c>
      <c r="H2160" s="128" t="inlineStr">
        <is>
          <t>پاییز</t>
        </is>
      </c>
      <c r="I2160" s="128" t="inlineStr">
        <is>
          <t>جمعه</t>
        </is>
      </c>
      <c r="J2160" s="128" t="inlineStr">
        <is>
          <t>بله</t>
        </is>
      </c>
    </row>
    <row r="2161">
      <c r="A2161" s="176" t="n">
        <v>47082</v>
      </c>
      <c r="B2161" s="177" t="n">
        <v>47082</v>
      </c>
      <c r="C2161" s="177" t="n">
        <v>1407</v>
      </c>
      <c r="D2161" s="177" t="n">
        <v>9</v>
      </c>
      <c r="E2161" s="178" t="inlineStr">
        <is>
          <t>1407/09/05</t>
        </is>
      </c>
      <c r="F2161" s="134" t="inlineStr">
        <is>
          <t>1407/09</t>
        </is>
      </c>
      <c r="G2161" s="61" t="inlineStr">
        <is>
          <t>آذر</t>
        </is>
      </c>
      <c r="H2161" s="134" t="inlineStr">
        <is>
          <t>پاییز</t>
        </is>
      </c>
      <c r="I2161" s="134" t="inlineStr">
        <is>
          <t>شنبه</t>
        </is>
      </c>
      <c r="J2161" s="134" t="inlineStr">
        <is>
          <t>خیر</t>
        </is>
      </c>
    </row>
    <row r="2162">
      <c r="A2162" s="173" t="n">
        <v>47083</v>
      </c>
      <c r="B2162" s="174" t="n">
        <v>47083</v>
      </c>
      <c r="C2162" s="174" t="n">
        <v>1407</v>
      </c>
      <c r="D2162" s="174" t="n">
        <v>9</v>
      </c>
      <c r="E2162" s="175" t="inlineStr">
        <is>
          <t>1407/09/06</t>
        </is>
      </c>
      <c r="F2162" s="128" t="inlineStr">
        <is>
          <t>1407/09</t>
        </is>
      </c>
      <c r="G2162" s="58" t="inlineStr">
        <is>
          <t>آذر</t>
        </is>
      </c>
      <c r="H2162" s="128" t="inlineStr">
        <is>
          <t>پاییز</t>
        </is>
      </c>
      <c r="I2162" s="128" t="inlineStr">
        <is>
          <t>یکشنبه</t>
        </is>
      </c>
      <c r="J2162" s="128" t="inlineStr">
        <is>
          <t>خیر</t>
        </is>
      </c>
    </row>
    <row r="2163">
      <c r="A2163" s="176" t="n">
        <v>47084</v>
      </c>
      <c r="B2163" s="177" t="n">
        <v>47084</v>
      </c>
      <c r="C2163" s="177" t="n">
        <v>1407</v>
      </c>
      <c r="D2163" s="177" t="n">
        <v>9</v>
      </c>
      <c r="E2163" s="178" t="inlineStr">
        <is>
          <t>1407/09/07</t>
        </is>
      </c>
      <c r="F2163" s="134" t="inlineStr">
        <is>
          <t>1407/09</t>
        </is>
      </c>
      <c r="G2163" s="61" t="inlineStr">
        <is>
          <t>آذر</t>
        </is>
      </c>
      <c r="H2163" s="134" t="inlineStr">
        <is>
          <t>پاییز</t>
        </is>
      </c>
      <c r="I2163" s="134" t="inlineStr">
        <is>
          <t>دوشنبه</t>
        </is>
      </c>
      <c r="J2163" s="134" t="inlineStr">
        <is>
          <t>بله</t>
        </is>
      </c>
    </row>
    <row r="2164">
      <c r="A2164" s="173" t="n">
        <v>47085</v>
      </c>
      <c r="B2164" s="174" t="n">
        <v>47085</v>
      </c>
      <c r="C2164" s="174" t="n">
        <v>1407</v>
      </c>
      <c r="D2164" s="174" t="n">
        <v>9</v>
      </c>
      <c r="E2164" s="175" t="inlineStr">
        <is>
          <t>1407/09/08</t>
        </is>
      </c>
      <c r="F2164" s="128" t="inlineStr">
        <is>
          <t>1407/09</t>
        </is>
      </c>
      <c r="G2164" s="58" t="inlineStr">
        <is>
          <t>آذر</t>
        </is>
      </c>
      <c r="H2164" s="128" t="inlineStr">
        <is>
          <t>پاییز</t>
        </is>
      </c>
      <c r="I2164" s="128" t="inlineStr">
        <is>
          <t>سه‌شنبه</t>
        </is>
      </c>
      <c r="J2164" s="128" t="inlineStr">
        <is>
          <t>بله</t>
        </is>
      </c>
    </row>
    <row r="2165">
      <c r="A2165" s="176" t="n">
        <v>47086</v>
      </c>
      <c r="B2165" s="177" t="n">
        <v>47086</v>
      </c>
      <c r="C2165" s="177" t="n">
        <v>1407</v>
      </c>
      <c r="D2165" s="177" t="n">
        <v>9</v>
      </c>
      <c r="E2165" s="178" t="inlineStr">
        <is>
          <t>1407/09/09</t>
        </is>
      </c>
      <c r="F2165" s="134" t="inlineStr">
        <is>
          <t>1407/09</t>
        </is>
      </c>
      <c r="G2165" s="61" t="inlineStr">
        <is>
          <t>آذر</t>
        </is>
      </c>
      <c r="H2165" s="134" t="inlineStr">
        <is>
          <t>پاییز</t>
        </is>
      </c>
      <c r="I2165" s="134" t="inlineStr">
        <is>
          <t>چهارشنبه</t>
        </is>
      </c>
      <c r="J2165" s="134" t="inlineStr">
        <is>
          <t>بله</t>
        </is>
      </c>
    </row>
    <row r="2166">
      <c r="A2166" s="173" t="n">
        <v>47087</v>
      </c>
      <c r="B2166" s="174" t="n">
        <v>47087</v>
      </c>
      <c r="C2166" s="174" t="n">
        <v>1407</v>
      </c>
      <c r="D2166" s="174" t="n">
        <v>9</v>
      </c>
      <c r="E2166" s="175" t="inlineStr">
        <is>
          <t>1407/09/10</t>
        </is>
      </c>
      <c r="F2166" s="128" t="inlineStr">
        <is>
          <t>1407/09</t>
        </is>
      </c>
      <c r="G2166" s="58" t="inlineStr">
        <is>
          <t>آذر</t>
        </is>
      </c>
      <c r="H2166" s="128" t="inlineStr">
        <is>
          <t>پاییز</t>
        </is>
      </c>
      <c r="I2166" s="128" t="inlineStr">
        <is>
          <t>پنجشنبه</t>
        </is>
      </c>
      <c r="J2166" s="128" t="inlineStr">
        <is>
          <t>بله</t>
        </is>
      </c>
    </row>
    <row r="2167">
      <c r="A2167" s="176" t="n">
        <v>47088</v>
      </c>
      <c r="B2167" s="177" t="n">
        <v>47088</v>
      </c>
      <c r="C2167" s="177" t="n">
        <v>1407</v>
      </c>
      <c r="D2167" s="177" t="n">
        <v>9</v>
      </c>
      <c r="E2167" s="178" t="inlineStr">
        <is>
          <t>1407/09/11</t>
        </is>
      </c>
      <c r="F2167" s="134" t="inlineStr">
        <is>
          <t>1407/09</t>
        </is>
      </c>
      <c r="G2167" s="61" t="inlineStr">
        <is>
          <t>آذر</t>
        </is>
      </c>
      <c r="H2167" s="134" t="inlineStr">
        <is>
          <t>پاییز</t>
        </is>
      </c>
      <c r="I2167" s="134" t="inlineStr">
        <is>
          <t>جمعه</t>
        </is>
      </c>
      <c r="J2167" s="134" t="inlineStr">
        <is>
          <t>بله</t>
        </is>
      </c>
    </row>
    <row r="2168">
      <c r="A2168" s="173" t="n">
        <v>47089</v>
      </c>
      <c r="B2168" s="174" t="n">
        <v>47089</v>
      </c>
      <c r="C2168" s="174" t="n">
        <v>1407</v>
      </c>
      <c r="D2168" s="174" t="n">
        <v>9</v>
      </c>
      <c r="E2168" s="175" t="inlineStr">
        <is>
          <t>1407/09/12</t>
        </is>
      </c>
      <c r="F2168" s="128" t="inlineStr">
        <is>
          <t>1407/09</t>
        </is>
      </c>
      <c r="G2168" s="58" t="inlineStr">
        <is>
          <t>آذر</t>
        </is>
      </c>
      <c r="H2168" s="128" t="inlineStr">
        <is>
          <t>پاییز</t>
        </is>
      </c>
      <c r="I2168" s="128" t="inlineStr">
        <is>
          <t>شنبه</t>
        </is>
      </c>
      <c r="J2168" s="128" t="inlineStr">
        <is>
          <t>خیر</t>
        </is>
      </c>
    </row>
    <row r="2169">
      <c r="A2169" s="176" t="n">
        <v>47090</v>
      </c>
      <c r="B2169" s="177" t="n">
        <v>47090</v>
      </c>
      <c r="C2169" s="177" t="n">
        <v>1407</v>
      </c>
      <c r="D2169" s="177" t="n">
        <v>9</v>
      </c>
      <c r="E2169" s="178" t="inlineStr">
        <is>
          <t>1407/09/13</t>
        </is>
      </c>
      <c r="F2169" s="134" t="inlineStr">
        <is>
          <t>1407/09</t>
        </is>
      </c>
      <c r="G2169" s="61" t="inlineStr">
        <is>
          <t>آذر</t>
        </is>
      </c>
      <c r="H2169" s="134" t="inlineStr">
        <is>
          <t>پاییز</t>
        </is>
      </c>
      <c r="I2169" s="134" t="inlineStr">
        <is>
          <t>یکشنبه</t>
        </is>
      </c>
      <c r="J2169" s="134" t="inlineStr">
        <is>
          <t>خیر</t>
        </is>
      </c>
    </row>
    <row r="2170">
      <c r="A2170" s="173" t="n">
        <v>47091</v>
      </c>
      <c r="B2170" s="174" t="n">
        <v>47091</v>
      </c>
      <c r="C2170" s="174" t="n">
        <v>1407</v>
      </c>
      <c r="D2170" s="174" t="n">
        <v>9</v>
      </c>
      <c r="E2170" s="175" t="inlineStr">
        <is>
          <t>1407/09/14</t>
        </is>
      </c>
      <c r="F2170" s="128" t="inlineStr">
        <is>
          <t>1407/09</t>
        </is>
      </c>
      <c r="G2170" s="58" t="inlineStr">
        <is>
          <t>آذر</t>
        </is>
      </c>
      <c r="H2170" s="128" t="inlineStr">
        <is>
          <t>پاییز</t>
        </is>
      </c>
      <c r="I2170" s="128" t="inlineStr">
        <is>
          <t>دوشنبه</t>
        </is>
      </c>
      <c r="J2170" s="128" t="inlineStr">
        <is>
          <t>بله</t>
        </is>
      </c>
    </row>
    <row r="2171">
      <c r="A2171" s="176" t="n">
        <v>47092</v>
      </c>
      <c r="B2171" s="177" t="n">
        <v>47092</v>
      </c>
      <c r="C2171" s="177" t="n">
        <v>1407</v>
      </c>
      <c r="D2171" s="177" t="n">
        <v>9</v>
      </c>
      <c r="E2171" s="178" t="inlineStr">
        <is>
          <t>1407/09/15</t>
        </is>
      </c>
      <c r="F2171" s="134" t="inlineStr">
        <is>
          <t>1407/09</t>
        </is>
      </c>
      <c r="G2171" s="61" t="inlineStr">
        <is>
          <t>آذر</t>
        </is>
      </c>
      <c r="H2171" s="134" t="inlineStr">
        <is>
          <t>پاییز</t>
        </is>
      </c>
      <c r="I2171" s="134" t="inlineStr">
        <is>
          <t>سه‌شنبه</t>
        </is>
      </c>
      <c r="J2171" s="134" t="inlineStr">
        <is>
          <t>بله</t>
        </is>
      </c>
    </row>
    <row r="2172">
      <c r="A2172" s="173" t="n">
        <v>47093</v>
      </c>
      <c r="B2172" s="174" t="n">
        <v>47093</v>
      </c>
      <c r="C2172" s="174" t="n">
        <v>1407</v>
      </c>
      <c r="D2172" s="174" t="n">
        <v>9</v>
      </c>
      <c r="E2172" s="175" t="inlineStr">
        <is>
          <t>1407/09/16</t>
        </is>
      </c>
      <c r="F2172" s="128" t="inlineStr">
        <is>
          <t>1407/09</t>
        </is>
      </c>
      <c r="G2172" s="58" t="inlineStr">
        <is>
          <t>آذر</t>
        </is>
      </c>
      <c r="H2172" s="128" t="inlineStr">
        <is>
          <t>پاییز</t>
        </is>
      </c>
      <c r="I2172" s="128" t="inlineStr">
        <is>
          <t>چهارشنبه</t>
        </is>
      </c>
      <c r="J2172" s="128" t="inlineStr">
        <is>
          <t>بله</t>
        </is>
      </c>
    </row>
    <row r="2173">
      <c r="A2173" s="176" t="n">
        <v>47094</v>
      </c>
      <c r="B2173" s="177" t="n">
        <v>47094</v>
      </c>
      <c r="C2173" s="177" t="n">
        <v>1407</v>
      </c>
      <c r="D2173" s="177" t="n">
        <v>9</v>
      </c>
      <c r="E2173" s="178" t="inlineStr">
        <is>
          <t>1407/09/17</t>
        </is>
      </c>
      <c r="F2173" s="134" t="inlineStr">
        <is>
          <t>1407/09</t>
        </is>
      </c>
      <c r="G2173" s="61" t="inlineStr">
        <is>
          <t>آذر</t>
        </is>
      </c>
      <c r="H2173" s="134" t="inlineStr">
        <is>
          <t>پاییز</t>
        </is>
      </c>
      <c r="I2173" s="134" t="inlineStr">
        <is>
          <t>پنجشنبه</t>
        </is>
      </c>
      <c r="J2173" s="134" t="inlineStr">
        <is>
          <t>بله</t>
        </is>
      </c>
    </row>
    <row r="2174">
      <c r="A2174" s="173" t="n">
        <v>47095</v>
      </c>
      <c r="B2174" s="174" t="n">
        <v>47095</v>
      </c>
      <c r="C2174" s="174" t="n">
        <v>1407</v>
      </c>
      <c r="D2174" s="174" t="n">
        <v>9</v>
      </c>
      <c r="E2174" s="175" t="inlineStr">
        <is>
          <t>1407/09/18</t>
        </is>
      </c>
      <c r="F2174" s="128" t="inlineStr">
        <is>
          <t>1407/09</t>
        </is>
      </c>
      <c r="G2174" s="58" t="inlineStr">
        <is>
          <t>آذر</t>
        </is>
      </c>
      <c r="H2174" s="128" t="inlineStr">
        <is>
          <t>پاییز</t>
        </is>
      </c>
      <c r="I2174" s="128" t="inlineStr">
        <is>
          <t>جمعه</t>
        </is>
      </c>
      <c r="J2174" s="128" t="inlineStr">
        <is>
          <t>بله</t>
        </is>
      </c>
    </row>
    <row r="2175">
      <c r="A2175" s="176" t="n">
        <v>47096</v>
      </c>
      <c r="B2175" s="177" t="n">
        <v>47096</v>
      </c>
      <c r="C2175" s="177" t="n">
        <v>1407</v>
      </c>
      <c r="D2175" s="177" t="n">
        <v>9</v>
      </c>
      <c r="E2175" s="178" t="inlineStr">
        <is>
          <t>1407/09/19</t>
        </is>
      </c>
      <c r="F2175" s="134" t="inlineStr">
        <is>
          <t>1407/09</t>
        </is>
      </c>
      <c r="G2175" s="61" t="inlineStr">
        <is>
          <t>آذر</t>
        </is>
      </c>
      <c r="H2175" s="134" t="inlineStr">
        <is>
          <t>پاییز</t>
        </is>
      </c>
      <c r="I2175" s="134" t="inlineStr">
        <is>
          <t>شنبه</t>
        </is>
      </c>
      <c r="J2175" s="134" t="inlineStr">
        <is>
          <t>خیر</t>
        </is>
      </c>
    </row>
    <row r="2176">
      <c r="A2176" s="173" t="n">
        <v>47097</v>
      </c>
      <c r="B2176" s="174" t="n">
        <v>47097</v>
      </c>
      <c r="C2176" s="174" t="n">
        <v>1407</v>
      </c>
      <c r="D2176" s="174" t="n">
        <v>9</v>
      </c>
      <c r="E2176" s="175" t="inlineStr">
        <is>
          <t>1407/09/20</t>
        </is>
      </c>
      <c r="F2176" s="128" t="inlineStr">
        <is>
          <t>1407/09</t>
        </is>
      </c>
      <c r="G2176" s="58" t="inlineStr">
        <is>
          <t>آذر</t>
        </is>
      </c>
      <c r="H2176" s="128" t="inlineStr">
        <is>
          <t>پاییز</t>
        </is>
      </c>
      <c r="I2176" s="128" t="inlineStr">
        <is>
          <t>یکشنبه</t>
        </is>
      </c>
      <c r="J2176" s="128" t="inlineStr">
        <is>
          <t>خیر</t>
        </is>
      </c>
    </row>
    <row r="2177">
      <c r="A2177" s="176" t="n">
        <v>47098</v>
      </c>
      <c r="B2177" s="177" t="n">
        <v>47098</v>
      </c>
      <c r="C2177" s="177" t="n">
        <v>1407</v>
      </c>
      <c r="D2177" s="177" t="n">
        <v>9</v>
      </c>
      <c r="E2177" s="178" t="inlineStr">
        <is>
          <t>1407/09/21</t>
        </is>
      </c>
      <c r="F2177" s="134" t="inlineStr">
        <is>
          <t>1407/09</t>
        </is>
      </c>
      <c r="G2177" s="61" t="inlineStr">
        <is>
          <t>آذر</t>
        </is>
      </c>
      <c r="H2177" s="134" t="inlineStr">
        <is>
          <t>پاییز</t>
        </is>
      </c>
      <c r="I2177" s="134" t="inlineStr">
        <is>
          <t>دوشنبه</t>
        </is>
      </c>
      <c r="J2177" s="134" t="inlineStr">
        <is>
          <t>بله</t>
        </is>
      </c>
    </row>
    <row r="2178">
      <c r="A2178" s="173" t="n">
        <v>47099</v>
      </c>
      <c r="B2178" s="174" t="n">
        <v>47099</v>
      </c>
      <c r="C2178" s="174" t="n">
        <v>1407</v>
      </c>
      <c r="D2178" s="174" t="n">
        <v>9</v>
      </c>
      <c r="E2178" s="175" t="inlineStr">
        <is>
          <t>1407/09/22</t>
        </is>
      </c>
      <c r="F2178" s="128" t="inlineStr">
        <is>
          <t>1407/09</t>
        </is>
      </c>
      <c r="G2178" s="58" t="inlineStr">
        <is>
          <t>آذر</t>
        </is>
      </c>
      <c r="H2178" s="128" t="inlineStr">
        <is>
          <t>پاییز</t>
        </is>
      </c>
      <c r="I2178" s="128" t="inlineStr">
        <is>
          <t>سه‌شنبه</t>
        </is>
      </c>
      <c r="J2178" s="128" t="inlineStr">
        <is>
          <t>بله</t>
        </is>
      </c>
    </row>
    <row r="2179">
      <c r="A2179" s="176" t="n">
        <v>47100</v>
      </c>
      <c r="B2179" s="177" t="n">
        <v>47100</v>
      </c>
      <c r="C2179" s="177" t="n">
        <v>1407</v>
      </c>
      <c r="D2179" s="177" t="n">
        <v>9</v>
      </c>
      <c r="E2179" s="178" t="inlineStr">
        <is>
          <t>1407/09/23</t>
        </is>
      </c>
      <c r="F2179" s="134" t="inlineStr">
        <is>
          <t>1407/09</t>
        </is>
      </c>
      <c r="G2179" s="61" t="inlineStr">
        <is>
          <t>آذر</t>
        </is>
      </c>
      <c r="H2179" s="134" t="inlineStr">
        <is>
          <t>پاییز</t>
        </is>
      </c>
      <c r="I2179" s="134" t="inlineStr">
        <is>
          <t>چهارشنبه</t>
        </is>
      </c>
      <c r="J2179" s="134" t="inlineStr">
        <is>
          <t>بله</t>
        </is>
      </c>
    </row>
    <row r="2180">
      <c r="A2180" s="173" t="n">
        <v>47101</v>
      </c>
      <c r="B2180" s="174" t="n">
        <v>47101</v>
      </c>
      <c r="C2180" s="174" t="n">
        <v>1407</v>
      </c>
      <c r="D2180" s="174" t="n">
        <v>9</v>
      </c>
      <c r="E2180" s="175" t="inlineStr">
        <is>
          <t>1407/09/24</t>
        </is>
      </c>
      <c r="F2180" s="128" t="inlineStr">
        <is>
          <t>1407/09</t>
        </is>
      </c>
      <c r="G2180" s="58" t="inlineStr">
        <is>
          <t>آذر</t>
        </is>
      </c>
      <c r="H2180" s="128" t="inlineStr">
        <is>
          <t>پاییز</t>
        </is>
      </c>
      <c r="I2180" s="128" t="inlineStr">
        <is>
          <t>پنجشنبه</t>
        </is>
      </c>
      <c r="J2180" s="128" t="inlineStr">
        <is>
          <t>بله</t>
        </is>
      </c>
    </row>
    <row r="2181">
      <c r="A2181" s="176" t="n">
        <v>47102</v>
      </c>
      <c r="B2181" s="177" t="n">
        <v>47102</v>
      </c>
      <c r="C2181" s="177" t="n">
        <v>1407</v>
      </c>
      <c r="D2181" s="177" t="n">
        <v>9</v>
      </c>
      <c r="E2181" s="178" t="inlineStr">
        <is>
          <t>1407/09/25</t>
        </is>
      </c>
      <c r="F2181" s="134" t="inlineStr">
        <is>
          <t>1407/09</t>
        </is>
      </c>
      <c r="G2181" s="61" t="inlineStr">
        <is>
          <t>آذر</t>
        </is>
      </c>
      <c r="H2181" s="134" t="inlineStr">
        <is>
          <t>پاییز</t>
        </is>
      </c>
      <c r="I2181" s="134" t="inlineStr">
        <is>
          <t>جمعه</t>
        </is>
      </c>
      <c r="J2181" s="134" t="inlineStr">
        <is>
          <t>بله</t>
        </is>
      </c>
    </row>
    <row r="2182">
      <c r="A2182" s="173" t="n">
        <v>47103</v>
      </c>
      <c r="B2182" s="174" t="n">
        <v>47103</v>
      </c>
      <c r="C2182" s="174" t="n">
        <v>1407</v>
      </c>
      <c r="D2182" s="174" t="n">
        <v>9</v>
      </c>
      <c r="E2182" s="175" t="inlineStr">
        <is>
          <t>1407/09/26</t>
        </is>
      </c>
      <c r="F2182" s="128" t="inlineStr">
        <is>
          <t>1407/09</t>
        </is>
      </c>
      <c r="G2182" s="58" t="inlineStr">
        <is>
          <t>آذر</t>
        </is>
      </c>
      <c r="H2182" s="128" t="inlineStr">
        <is>
          <t>پاییز</t>
        </is>
      </c>
      <c r="I2182" s="128" t="inlineStr">
        <is>
          <t>شنبه</t>
        </is>
      </c>
      <c r="J2182" s="128" t="inlineStr">
        <is>
          <t>خیر</t>
        </is>
      </c>
    </row>
    <row r="2183">
      <c r="A2183" s="176" t="n">
        <v>47104</v>
      </c>
      <c r="B2183" s="177" t="n">
        <v>47104</v>
      </c>
      <c r="C2183" s="177" t="n">
        <v>1407</v>
      </c>
      <c r="D2183" s="177" t="n">
        <v>9</v>
      </c>
      <c r="E2183" s="178" t="inlineStr">
        <is>
          <t>1407/09/27</t>
        </is>
      </c>
      <c r="F2183" s="134" t="inlineStr">
        <is>
          <t>1407/09</t>
        </is>
      </c>
      <c r="G2183" s="61" t="inlineStr">
        <is>
          <t>آذر</t>
        </is>
      </c>
      <c r="H2183" s="134" t="inlineStr">
        <is>
          <t>پاییز</t>
        </is>
      </c>
      <c r="I2183" s="134" t="inlineStr">
        <is>
          <t>یکشنبه</t>
        </is>
      </c>
      <c r="J2183" s="134" t="inlineStr">
        <is>
          <t>خیر</t>
        </is>
      </c>
    </row>
    <row r="2184">
      <c r="A2184" s="173" t="n">
        <v>47105</v>
      </c>
      <c r="B2184" s="174" t="n">
        <v>47105</v>
      </c>
      <c r="C2184" s="174" t="n">
        <v>1407</v>
      </c>
      <c r="D2184" s="174" t="n">
        <v>9</v>
      </c>
      <c r="E2184" s="175" t="inlineStr">
        <is>
          <t>1407/09/28</t>
        </is>
      </c>
      <c r="F2184" s="128" t="inlineStr">
        <is>
          <t>1407/09</t>
        </is>
      </c>
      <c r="G2184" s="58" t="inlineStr">
        <is>
          <t>آذر</t>
        </is>
      </c>
      <c r="H2184" s="128" t="inlineStr">
        <is>
          <t>پاییز</t>
        </is>
      </c>
      <c r="I2184" s="128" t="inlineStr">
        <is>
          <t>دوشنبه</t>
        </is>
      </c>
      <c r="J2184" s="128" t="inlineStr">
        <is>
          <t>بله</t>
        </is>
      </c>
    </row>
    <row r="2185">
      <c r="A2185" s="176" t="n">
        <v>47106</v>
      </c>
      <c r="B2185" s="177" t="n">
        <v>47106</v>
      </c>
      <c r="C2185" s="177" t="n">
        <v>1407</v>
      </c>
      <c r="D2185" s="177" t="n">
        <v>9</v>
      </c>
      <c r="E2185" s="178" t="inlineStr">
        <is>
          <t>1407/09/29</t>
        </is>
      </c>
      <c r="F2185" s="134" t="inlineStr">
        <is>
          <t>1407/09</t>
        </is>
      </c>
      <c r="G2185" s="61" t="inlineStr">
        <is>
          <t>آذر</t>
        </is>
      </c>
      <c r="H2185" s="134" t="inlineStr">
        <is>
          <t>پاییز</t>
        </is>
      </c>
      <c r="I2185" s="134" t="inlineStr">
        <is>
          <t>سه‌شنبه</t>
        </is>
      </c>
      <c r="J2185" s="134" t="inlineStr">
        <is>
          <t>بله</t>
        </is>
      </c>
    </row>
    <row r="2186">
      <c r="A2186" s="173" t="n">
        <v>47107</v>
      </c>
      <c r="B2186" s="174" t="n">
        <v>47107</v>
      </c>
      <c r="C2186" s="174" t="n">
        <v>1407</v>
      </c>
      <c r="D2186" s="174" t="n">
        <v>9</v>
      </c>
      <c r="E2186" s="175" t="inlineStr">
        <is>
          <t>1407/09/30</t>
        </is>
      </c>
      <c r="F2186" s="128" t="inlineStr">
        <is>
          <t>1407/09</t>
        </is>
      </c>
      <c r="G2186" s="58" t="inlineStr">
        <is>
          <t>آذر</t>
        </is>
      </c>
      <c r="H2186" s="128" t="inlineStr">
        <is>
          <t>پاییز</t>
        </is>
      </c>
      <c r="I2186" s="128" t="inlineStr">
        <is>
          <t>چهارشنبه</t>
        </is>
      </c>
      <c r="J2186" s="128" t="inlineStr">
        <is>
          <t>بله</t>
        </is>
      </c>
    </row>
    <row r="2187">
      <c r="A2187" s="176" t="n">
        <v>47108</v>
      </c>
      <c r="B2187" s="177" t="n">
        <v>47108</v>
      </c>
      <c r="C2187" s="177" t="n">
        <v>1407</v>
      </c>
      <c r="D2187" s="177" t="n">
        <v>10</v>
      </c>
      <c r="E2187" s="178" t="inlineStr">
        <is>
          <t>1407/10/01</t>
        </is>
      </c>
      <c r="F2187" s="134" t="inlineStr">
        <is>
          <t>1407/10</t>
        </is>
      </c>
      <c r="G2187" s="61" t="inlineStr">
        <is>
          <t>دی</t>
        </is>
      </c>
      <c r="H2187" s="134" t="inlineStr">
        <is>
          <t>زمستان</t>
        </is>
      </c>
      <c r="I2187" s="134" t="inlineStr">
        <is>
          <t>پنجشنبه</t>
        </is>
      </c>
      <c r="J2187" s="134" t="inlineStr">
        <is>
          <t>بله</t>
        </is>
      </c>
    </row>
    <row r="2188">
      <c r="A2188" s="173" t="n">
        <v>47109</v>
      </c>
      <c r="B2188" s="174" t="n">
        <v>47109</v>
      </c>
      <c r="C2188" s="174" t="n">
        <v>1407</v>
      </c>
      <c r="D2188" s="174" t="n">
        <v>10</v>
      </c>
      <c r="E2188" s="175" t="inlineStr">
        <is>
          <t>1407/10/02</t>
        </is>
      </c>
      <c r="F2188" s="128" t="inlineStr">
        <is>
          <t>1407/10</t>
        </is>
      </c>
      <c r="G2188" s="58" t="inlineStr">
        <is>
          <t>دی</t>
        </is>
      </c>
      <c r="H2188" s="128" t="inlineStr">
        <is>
          <t>زمستان</t>
        </is>
      </c>
      <c r="I2188" s="128" t="inlineStr">
        <is>
          <t>جمعه</t>
        </is>
      </c>
      <c r="J2188" s="128" t="inlineStr">
        <is>
          <t>بله</t>
        </is>
      </c>
    </row>
    <row r="2189">
      <c r="A2189" s="176" t="n">
        <v>47110</v>
      </c>
      <c r="B2189" s="177" t="n">
        <v>47110</v>
      </c>
      <c r="C2189" s="177" t="n">
        <v>1407</v>
      </c>
      <c r="D2189" s="177" t="n">
        <v>10</v>
      </c>
      <c r="E2189" s="178" t="inlineStr">
        <is>
          <t>1407/10/03</t>
        </is>
      </c>
      <c r="F2189" s="134" t="inlineStr">
        <is>
          <t>1407/10</t>
        </is>
      </c>
      <c r="G2189" s="61" t="inlineStr">
        <is>
          <t>دی</t>
        </is>
      </c>
      <c r="H2189" s="134" t="inlineStr">
        <is>
          <t>زمستان</t>
        </is>
      </c>
      <c r="I2189" s="134" t="inlineStr">
        <is>
          <t>شنبه</t>
        </is>
      </c>
      <c r="J2189" s="134" t="inlineStr">
        <is>
          <t>خیر</t>
        </is>
      </c>
    </row>
    <row r="2190">
      <c r="A2190" s="173" t="n">
        <v>47111</v>
      </c>
      <c r="B2190" s="174" t="n">
        <v>47111</v>
      </c>
      <c r="C2190" s="174" t="n">
        <v>1407</v>
      </c>
      <c r="D2190" s="174" t="n">
        <v>10</v>
      </c>
      <c r="E2190" s="175" t="inlineStr">
        <is>
          <t>1407/10/04</t>
        </is>
      </c>
      <c r="F2190" s="128" t="inlineStr">
        <is>
          <t>1407/10</t>
        </is>
      </c>
      <c r="G2190" s="58" t="inlineStr">
        <is>
          <t>دی</t>
        </is>
      </c>
      <c r="H2190" s="128" t="inlineStr">
        <is>
          <t>زمستان</t>
        </is>
      </c>
      <c r="I2190" s="128" t="inlineStr">
        <is>
          <t>یکشنبه</t>
        </is>
      </c>
      <c r="J2190" s="128" t="inlineStr">
        <is>
          <t>خیر</t>
        </is>
      </c>
    </row>
    <row r="2191">
      <c r="A2191" s="176" t="n">
        <v>47112</v>
      </c>
      <c r="B2191" s="177" t="n">
        <v>47112</v>
      </c>
      <c r="C2191" s="177" t="n">
        <v>1407</v>
      </c>
      <c r="D2191" s="177" t="n">
        <v>10</v>
      </c>
      <c r="E2191" s="178" t="inlineStr">
        <is>
          <t>1407/10/05</t>
        </is>
      </c>
      <c r="F2191" s="134" t="inlineStr">
        <is>
          <t>1407/10</t>
        </is>
      </c>
      <c r="G2191" s="61" t="inlineStr">
        <is>
          <t>دی</t>
        </is>
      </c>
      <c r="H2191" s="134" t="inlineStr">
        <is>
          <t>زمستان</t>
        </is>
      </c>
      <c r="I2191" s="134" t="inlineStr">
        <is>
          <t>دوشنبه</t>
        </is>
      </c>
      <c r="J2191" s="134" t="inlineStr">
        <is>
          <t>بله</t>
        </is>
      </c>
    </row>
    <row r="2192">
      <c r="A2192" s="173" t="n">
        <v>47113</v>
      </c>
      <c r="B2192" s="174" t="n">
        <v>47113</v>
      </c>
      <c r="C2192" s="174" t="n">
        <v>1407</v>
      </c>
      <c r="D2192" s="174" t="n">
        <v>10</v>
      </c>
      <c r="E2192" s="175" t="inlineStr">
        <is>
          <t>1407/10/06</t>
        </is>
      </c>
      <c r="F2192" s="128" t="inlineStr">
        <is>
          <t>1407/10</t>
        </is>
      </c>
      <c r="G2192" s="58" t="inlineStr">
        <is>
          <t>دی</t>
        </is>
      </c>
      <c r="H2192" s="128" t="inlineStr">
        <is>
          <t>زمستان</t>
        </is>
      </c>
      <c r="I2192" s="128" t="inlineStr">
        <is>
          <t>سه‌شنبه</t>
        </is>
      </c>
      <c r="J2192" s="128" t="inlineStr">
        <is>
          <t>بله</t>
        </is>
      </c>
    </row>
    <row r="2193">
      <c r="A2193" s="176" t="n">
        <v>47114</v>
      </c>
      <c r="B2193" s="177" t="n">
        <v>47114</v>
      </c>
      <c r="C2193" s="177" t="n">
        <v>1407</v>
      </c>
      <c r="D2193" s="177" t="n">
        <v>10</v>
      </c>
      <c r="E2193" s="178" t="inlineStr">
        <is>
          <t>1407/10/07</t>
        </is>
      </c>
      <c r="F2193" s="134" t="inlineStr">
        <is>
          <t>1407/10</t>
        </is>
      </c>
      <c r="G2193" s="61" t="inlineStr">
        <is>
          <t>دی</t>
        </is>
      </c>
      <c r="H2193" s="134" t="inlineStr">
        <is>
          <t>زمستان</t>
        </is>
      </c>
      <c r="I2193" s="134" t="inlineStr">
        <is>
          <t>چهارشنبه</t>
        </is>
      </c>
      <c r="J2193" s="134" t="inlineStr">
        <is>
          <t>بله</t>
        </is>
      </c>
    </row>
    <row r="2194">
      <c r="A2194" s="173" t="n">
        <v>47115</v>
      </c>
      <c r="B2194" s="174" t="n">
        <v>47115</v>
      </c>
      <c r="C2194" s="174" t="n">
        <v>1407</v>
      </c>
      <c r="D2194" s="174" t="n">
        <v>10</v>
      </c>
      <c r="E2194" s="175" t="inlineStr">
        <is>
          <t>1407/10/08</t>
        </is>
      </c>
      <c r="F2194" s="128" t="inlineStr">
        <is>
          <t>1407/10</t>
        </is>
      </c>
      <c r="G2194" s="58" t="inlineStr">
        <is>
          <t>دی</t>
        </is>
      </c>
      <c r="H2194" s="128" t="inlineStr">
        <is>
          <t>زمستان</t>
        </is>
      </c>
      <c r="I2194" s="128" t="inlineStr">
        <is>
          <t>پنجشنبه</t>
        </is>
      </c>
      <c r="J2194" s="128" t="inlineStr">
        <is>
          <t>بله</t>
        </is>
      </c>
    </row>
    <row r="2195">
      <c r="A2195" s="176" t="n">
        <v>47116</v>
      </c>
      <c r="B2195" s="177" t="n">
        <v>47116</v>
      </c>
      <c r="C2195" s="177" t="n">
        <v>1407</v>
      </c>
      <c r="D2195" s="177" t="n">
        <v>10</v>
      </c>
      <c r="E2195" s="178" t="inlineStr">
        <is>
          <t>1407/10/09</t>
        </is>
      </c>
      <c r="F2195" s="134" t="inlineStr">
        <is>
          <t>1407/10</t>
        </is>
      </c>
      <c r="G2195" s="61" t="inlineStr">
        <is>
          <t>دی</t>
        </is>
      </c>
      <c r="H2195" s="134" t="inlineStr">
        <is>
          <t>زمستان</t>
        </is>
      </c>
      <c r="I2195" s="134" t="inlineStr">
        <is>
          <t>جمعه</t>
        </is>
      </c>
      <c r="J2195" s="134" t="inlineStr">
        <is>
          <t>بله</t>
        </is>
      </c>
    </row>
    <row r="2196">
      <c r="A2196" s="173" t="n">
        <v>47117</v>
      </c>
      <c r="B2196" s="174" t="n">
        <v>47117</v>
      </c>
      <c r="C2196" s="174" t="n">
        <v>1407</v>
      </c>
      <c r="D2196" s="174" t="n">
        <v>10</v>
      </c>
      <c r="E2196" s="175" t="inlineStr">
        <is>
          <t>1407/10/10</t>
        </is>
      </c>
      <c r="F2196" s="128" t="inlineStr">
        <is>
          <t>1407/10</t>
        </is>
      </c>
      <c r="G2196" s="58" t="inlineStr">
        <is>
          <t>دی</t>
        </is>
      </c>
      <c r="H2196" s="128" t="inlineStr">
        <is>
          <t>زمستان</t>
        </is>
      </c>
      <c r="I2196" s="128" t="inlineStr">
        <is>
          <t>شنبه</t>
        </is>
      </c>
      <c r="J2196" s="128" t="inlineStr">
        <is>
          <t>خیر</t>
        </is>
      </c>
    </row>
    <row r="2197">
      <c r="A2197" s="176" t="n">
        <v>47118</v>
      </c>
      <c r="B2197" s="177" t="n">
        <v>47118</v>
      </c>
      <c r="C2197" s="177" t="n">
        <v>1407</v>
      </c>
      <c r="D2197" s="177" t="n">
        <v>10</v>
      </c>
      <c r="E2197" s="178" t="inlineStr">
        <is>
          <t>1407/10/11</t>
        </is>
      </c>
      <c r="F2197" s="134" t="inlineStr">
        <is>
          <t>1407/10</t>
        </is>
      </c>
      <c r="G2197" s="61" t="inlineStr">
        <is>
          <t>دی</t>
        </is>
      </c>
      <c r="H2197" s="134" t="inlineStr">
        <is>
          <t>زمستان</t>
        </is>
      </c>
      <c r="I2197" s="134" t="inlineStr">
        <is>
          <t>یکشنبه</t>
        </is>
      </c>
      <c r="J2197" s="134" t="inlineStr">
        <is>
          <t>خیر</t>
        </is>
      </c>
    </row>
    <row r="2198">
      <c r="A2198" s="173" t="n">
        <v>47119</v>
      </c>
      <c r="B2198" s="174" t="n">
        <v>47119</v>
      </c>
      <c r="C2198" s="174" t="n">
        <v>1407</v>
      </c>
      <c r="D2198" s="174" t="n">
        <v>10</v>
      </c>
      <c r="E2198" s="175" t="inlineStr">
        <is>
          <t>1407/10/12</t>
        </is>
      </c>
      <c r="F2198" s="128" t="inlineStr">
        <is>
          <t>1407/10</t>
        </is>
      </c>
      <c r="G2198" s="58" t="inlineStr">
        <is>
          <t>دی</t>
        </is>
      </c>
      <c r="H2198" s="128" t="inlineStr">
        <is>
          <t>زمستان</t>
        </is>
      </c>
      <c r="I2198" s="128" t="inlineStr">
        <is>
          <t>دوشنبه</t>
        </is>
      </c>
      <c r="J2198" s="128" t="inlineStr">
        <is>
          <t>بله</t>
        </is>
      </c>
    </row>
    <row r="2199">
      <c r="A2199" s="176" t="n">
        <v>47120</v>
      </c>
      <c r="B2199" s="177" t="n">
        <v>47120</v>
      </c>
      <c r="C2199" s="177" t="n">
        <v>1407</v>
      </c>
      <c r="D2199" s="177" t="n">
        <v>10</v>
      </c>
      <c r="E2199" s="178" t="inlineStr">
        <is>
          <t>1407/10/13</t>
        </is>
      </c>
      <c r="F2199" s="134" t="inlineStr">
        <is>
          <t>1407/10</t>
        </is>
      </c>
      <c r="G2199" s="61" t="inlineStr">
        <is>
          <t>دی</t>
        </is>
      </c>
      <c r="H2199" s="134" t="inlineStr">
        <is>
          <t>زمستان</t>
        </is>
      </c>
      <c r="I2199" s="134" t="inlineStr">
        <is>
          <t>سه‌شنبه</t>
        </is>
      </c>
      <c r="J2199" s="134" t="inlineStr">
        <is>
          <t>بله</t>
        </is>
      </c>
    </row>
    <row r="2200">
      <c r="A2200" s="173" t="n">
        <v>47121</v>
      </c>
      <c r="B2200" s="174" t="n">
        <v>47121</v>
      </c>
      <c r="C2200" s="174" t="n">
        <v>1407</v>
      </c>
      <c r="D2200" s="174" t="n">
        <v>10</v>
      </c>
      <c r="E2200" s="175" t="inlineStr">
        <is>
          <t>1407/10/14</t>
        </is>
      </c>
      <c r="F2200" s="128" t="inlineStr">
        <is>
          <t>1407/10</t>
        </is>
      </c>
      <c r="G2200" s="58" t="inlineStr">
        <is>
          <t>دی</t>
        </is>
      </c>
      <c r="H2200" s="128" t="inlineStr">
        <is>
          <t>زمستان</t>
        </is>
      </c>
      <c r="I2200" s="128" t="inlineStr">
        <is>
          <t>چهارشنبه</t>
        </is>
      </c>
      <c r="J2200" s="128" t="inlineStr">
        <is>
          <t>بله</t>
        </is>
      </c>
    </row>
    <row r="2201">
      <c r="A2201" s="176" t="n">
        <v>47122</v>
      </c>
      <c r="B2201" s="177" t="n">
        <v>47122</v>
      </c>
      <c r="C2201" s="177" t="n">
        <v>1407</v>
      </c>
      <c r="D2201" s="177" t="n">
        <v>10</v>
      </c>
      <c r="E2201" s="178" t="inlineStr">
        <is>
          <t>1407/10/15</t>
        </is>
      </c>
      <c r="F2201" s="134" t="inlineStr">
        <is>
          <t>1407/10</t>
        </is>
      </c>
      <c r="G2201" s="61" t="inlineStr">
        <is>
          <t>دی</t>
        </is>
      </c>
      <c r="H2201" s="134" t="inlineStr">
        <is>
          <t>زمستان</t>
        </is>
      </c>
      <c r="I2201" s="134" t="inlineStr">
        <is>
          <t>پنجشنبه</t>
        </is>
      </c>
      <c r="J2201" s="134" t="inlineStr">
        <is>
          <t>بله</t>
        </is>
      </c>
    </row>
    <row r="2202">
      <c r="A2202" s="173" t="n">
        <v>47123</v>
      </c>
      <c r="B2202" s="174" t="n">
        <v>47123</v>
      </c>
      <c r="C2202" s="174" t="n">
        <v>1407</v>
      </c>
      <c r="D2202" s="174" t="n">
        <v>10</v>
      </c>
      <c r="E2202" s="175" t="inlineStr">
        <is>
          <t>1407/10/16</t>
        </is>
      </c>
      <c r="F2202" s="128" t="inlineStr">
        <is>
          <t>1407/10</t>
        </is>
      </c>
      <c r="G2202" s="58" t="inlineStr">
        <is>
          <t>دی</t>
        </is>
      </c>
      <c r="H2202" s="128" t="inlineStr">
        <is>
          <t>زمستان</t>
        </is>
      </c>
      <c r="I2202" s="128" t="inlineStr">
        <is>
          <t>جمعه</t>
        </is>
      </c>
      <c r="J2202" s="128" t="inlineStr">
        <is>
          <t>بله</t>
        </is>
      </c>
    </row>
    <row r="2203">
      <c r="A2203" s="176" t="n">
        <v>47124</v>
      </c>
      <c r="B2203" s="177" t="n">
        <v>47124</v>
      </c>
      <c r="C2203" s="177" t="n">
        <v>1407</v>
      </c>
      <c r="D2203" s="177" t="n">
        <v>10</v>
      </c>
      <c r="E2203" s="178" t="inlineStr">
        <is>
          <t>1407/10/17</t>
        </is>
      </c>
      <c r="F2203" s="134" t="inlineStr">
        <is>
          <t>1407/10</t>
        </is>
      </c>
      <c r="G2203" s="61" t="inlineStr">
        <is>
          <t>دی</t>
        </is>
      </c>
      <c r="H2203" s="134" t="inlineStr">
        <is>
          <t>زمستان</t>
        </is>
      </c>
      <c r="I2203" s="134" t="inlineStr">
        <is>
          <t>شنبه</t>
        </is>
      </c>
      <c r="J2203" s="134" t="inlineStr">
        <is>
          <t>خیر</t>
        </is>
      </c>
    </row>
    <row r="2204">
      <c r="A2204" s="173" t="n">
        <v>47125</v>
      </c>
      <c r="B2204" s="174" t="n">
        <v>47125</v>
      </c>
      <c r="C2204" s="174" t="n">
        <v>1407</v>
      </c>
      <c r="D2204" s="174" t="n">
        <v>10</v>
      </c>
      <c r="E2204" s="175" t="inlineStr">
        <is>
          <t>1407/10/18</t>
        </is>
      </c>
      <c r="F2204" s="128" t="inlineStr">
        <is>
          <t>1407/10</t>
        </is>
      </c>
      <c r="G2204" s="58" t="inlineStr">
        <is>
          <t>دی</t>
        </is>
      </c>
      <c r="H2204" s="128" t="inlineStr">
        <is>
          <t>زمستان</t>
        </is>
      </c>
      <c r="I2204" s="128" t="inlineStr">
        <is>
          <t>یکشنبه</t>
        </is>
      </c>
      <c r="J2204" s="128" t="inlineStr">
        <is>
          <t>خیر</t>
        </is>
      </c>
    </row>
    <row r="2205">
      <c r="A2205" s="176" t="n">
        <v>47126</v>
      </c>
      <c r="B2205" s="177" t="n">
        <v>47126</v>
      </c>
      <c r="C2205" s="177" t="n">
        <v>1407</v>
      </c>
      <c r="D2205" s="177" t="n">
        <v>10</v>
      </c>
      <c r="E2205" s="178" t="inlineStr">
        <is>
          <t>1407/10/19</t>
        </is>
      </c>
      <c r="F2205" s="134" t="inlineStr">
        <is>
          <t>1407/10</t>
        </is>
      </c>
      <c r="G2205" s="61" t="inlineStr">
        <is>
          <t>دی</t>
        </is>
      </c>
      <c r="H2205" s="134" t="inlineStr">
        <is>
          <t>زمستان</t>
        </is>
      </c>
      <c r="I2205" s="134" t="inlineStr">
        <is>
          <t>دوشنبه</t>
        </is>
      </c>
      <c r="J2205" s="134" t="inlineStr">
        <is>
          <t>بله</t>
        </is>
      </c>
    </row>
    <row r="2206">
      <c r="A2206" s="173" t="n">
        <v>47127</v>
      </c>
      <c r="B2206" s="174" t="n">
        <v>47127</v>
      </c>
      <c r="C2206" s="174" t="n">
        <v>1407</v>
      </c>
      <c r="D2206" s="174" t="n">
        <v>10</v>
      </c>
      <c r="E2206" s="175" t="inlineStr">
        <is>
          <t>1407/10/20</t>
        </is>
      </c>
      <c r="F2206" s="128" t="inlineStr">
        <is>
          <t>1407/10</t>
        </is>
      </c>
      <c r="G2206" s="58" t="inlineStr">
        <is>
          <t>دی</t>
        </is>
      </c>
      <c r="H2206" s="128" t="inlineStr">
        <is>
          <t>زمستان</t>
        </is>
      </c>
      <c r="I2206" s="128" t="inlineStr">
        <is>
          <t>سه‌شنبه</t>
        </is>
      </c>
      <c r="J2206" s="128" t="inlineStr">
        <is>
          <t>بله</t>
        </is>
      </c>
    </row>
    <row r="2207">
      <c r="A2207" s="176" t="n">
        <v>47128</v>
      </c>
      <c r="B2207" s="177" t="n">
        <v>47128</v>
      </c>
      <c r="C2207" s="177" t="n">
        <v>1407</v>
      </c>
      <c r="D2207" s="177" t="n">
        <v>10</v>
      </c>
      <c r="E2207" s="178" t="inlineStr">
        <is>
          <t>1407/10/21</t>
        </is>
      </c>
      <c r="F2207" s="134" t="inlineStr">
        <is>
          <t>1407/10</t>
        </is>
      </c>
      <c r="G2207" s="61" t="inlineStr">
        <is>
          <t>دی</t>
        </is>
      </c>
      <c r="H2207" s="134" t="inlineStr">
        <is>
          <t>زمستان</t>
        </is>
      </c>
      <c r="I2207" s="134" t="inlineStr">
        <is>
          <t>چهارشنبه</t>
        </is>
      </c>
      <c r="J2207" s="134" t="inlineStr">
        <is>
          <t>بله</t>
        </is>
      </c>
    </row>
    <row r="2208">
      <c r="A2208" s="173" t="n">
        <v>47129</v>
      </c>
      <c r="B2208" s="174" t="n">
        <v>47129</v>
      </c>
      <c r="C2208" s="174" t="n">
        <v>1407</v>
      </c>
      <c r="D2208" s="174" t="n">
        <v>10</v>
      </c>
      <c r="E2208" s="175" t="inlineStr">
        <is>
          <t>1407/10/22</t>
        </is>
      </c>
      <c r="F2208" s="128" t="inlineStr">
        <is>
          <t>1407/10</t>
        </is>
      </c>
      <c r="G2208" s="58" t="inlineStr">
        <is>
          <t>دی</t>
        </is>
      </c>
      <c r="H2208" s="128" t="inlineStr">
        <is>
          <t>زمستان</t>
        </is>
      </c>
      <c r="I2208" s="128" t="inlineStr">
        <is>
          <t>پنجشنبه</t>
        </is>
      </c>
      <c r="J2208" s="128" t="inlineStr">
        <is>
          <t>بله</t>
        </is>
      </c>
    </row>
    <row r="2209">
      <c r="A2209" s="176" t="n">
        <v>47130</v>
      </c>
      <c r="B2209" s="177" t="n">
        <v>47130</v>
      </c>
      <c r="C2209" s="177" t="n">
        <v>1407</v>
      </c>
      <c r="D2209" s="177" t="n">
        <v>10</v>
      </c>
      <c r="E2209" s="178" t="inlineStr">
        <is>
          <t>1407/10/23</t>
        </is>
      </c>
      <c r="F2209" s="134" t="inlineStr">
        <is>
          <t>1407/10</t>
        </is>
      </c>
      <c r="G2209" s="61" t="inlineStr">
        <is>
          <t>دی</t>
        </is>
      </c>
      <c r="H2209" s="134" t="inlineStr">
        <is>
          <t>زمستان</t>
        </is>
      </c>
      <c r="I2209" s="134" t="inlineStr">
        <is>
          <t>جمعه</t>
        </is>
      </c>
      <c r="J2209" s="134" t="inlineStr">
        <is>
          <t>بله</t>
        </is>
      </c>
    </row>
    <row r="2210">
      <c r="A2210" s="173" t="n">
        <v>47131</v>
      </c>
      <c r="B2210" s="174" t="n">
        <v>47131</v>
      </c>
      <c r="C2210" s="174" t="n">
        <v>1407</v>
      </c>
      <c r="D2210" s="174" t="n">
        <v>10</v>
      </c>
      <c r="E2210" s="175" t="inlineStr">
        <is>
          <t>1407/10/24</t>
        </is>
      </c>
      <c r="F2210" s="128" t="inlineStr">
        <is>
          <t>1407/10</t>
        </is>
      </c>
      <c r="G2210" s="58" t="inlineStr">
        <is>
          <t>دی</t>
        </is>
      </c>
      <c r="H2210" s="128" t="inlineStr">
        <is>
          <t>زمستان</t>
        </is>
      </c>
      <c r="I2210" s="128" t="inlineStr">
        <is>
          <t>شنبه</t>
        </is>
      </c>
      <c r="J2210" s="128" t="inlineStr">
        <is>
          <t>خیر</t>
        </is>
      </c>
    </row>
    <row r="2211">
      <c r="A2211" s="176" t="n">
        <v>47132</v>
      </c>
      <c r="B2211" s="177" t="n">
        <v>47132</v>
      </c>
      <c r="C2211" s="177" t="n">
        <v>1407</v>
      </c>
      <c r="D2211" s="177" t="n">
        <v>10</v>
      </c>
      <c r="E2211" s="178" t="inlineStr">
        <is>
          <t>1407/10/25</t>
        </is>
      </c>
      <c r="F2211" s="134" t="inlineStr">
        <is>
          <t>1407/10</t>
        </is>
      </c>
      <c r="G2211" s="61" t="inlineStr">
        <is>
          <t>دی</t>
        </is>
      </c>
      <c r="H2211" s="134" t="inlineStr">
        <is>
          <t>زمستان</t>
        </is>
      </c>
      <c r="I2211" s="134" t="inlineStr">
        <is>
          <t>یکشنبه</t>
        </is>
      </c>
      <c r="J2211" s="134" t="inlineStr">
        <is>
          <t>خیر</t>
        </is>
      </c>
    </row>
    <row r="2212">
      <c r="A2212" s="173" t="n">
        <v>47133</v>
      </c>
      <c r="B2212" s="174" t="n">
        <v>47133</v>
      </c>
      <c r="C2212" s="174" t="n">
        <v>1407</v>
      </c>
      <c r="D2212" s="174" t="n">
        <v>10</v>
      </c>
      <c r="E2212" s="175" t="inlineStr">
        <is>
          <t>1407/10/26</t>
        </is>
      </c>
      <c r="F2212" s="128" t="inlineStr">
        <is>
          <t>1407/10</t>
        </is>
      </c>
      <c r="G2212" s="58" t="inlineStr">
        <is>
          <t>دی</t>
        </is>
      </c>
      <c r="H2212" s="128" t="inlineStr">
        <is>
          <t>زمستان</t>
        </is>
      </c>
      <c r="I2212" s="128" t="inlineStr">
        <is>
          <t>دوشنبه</t>
        </is>
      </c>
      <c r="J2212" s="128" t="inlineStr">
        <is>
          <t>بله</t>
        </is>
      </c>
    </row>
    <row r="2213">
      <c r="A2213" s="176" t="n">
        <v>47134</v>
      </c>
      <c r="B2213" s="177" t="n">
        <v>47134</v>
      </c>
      <c r="C2213" s="177" t="n">
        <v>1407</v>
      </c>
      <c r="D2213" s="177" t="n">
        <v>10</v>
      </c>
      <c r="E2213" s="178" t="inlineStr">
        <is>
          <t>1407/10/27</t>
        </is>
      </c>
      <c r="F2213" s="134" t="inlineStr">
        <is>
          <t>1407/10</t>
        </is>
      </c>
      <c r="G2213" s="61" t="inlineStr">
        <is>
          <t>دی</t>
        </is>
      </c>
      <c r="H2213" s="134" t="inlineStr">
        <is>
          <t>زمستان</t>
        </is>
      </c>
      <c r="I2213" s="134" t="inlineStr">
        <is>
          <t>سه‌شنبه</t>
        </is>
      </c>
      <c r="J2213" s="134" t="inlineStr">
        <is>
          <t>بله</t>
        </is>
      </c>
    </row>
    <row r="2214">
      <c r="A2214" s="173" t="n">
        <v>47135</v>
      </c>
      <c r="B2214" s="174" t="n">
        <v>47135</v>
      </c>
      <c r="C2214" s="174" t="n">
        <v>1407</v>
      </c>
      <c r="D2214" s="174" t="n">
        <v>10</v>
      </c>
      <c r="E2214" s="175" t="inlineStr">
        <is>
          <t>1407/10/28</t>
        </is>
      </c>
      <c r="F2214" s="128" t="inlineStr">
        <is>
          <t>1407/10</t>
        </is>
      </c>
      <c r="G2214" s="58" t="inlineStr">
        <is>
          <t>دی</t>
        </is>
      </c>
      <c r="H2214" s="128" t="inlineStr">
        <is>
          <t>زمستان</t>
        </is>
      </c>
      <c r="I2214" s="128" t="inlineStr">
        <is>
          <t>چهارشنبه</t>
        </is>
      </c>
      <c r="J2214" s="128" t="inlineStr">
        <is>
          <t>بله</t>
        </is>
      </c>
    </row>
    <row r="2215">
      <c r="A2215" s="176" t="n">
        <v>47136</v>
      </c>
      <c r="B2215" s="177" t="n">
        <v>47136</v>
      </c>
      <c r="C2215" s="177" t="n">
        <v>1407</v>
      </c>
      <c r="D2215" s="177" t="n">
        <v>10</v>
      </c>
      <c r="E2215" s="178" t="inlineStr">
        <is>
          <t>1407/10/29</t>
        </is>
      </c>
      <c r="F2215" s="134" t="inlineStr">
        <is>
          <t>1407/10</t>
        </is>
      </c>
      <c r="G2215" s="61" t="inlineStr">
        <is>
          <t>دی</t>
        </is>
      </c>
      <c r="H2215" s="134" t="inlineStr">
        <is>
          <t>زمستان</t>
        </is>
      </c>
      <c r="I2215" s="134" t="inlineStr">
        <is>
          <t>پنجشنبه</t>
        </is>
      </c>
      <c r="J2215" s="134" t="inlineStr">
        <is>
          <t>بله</t>
        </is>
      </c>
    </row>
    <row r="2216">
      <c r="A2216" s="173" t="n">
        <v>47137</v>
      </c>
      <c r="B2216" s="174" t="n">
        <v>47137</v>
      </c>
      <c r="C2216" s="174" t="n">
        <v>1407</v>
      </c>
      <c r="D2216" s="174" t="n">
        <v>10</v>
      </c>
      <c r="E2216" s="175" t="inlineStr">
        <is>
          <t>1407/10/30</t>
        </is>
      </c>
      <c r="F2216" s="128" t="inlineStr">
        <is>
          <t>1407/10</t>
        </is>
      </c>
      <c r="G2216" s="58" t="inlineStr">
        <is>
          <t>دی</t>
        </is>
      </c>
      <c r="H2216" s="128" t="inlineStr">
        <is>
          <t>زمستان</t>
        </is>
      </c>
      <c r="I2216" s="128" t="inlineStr">
        <is>
          <t>جمعه</t>
        </is>
      </c>
      <c r="J2216" s="128" t="inlineStr">
        <is>
          <t>بله</t>
        </is>
      </c>
    </row>
    <row r="2217">
      <c r="A2217" s="176" t="n">
        <v>47138</v>
      </c>
      <c r="B2217" s="177" t="n">
        <v>47138</v>
      </c>
      <c r="C2217" s="177" t="n">
        <v>1407</v>
      </c>
      <c r="D2217" s="177" t="n">
        <v>11</v>
      </c>
      <c r="E2217" s="178" t="inlineStr">
        <is>
          <t>1407/11/01</t>
        </is>
      </c>
      <c r="F2217" s="134" t="inlineStr">
        <is>
          <t>1407/11</t>
        </is>
      </c>
      <c r="G2217" s="61" t="inlineStr">
        <is>
          <t>بهمن</t>
        </is>
      </c>
      <c r="H2217" s="134" t="inlineStr">
        <is>
          <t>زمستان</t>
        </is>
      </c>
      <c r="I2217" s="134" t="inlineStr">
        <is>
          <t>شنبه</t>
        </is>
      </c>
      <c r="J2217" s="134" t="inlineStr">
        <is>
          <t>خیر</t>
        </is>
      </c>
    </row>
    <row r="2218">
      <c r="A2218" s="173" t="n">
        <v>47139</v>
      </c>
      <c r="B2218" s="174" t="n">
        <v>47139</v>
      </c>
      <c r="C2218" s="174" t="n">
        <v>1407</v>
      </c>
      <c r="D2218" s="174" t="n">
        <v>11</v>
      </c>
      <c r="E2218" s="175" t="inlineStr">
        <is>
          <t>1407/11/02</t>
        </is>
      </c>
      <c r="F2218" s="128" t="inlineStr">
        <is>
          <t>1407/11</t>
        </is>
      </c>
      <c r="G2218" s="58" t="inlineStr">
        <is>
          <t>بهمن</t>
        </is>
      </c>
      <c r="H2218" s="128" t="inlineStr">
        <is>
          <t>زمستان</t>
        </is>
      </c>
      <c r="I2218" s="128" t="inlineStr">
        <is>
          <t>یکشنبه</t>
        </is>
      </c>
      <c r="J2218" s="128" t="inlineStr">
        <is>
          <t>خیر</t>
        </is>
      </c>
    </row>
    <row r="2219">
      <c r="A2219" s="176" t="n">
        <v>47140</v>
      </c>
      <c r="B2219" s="177" t="n">
        <v>47140</v>
      </c>
      <c r="C2219" s="177" t="n">
        <v>1407</v>
      </c>
      <c r="D2219" s="177" t="n">
        <v>11</v>
      </c>
      <c r="E2219" s="178" t="inlineStr">
        <is>
          <t>1407/11/03</t>
        </is>
      </c>
      <c r="F2219" s="134" t="inlineStr">
        <is>
          <t>1407/11</t>
        </is>
      </c>
      <c r="G2219" s="61" t="inlineStr">
        <is>
          <t>بهمن</t>
        </is>
      </c>
      <c r="H2219" s="134" t="inlineStr">
        <is>
          <t>زمستان</t>
        </is>
      </c>
      <c r="I2219" s="134" t="inlineStr">
        <is>
          <t>دوشنبه</t>
        </is>
      </c>
      <c r="J2219" s="134" t="inlineStr">
        <is>
          <t>بله</t>
        </is>
      </c>
    </row>
    <row r="2220">
      <c r="A2220" s="173" t="n">
        <v>47141</v>
      </c>
      <c r="B2220" s="174" t="n">
        <v>47141</v>
      </c>
      <c r="C2220" s="174" t="n">
        <v>1407</v>
      </c>
      <c r="D2220" s="174" t="n">
        <v>11</v>
      </c>
      <c r="E2220" s="175" t="inlineStr">
        <is>
          <t>1407/11/04</t>
        </is>
      </c>
      <c r="F2220" s="128" t="inlineStr">
        <is>
          <t>1407/11</t>
        </is>
      </c>
      <c r="G2220" s="58" t="inlineStr">
        <is>
          <t>بهمن</t>
        </is>
      </c>
      <c r="H2220" s="128" t="inlineStr">
        <is>
          <t>زمستان</t>
        </is>
      </c>
      <c r="I2220" s="128" t="inlineStr">
        <is>
          <t>سه‌شنبه</t>
        </is>
      </c>
      <c r="J2220" s="128" t="inlineStr">
        <is>
          <t>بله</t>
        </is>
      </c>
    </row>
    <row r="2221">
      <c r="A2221" s="176" t="n">
        <v>47142</v>
      </c>
      <c r="B2221" s="177" t="n">
        <v>47142</v>
      </c>
      <c r="C2221" s="177" t="n">
        <v>1407</v>
      </c>
      <c r="D2221" s="177" t="n">
        <v>11</v>
      </c>
      <c r="E2221" s="178" t="inlineStr">
        <is>
          <t>1407/11/05</t>
        </is>
      </c>
      <c r="F2221" s="134" t="inlineStr">
        <is>
          <t>1407/11</t>
        </is>
      </c>
      <c r="G2221" s="61" t="inlineStr">
        <is>
          <t>بهمن</t>
        </is>
      </c>
      <c r="H2221" s="134" t="inlineStr">
        <is>
          <t>زمستان</t>
        </is>
      </c>
      <c r="I2221" s="134" t="inlineStr">
        <is>
          <t>چهارشنبه</t>
        </is>
      </c>
      <c r="J2221" s="134" t="inlineStr">
        <is>
          <t>بله</t>
        </is>
      </c>
    </row>
    <row r="2222">
      <c r="A2222" s="173" t="n">
        <v>47143</v>
      </c>
      <c r="B2222" s="174" t="n">
        <v>47143</v>
      </c>
      <c r="C2222" s="174" t="n">
        <v>1407</v>
      </c>
      <c r="D2222" s="174" t="n">
        <v>11</v>
      </c>
      <c r="E2222" s="175" t="inlineStr">
        <is>
          <t>1407/11/06</t>
        </is>
      </c>
      <c r="F2222" s="128" t="inlineStr">
        <is>
          <t>1407/11</t>
        </is>
      </c>
      <c r="G2222" s="58" t="inlineStr">
        <is>
          <t>بهمن</t>
        </is>
      </c>
      <c r="H2222" s="128" t="inlineStr">
        <is>
          <t>زمستان</t>
        </is>
      </c>
      <c r="I2222" s="128" t="inlineStr">
        <is>
          <t>پنجشنبه</t>
        </is>
      </c>
      <c r="J2222" s="128" t="inlineStr">
        <is>
          <t>بله</t>
        </is>
      </c>
    </row>
    <row r="2223">
      <c r="A2223" s="176" t="n">
        <v>47144</v>
      </c>
      <c r="B2223" s="177" t="n">
        <v>47144</v>
      </c>
      <c r="C2223" s="177" t="n">
        <v>1407</v>
      </c>
      <c r="D2223" s="177" t="n">
        <v>11</v>
      </c>
      <c r="E2223" s="178" t="inlineStr">
        <is>
          <t>1407/11/07</t>
        </is>
      </c>
      <c r="F2223" s="134" t="inlineStr">
        <is>
          <t>1407/11</t>
        </is>
      </c>
      <c r="G2223" s="61" t="inlineStr">
        <is>
          <t>بهمن</t>
        </is>
      </c>
      <c r="H2223" s="134" t="inlineStr">
        <is>
          <t>زمستان</t>
        </is>
      </c>
      <c r="I2223" s="134" t="inlineStr">
        <is>
          <t>جمعه</t>
        </is>
      </c>
      <c r="J2223" s="134" t="inlineStr">
        <is>
          <t>بله</t>
        </is>
      </c>
    </row>
    <row r="2224">
      <c r="A2224" s="173" t="n">
        <v>47145</v>
      </c>
      <c r="B2224" s="174" t="n">
        <v>47145</v>
      </c>
      <c r="C2224" s="174" t="n">
        <v>1407</v>
      </c>
      <c r="D2224" s="174" t="n">
        <v>11</v>
      </c>
      <c r="E2224" s="175" t="inlineStr">
        <is>
          <t>1407/11/08</t>
        </is>
      </c>
      <c r="F2224" s="128" t="inlineStr">
        <is>
          <t>1407/11</t>
        </is>
      </c>
      <c r="G2224" s="58" t="inlineStr">
        <is>
          <t>بهمن</t>
        </is>
      </c>
      <c r="H2224" s="128" t="inlineStr">
        <is>
          <t>زمستان</t>
        </is>
      </c>
      <c r="I2224" s="128" t="inlineStr">
        <is>
          <t>شنبه</t>
        </is>
      </c>
      <c r="J2224" s="128" t="inlineStr">
        <is>
          <t>خیر</t>
        </is>
      </c>
    </row>
    <row r="2225">
      <c r="A2225" s="176" t="n">
        <v>47146</v>
      </c>
      <c r="B2225" s="177" t="n">
        <v>47146</v>
      </c>
      <c r="C2225" s="177" t="n">
        <v>1407</v>
      </c>
      <c r="D2225" s="177" t="n">
        <v>11</v>
      </c>
      <c r="E2225" s="178" t="inlineStr">
        <is>
          <t>1407/11/09</t>
        </is>
      </c>
      <c r="F2225" s="134" t="inlineStr">
        <is>
          <t>1407/11</t>
        </is>
      </c>
      <c r="G2225" s="61" t="inlineStr">
        <is>
          <t>بهمن</t>
        </is>
      </c>
      <c r="H2225" s="134" t="inlineStr">
        <is>
          <t>زمستان</t>
        </is>
      </c>
      <c r="I2225" s="134" t="inlineStr">
        <is>
          <t>یکشنبه</t>
        </is>
      </c>
      <c r="J2225" s="134" t="inlineStr">
        <is>
          <t>خیر</t>
        </is>
      </c>
    </row>
    <row r="2226">
      <c r="A2226" s="173" t="n">
        <v>47147</v>
      </c>
      <c r="B2226" s="174" t="n">
        <v>47147</v>
      </c>
      <c r="C2226" s="174" t="n">
        <v>1407</v>
      </c>
      <c r="D2226" s="174" t="n">
        <v>11</v>
      </c>
      <c r="E2226" s="175" t="inlineStr">
        <is>
          <t>1407/11/10</t>
        </is>
      </c>
      <c r="F2226" s="128" t="inlineStr">
        <is>
          <t>1407/11</t>
        </is>
      </c>
      <c r="G2226" s="58" t="inlineStr">
        <is>
          <t>بهمن</t>
        </is>
      </c>
      <c r="H2226" s="128" t="inlineStr">
        <is>
          <t>زمستان</t>
        </is>
      </c>
      <c r="I2226" s="128" t="inlineStr">
        <is>
          <t>دوشنبه</t>
        </is>
      </c>
      <c r="J2226" s="128" t="inlineStr">
        <is>
          <t>بله</t>
        </is>
      </c>
    </row>
    <row r="2227">
      <c r="A2227" s="176" t="n">
        <v>47148</v>
      </c>
      <c r="B2227" s="177" t="n">
        <v>47148</v>
      </c>
      <c r="C2227" s="177" t="n">
        <v>1407</v>
      </c>
      <c r="D2227" s="177" t="n">
        <v>11</v>
      </c>
      <c r="E2227" s="178" t="inlineStr">
        <is>
          <t>1407/11/11</t>
        </is>
      </c>
      <c r="F2227" s="134" t="inlineStr">
        <is>
          <t>1407/11</t>
        </is>
      </c>
      <c r="G2227" s="61" t="inlineStr">
        <is>
          <t>بهمن</t>
        </is>
      </c>
      <c r="H2227" s="134" t="inlineStr">
        <is>
          <t>زمستان</t>
        </is>
      </c>
      <c r="I2227" s="134" t="inlineStr">
        <is>
          <t>سه‌شنبه</t>
        </is>
      </c>
      <c r="J2227" s="134" t="inlineStr">
        <is>
          <t>بله</t>
        </is>
      </c>
    </row>
    <row r="2228">
      <c r="A2228" s="173" t="n">
        <v>47149</v>
      </c>
      <c r="B2228" s="174" t="n">
        <v>47149</v>
      </c>
      <c r="C2228" s="174" t="n">
        <v>1407</v>
      </c>
      <c r="D2228" s="174" t="n">
        <v>11</v>
      </c>
      <c r="E2228" s="175" t="inlineStr">
        <is>
          <t>1407/11/12</t>
        </is>
      </c>
      <c r="F2228" s="128" t="inlineStr">
        <is>
          <t>1407/11</t>
        </is>
      </c>
      <c r="G2228" s="58" t="inlineStr">
        <is>
          <t>بهمن</t>
        </is>
      </c>
      <c r="H2228" s="128" t="inlineStr">
        <is>
          <t>زمستان</t>
        </is>
      </c>
      <c r="I2228" s="128" t="inlineStr">
        <is>
          <t>چهارشنبه</t>
        </is>
      </c>
      <c r="J2228" s="128" t="inlineStr">
        <is>
          <t>بله</t>
        </is>
      </c>
    </row>
    <row r="2229">
      <c r="A2229" s="176" t="n">
        <v>47150</v>
      </c>
      <c r="B2229" s="177" t="n">
        <v>47150</v>
      </c>
      <c r="C2229" s="177" t="n">
        <v>1407</v>
      </c>
      <c r="D2229" s="177" t="n">
        <v>11</v>
      </c>
      <c r="E2229" s="178" t="inlineStr">
        <is>
          <t>1407/11/13</t>
        </is>
      </c>
      <c r="F2229" s="134" t="inlineStr">
        <is>
          <t>1407/11</t>
        </is>
      </c>
      <c r="G2229" s="61" t="inlineStr">
        <is>
          <t>بهمن</t>
        </is>
      </c>
      <c r="H2229" s="134" t="inlineStr">
        <is>
          <t>زمستان</t>
        </is>
      </c>
      <c r="I2229" s="134" t="inlineStr">
        <is>
          <t>پنجشنبه</t>
        </is>
      </c>
      <c r="J2229" s="134" t="inlineStr">
        <is>
          <t>بله</t>
        </is>
      </c>
    </row>
    <row r="2230">
      <c r="A2230" s="173" t="n">
        <v>47151</v>
      </c>
      <c r="B2230" s="174" t="n">
        <v>47151</v>
      </c>
      <c r="C2230" s="174" t="n">
        <v>1407</v>
      </c>
      <c r="D2230" s="174" t="n">
        <v>11</v>
      </c>
      <c r="E2230" s="175" t="inlineStr">
        <is>
          <t>1407/11/14</t>
        </is>
      </c>
      <c r="F2230" s="128" t="inlineStr">
        <is>
          <t>1407/11</t>
        </is>
      </c>
      <c r="G2230" s="58" t="inlineStr">
        <is>
          <t>بهمن</t>
        </is>
      </c>
      <c r="H2230" s="128" t="inlineStr">
        <is>
          <t>زمستان</t>
        </is>
      </c>
      <c r="I2230" s="128" t="inlineStr">
        <is>
          <t>جمعه</t>
        </is>
      </c>
      <c r="J2230" s="128" t="inlineStr">
        <is>
          <t>بله</t>
        </is>
      </c>
    </row>
    <row r="2231">
      <c r="A2231" s="176" t="n">
        <v>47152</v>
      </c>
      <c r="B2231" s="177" t="n">
        <v>47152</v>
      </c>
      <c r="C2231" s="177" t="n">
        <v>1407</v>
      </c>
      <c r="D2231" s="177" t="n">
        <v>11</v>
      </c>
      <c r="E2231" s="178" t="inlineStr">
        <is>
          <t>1407/11/15</t>
        </is>
      </c>
      <c r="F2231" s="134" t="inlineStr">
        <is>
          <t>1407/11</t>
        </is>
      </c>
      <c r="G2231" s="61" t="inlineStr">
        <is>
          <t>بهمن</t>
        </is>
      </c>
      <c r="H2231" s="134" t="inlineStr">
        <is>
          <t>زمستان</t>
        </is>
      </c>
      <c r="I2231" s="134" t="inlineStr">
        <is>
          <t>شنبه</t>
        </is>
      </c>
      <c r="J2231" s="134" t="inlineStr">
        <is>
          <t>خیر</t>
        </is>
      </c>
    </row>
    <row r="2232">
      <c r="A2232" s="173" t="n">
        <v>47153</v>
      </c>
      <c r="B2232" s="174" t="n">
        <v>47153</v>
      </c>
      <c r="C2232" s="174" t="n">
        <v>1407</v>
      </c>
      <c r="D2232" s="174" t="n">
        <v>11</v>
      </c>
      <c r="E2232" s="175" t="inlineStr">
        <is>
          <t>1407/11/16</t>
        </is>
      </c>
      <c r="F2232" s="128" t="inlineStr">
        <is>
          <t>1407/11</t>
        </is>
      </c>
      <c r="G2232" s="58" t="inlineStr">
        <is>
          <t>بهمن</t>
        </is>
      </c>
      <c r="H2232" s="128" t="inlineStr">
        <is>
          <t>زمستان</t>
        </is>
      </c>
      <c r="I2232" s="128" t="inlineStr">
        <is>
          <t>یکشنبه</t>
        </is>
      </c>
      <c r="J2232" s="128" t="inlineStr">
        <is>
          <t>خیر</t>
        </is>
      </c>
    </row>
    <row r="2233">
      <c r="A2233" s="176" t="n">
        <v>47154</v>
      </c>
      <c r="B2233" s="177" t="n">
        <v>47154</v>
      </c>
      <c r="C2233" s="177" t="n">
        <v>1407</v>
      </c>
      <c r="D2233" s="177" t="n">
        <v>11</v>
      </c>
      <c r="E2233" s="178" t="inlineStr">
        <is>
          <t>1407/11/17</t>
        </is>
      </c>
      <c r="F2233" s="134" t="inlineStr">
        <is>
          <t>1407/11</t>
        </is>
      </c>
      <c r="G2233" s="61" t="inlineStr">
        <is>
          <t>بهمن</t>
        </is>
      </c>
      <c r="H2233" s="134" t="inlineStr">
        <is>
          <t>زمستان</t>
        </is>
      </c>
      <c r="I2233" s="134" t="inlineStr">
        <is>
          <t>دوشنبه</t>
        </is>
      </c>
      <c r="J2233" s="134" t="inlineStr">
        <is>
          <t>بله</t>
        </is>
      </c>
    </row>
    <row r="2234">
      <c r="A2234" s="173" t="n">
        <v>47155</v>
      </c>
      <c r="B2234" s="174" t="n">
        <v>47155</v>
      </c>
      <c r="C2234" s="174" t="n">
        <v>1407</v>
      </c>
      <c r="D2234" s="174" t="n">
        <v>11</v>
      </c>
      <c r="E2234" s="175" t="inlineStr">
        <is>
          <t>1407/11/18</t>
        </is>
      </c>
      <c r="F2234" s="128" t="inlineStr">
        <is>
          <t>1407/11</t>
        </is>
      </c>
      <c r="G2234" s="58" t="inlineStr">
        <is>
          <t>بهمن</t>
        </is>
      </c>
      <c r="H2234" s="128" t="inlineStr">
        <is>
          <t>زمستان</t>
        </is>
      </c>
      <c r="I2234" s="128" t="inlineStr">
        <is>
          <t>سه‌شنبه</t>
        </is>
      </c>
      <c r="J2234" s="128" t="inlineStr">
        <is>
          <t>بله</t>
        </is>
      </c>
    </row>
    <row r="2235">
      <c r="A2235" s="176" t="n">
        <v>47156</v>
      </c>
      <c r="B2235" s="177" t="n">
        <v>47156</v>
      </c>
      <c r="C2235" s="177" t="n">
        <v>1407</v>
      </c>
      <c r="D2235" s="177" t="n">
        <v>11</v>
      </c>
      <c r="E2235" s="178" t="inlineStr">
        <is>
          <t>1407/11/19</t>
        </is>
      </c>
      <c r="F2235" s="134" t="inlineStr">
        <is>
          <t>1407/11</t>
        </is>
      </c>
      <c r="G2235" s="61" t="inlineStr">
        <is>
          <t>بهمن</t>
        </is>
      </c>
      <c r="H2235" s="134" t="inlineStr">
        <is>
          <t>زمستان</t>
        </is>
      </c>
      <c r="I2235" s="134" t="inlineStr">
        <is>
          <t>چهارشنبه</t>
        </is>
      </c>
      <c r="J2235" s="134" t="inlineStr">
        <is>
          <t>بله</t>
        </is>
      </c>
    </row>
    <row r="2236">
      <c r="A2236" s="173" t="n">
        <v>47157</v>
      </c>
      <c r="B2236" s="174" t="n">
        <v>47157</v>
      </c>
      <c r="C2236" s="174" t="n">
        <v>1407</v>
      </c>
      <c r="D2236" s="174" t="n">
        <v>11</v>
      </c>
      <c r="E2236" s="175" t="inlineStr">
        <is>
          <t>1407/11/20</t>
        </is>
      </c>
      <c r="F2236" s="128" t="inlineStr">
        <is>
          <t>1407/11</t>
        </is>
      </c>
      <c r="G2236" s="58" t="inlineStr">
        <is>
          <t>بهمن</t>
        </is>
      </c>
      <c r="H2236" s="128" t="inlineStr">
        <is>
          <t>زمستان</t>
        </is>
      </c>
      <c r="I2236" s="128" t="inlineStr">
        <is>
          <t>پنجشنبه</t>
        </is>
      </c>
      <c r="J2236" s="128" t="inlineStr">
        <is>
          <t>بله</t>
        </is>
      </c>
    </row>
    <row r="2237">
      <c r="A2237" s="176" t="n">
        <v>47158</v>
      </c>
      <c r="B2237" s="177" t="n">
        <v>47158</v>
      </c>
      <c r="C2237" s="177" t="n">
        <v>1407</v>
      </c>
      <c r="D2237" s="177" t="n">
        <v>11</v>
      </c>
      <c r="E2237" s="178" t="inlineStr">
        <is>
          <t>1407/11/21</t>
        </is>
      </c>
      <c r="F2237" s="134" t="inlineStr">
        <is>
          <t>1407/11</t>
        </is>
      </c>
      <c r="G2237" s="61" t="inlineStr">
        <is>
          <t>بهمن</t>
        </is>
      </c>
      <c r="H2237" s="134" t="inlineStr">
        <is>
          <t>زمستان</t>
        </is>
      </c>
      <c r="I2237" s="134" t="inlineStr">
        <is>
          <t>جمعه</t>
        </is>
      </c>
      <c r="J2237" s="134" t="inlineStr">
        <is>
          <t>بله</t>
        </is>
      </c>
    </row>
    <row r="2238">
      <c r="A2238" s="173" t="n">
        <v>47159</v>
      </c>
      <c r="B2238" s="174" t="n">
        <v>47159</v>
      </c>
      <c r="C2238" s="174" t="n">
        <v>1407</v>
      </c>
      <c r="D2238" s="174" t="n">
        <v>11</v>
      </c>
      <c r="E2238" s="175" t="inlineStr">
        <is>
          <t>1407/11/22</t>
        </is>
      </c>
      <c r="F2238" s="128" t="inlineStr">
        <is>
          <t>1407/11</t>
        </is>
      </c>
      <c r="G2238" s="58" t="inlineStr">
        <is>
          <t>بهمن</t>
        </is>
      </c>
      <c r="H2238" s="128" t="inlineStr">
        <is>
          <t>زمستان</t>
        </is>
      </c>
      <c r="I2238" s="128" t="inlineStr">
        <is>
          <t>شنبه</t>
        </is>
      </c>
      <c r="J2238" s="128" t="inlineStr">
        <is>
          <t>خیر</t>
        </is>
      </c>
    </row>
    <row r="2239">
      <c r="A2239" s="176" t="n">
        <v>47160</v>
      </c>
      <c r="B2239" s="177" t="n">
        <v>47160</v>
      </c>
      <c r="C2239" s="177" t="n">
        <v>1407</v>
      </c>
      <c r="D2239" s="177" t="n">
        <v>11</v>
      </c>
      <c r="E2239" s="178" t="inlineStr">
        <is>
          <t>1407/11/23</t>
        </is>
      </c>
      <c r="F2239" s="134" t="inlineStr">
        <is>
          <t>1407/11</t>
        </is>
      </c>
      <c r="G2239" s="61" t="inlineStr">
        <is>
          <t>بهمن</t>
        </is>
      </c>
      <c r="H2239" s="134" t="inlineStr">
        <is>
          <t>زمستان</t>
        </is>
      </c>
      <c r="I2239" s="134" t="inlineStr">
        <is>
          <t>یکشنبه</t>
        </is>
      </c>
      <c r="J2239" s="134" t="inlineStr">
        <is>
          <t>خیر</t>
        </is>
      </c>
    </row>
    <row r="2240">
      <c r="A2240" s="173" t="n">
        <v>47161</v>
      </c>
      <c r="B2240" s="174" t="n">
        <v>47161</v>
      </c>
      <c r="C2240" s="174" t="n">
        <v>1407</v>
      </c>
      <c r="D2240" s="174" t="n">
        <v>11</v>
      </c>
      <c r="E2240" s="175" t="inlineStr">
        <is>
          <t>1407/11/24</t>
        </is>
      </c>
      <c r="F2240" s="128" t="inlineStr">
        <is>
          <t>1407/11</t>
        </is>
      </c>
      <c r="G2240" s="58" t="inlineStr">
        <is>
          <t>بهمن</t>
        </is>
      </c>
      <c r="H2240" s="128" t="inlineStr">
        <is>
          <t>زمستان</t>
        </is>
      </c>
      <c r="I2240" s="128" t="inlineStr">
        <is>
          <t>دوشنبه</t>
        </is>
      </c>
      <c r="J2240" s="128" t="inlineStr">
        <is>
          <t>بله</t>
        </is>
      </c>
    </row>
    <row r="2241">
      <c r="A2241" s="176" t="n">
        <v>47162</v>
      </c>
      <c r="B2241" s="177" t="n">
        <v>47162</v>
      </c>
      <c r="C2241" s="177" t="n">
        <v>1407</v>
      </c>
      <c r="D2241" s="177" t="n">
        <v>11</v>
      </c>
      <c r="E2241" s="178" t="inlineStr">
        <is>
          <t>1407/11/25</t>
        </is>
      </c>
      <c r="F2241" s="134" t="inlineStr">
        <is>
          <t>1407/11</t>
        </is>
      </c>
      <c r="G2241" s="61" t="inlineStr">
        <is>
          <t>بهمن</t>
        </is>
      </c>
      <c r="H2241" s="134" t="inlineStr">
        <is>
          <t>زمستان</t>
        </is>
      </c>
      <c r="I2241" s="134" t="inlineStr">
        <is>
          <t>سه‌شنبه</t>
        </is>
      </c>
      <c r="J2241" s="134" t="inlineStr">
        <is>
          <t>بله</t>
        </is>
      </c>
    </row>
    <row r="2242">
      <c r="A2242" s="173" t="n">
        <v>47163</v>
      </c>
      <c r="B2242" s="174" t="n">
        <v>47163</v>
      </c>
      <c r="C2242" s="174" t="n">
        <v>1407</v>
      </c>
      <c r="D2242" s="174" t="n">
        <v>11</v>
      </c>
      <c r="E2242" s="175" t="inlineStr">
        <is>
          <t>1407/11/26</t>
        </is>
      </c>
      <c r="F2242" s="128" t="inlineStr">
        <is>
          <t>1407/11</t>
        </is>
      </c>
      <c r="G2242" s="58" t="inlineStr">
        <is>
          <t>بهمن</t>
        </is>
      </c>
      <c r="H2242" s="128" t="inlineStr">
        <is>
          <t>زمستان</t>
        </is>
      </c>
      <c r="I2242" s="128" t="inlineStr">
        <is>
          <t>چهارشنبه</t>
        </is>
      </c>
      <c r="J2242" s="128" t="inlineStr">
        <is>
          <t>بله</t>
        </is>
      </c>
    </row>
    <row r="2243">
      <c r="A2243" s="176" t="n">
        <v>47164</v>
      </c>
      <c r="B2243" s="177" t="n">
        <v>47164</v>
      </c>
      <c r="C2243" s="177" t="n">
        <v>1407</v>
      </c>
      <c r="D2243" s="177" t="n">
        <v>11</v>
      </c>
      <c r="E2243" s="178" t="inlineStr">
        <is>
          <t>1407/11/27</t>
        </is>
      </c>
      <c r="F2243" s="134" t="inlineStr">
        <is>
          <t>1407/11</t>
        </is>
      </c>
      <c r="G2243" s="61" t="inlineStr">
        <is>
          <t>بهمن</t>
        </is>
      </c>
      <c r="H2243" s="134" t="inlineStr">
        <is>
          <t>زمستان</t>
        </is>
      </c>
      <c r="I2243" s="134" t="inlineStr">
        <is>
          <t>پنجشنبه</t>
        </is>
      </c>
      <c r="J2243" s="134" t="inlineStr">
        <is>
          <t>بله</t>
        </is>
      </c>
    </row>
    <row r="2244">
      <c r="A2244" s="173" t="n">
        <v>47165</v>
      </c>
      <c r="B2244" s="174" t="n">
        <v>47165</v>
      </c>
      <c r="C2244" s="174" t="n">
        <v>1407</v>
      </c>
      <c r="D2244" s="174" t="n">
        <v>11</v>
      </c>
      <c r="E2244" s="175" t="inlineStr">
        <is>
          <t>1407/11/28</t>
        </is>
      </c>
      <c r="F2244" s="128" t="inlineStr">
        <is>
          <t>1407/11</t>
        </is>
      </c>
      <c r="G2244" s="58" t="inlineStr">
        <is>
          <t>بهمن</t>
        </is>
      </c>
      <c r="H2244" s="128" t="inlineStr">
        <is>
          <t>زمستان</t>
        </is>
      </c>
      <c r="I2244" s="128" t="inlineStr">
        <is>
          <t>جمعه</t>
        </is>
      </c>
      <c r="J2244" s="128" t="inlineStr">
        <is>
          <t>بله</t>
        </is>
      </c>
    </row>
    <row r="2245">
      <c r="A2245" s="176" t="n">
        <v>47166</v>
      </c>
      <c r="B2245" s="177" t="n">
        <v>47166</v>
      </c>
      <c r="C2245" s="177" t="n">
        <v>1407</v>
      </c>
      <c r="D2245" s="177" t="n">
        <v>11</v>
      </c>
      <c r="E2245" s="178" t="inlineStr">
        <is>
          <t>1407/11/29</t>
        </is>
      </c>
      <c r="F2245" s="134" t="inlineStr">
        <is>
          <t>1407/11</t>
        </is>
      </c>
      <c r="G2245" s="61" t="inlineStr">
        <is>
          <t>بهمن</t>
        </is>
      </c>
      <c r="H2245" s="134" t="inlineStr">
        <is>
          <t>زمستان</t>
        </is>
      </c>
      <c r="I2245" s="134" t="inlineStr">
        <is>
          <t>شنبه</t>
        </is>
      </c>
      <c r="J2245" s="134" t="inlineStr">
        <is>
          <t>خیر</t>
        </is>
      </c>
    </row>
    <row r="2246">
      <c r="A2246" s="173" t="n">
        <v>47167</v>
      </c>
      <c r="B2246" s="174" t="n">
        <v>47167</v>
      </c>
      <c r="C2246" s="174" t="n">
        <v>1407</v>
      </c>
      <c r="D2246" s="174" t="n">
        <v>11</v>
      </c>
      <c r="E2246" s="175" t="inlineStr">
        <is>
          <t>1407/11/30</t>
        </is>
      </c>
      <c r="F2246" s="128" t="inlineStr">
        <is>
          <t>1407/11</t>
        </is>
      </c>
      <c r="G2246" s="58" t="inlineStr">
        <is>
          <t>بهمن</t>
        </is>
      </c>
      <c r="H2246" s="128" t="inlineStr">
        <is>
          <t>زمستان</t>
        </is>
      </c>
      <c r="I2246" s="128" t="inlineStr">
        <is>
          <t>یکشنبه</t>
        </is>
      </c>
      <c r="J2246" s="128" t="inlineStr">
        <is>
          <t>خیر</t>
        </is>
      </c>
    </row>
    <row r="2247">
      <c r="A2247" s="176" t="n">
        <v>47168</v>
      </c>
      <c r="B2247" s="177" t="n">
        <v>47168</v>
      </c>
      <c r="C2247" s="177" t="n">
        <v>1407</v>
      </c>
      <c r="D2247" s="177" t="n">
        <v>12</v>
      </c>
      <c r="E2247" s="178" t="inlineStr">
        <is>
          <t>1407/12/01</t>
        </is>
      </c>
      <c r="F2247" s="134" t="inlineStr">
        <is>
          <t>1407/12</t>
        </is>
      </c>
      <c r="G2247" s="61" t="inlineStr">
        <is>
          <t>اسفند</t>
        </is>
      </c>
      <c r="H2247" s="134" t="inlineStr">
        <is>
          <t>زمستان</t>
        </is>
      </c>
      <c r="I2247" s="134" t="inlineStr">
        <is>
          <t>دوشنبه</t>
        </is>
      </c>
      <c r="J2247" s="134" t="inlineStr">
        <is>
          <t>بله</t>
        </is>
      </c>
    </row>
    <row r="2248">
      <c r="A2248" s="173" t="n">
        <v>47169</v>
      </c>
      <c r="B2248" s="174" t="n">
        <v>47169</v>
      </c>
      <c r="C2248" s="174" t="n">
        <v>1407</v>
      </c>
      <c r="D2248" s="174" t="n">
        <v>12</v>
      </c>
      <c r="E2248" s="175" t="inlineStr">
        <is>
          <t>1407/12/02</t>
        </is>
      </c>
      <c r="F2248" s="128" t="inlineStr">
        <is>
          <t>1407/12</t>
        </is>
      </c>
      <c r="G2248" s="58" t="inlineStr">
        <is>
          <t>اسفند</t>
        </is>
      </c>
      <c r="H2248" s="128" t="inlineStr">
        <is>
          <t>زمستان</t>
        </is>
      </c>
      <c r="I2248" s="128" t="inlineStr">
        <is>
          <t>سه‌شنبه</t>
        </is>
      </c>
      <c r="J2248" s="128" t="inlineStr">
        <is>
          <t>بله</t>
        </is>
      </c>
    </row>
    <row r="2249">
      <c r="A2249" s="176" t="n">
        <v>47170</v>
      </c>
      <c r="B2249" s="177" t="n">
        <v>47170</v>
      </c>
      <c r="C2249" s="177" t="n">
        <v>1407</v>
      </c>
      <c r="D2249" s="177" t="n">
        <v>12</v>
      </c>
      <c r="E2249" s="178" t="inlineStr">
        <is>
          <t>1407/12/03</t>
        </is>
      </c>
      <c r="F2249" s="134" t="inlineStr">
        <is>
          <t>1407/12</t>
        </is>
      </c>
      <c r="G2249" s="61" t="inlineStr">
        <is>
          <t>اسفند</t>
        </is>
      </c>
      <c r="H2249" s="134" t="inlineStr">
        <is>
          <t>زمستان</t>
        </is>
      </c>
      <c r="I2249" s="134" t="inlineStr">
        <is>
          <t>چهارشنبه</t>
        </is>
      </c>
      <c r="J2249" s="134" t="inlineStr">
        <is>
          <t>بله</t>
        </is>
      </c>
    </row>
    <row r="2250">
      <c r="A2250" s="173" t="n">
        <v>47171</v>
      </c>
      <c r="B2250" s="174" t="n">
        <v>47171</v>
      </c>
      <c r="C2250" s="174" t="n">
        <v>1407</v>
      </c>
      <c r="D2250" s="174" t="n">
        <v>12</v>
      </c>
      <c r="E2250" s="175" t="inlineStr">
        <is>
          <t>1407/12/04</t>
        </is>
      </c>
      <c r="F2250" s="128" t="inlineStr">
        <is>
          <t>1407/12</t>
        </is>
      </c>
      <c r="G2250" s="58" t="inlineStr">
        <is>
          <t>اسفند</t>
        </is>
      </c>
      <c r="H2250" s="128" t="inlineStr">
        <is>
          <t>زمستان</t>
        </is>
      </c>
      <c r="I2250" s="128" t="inlineStr">
        <is>
          <t>پنجشنبه</t>
        </is>
      </c>
      <c r="J2250" s="128" t="inlineStr">
        <is>
          <t>بله</t>
        </is>
      </c>
    </row>
    <row r="2251">
      <c r="A2251" s="176" t="n">
        <v>47172</v>
      </c>
      <c r="B2251" s="177" t="n">
        <v>47172</v>
      </c>
      <c r="C2251" s="177" t="n">
        <v>1407</v>
      </c>
      <c r="D2251" s="177" t="n">
        <v>12</v>
      </c>
      <c r="E2251" s="178" t="inlineStr">
        <is>
          <t>1407/12/05</t>
        </is>
      </c>
      <c r="F2251" s="134" t="inlineStr">
        <is>
          <t>1407/12</t>
        </is>
      </c>
      <c r="G2251" s="61" t="inlineStr">
        <is>
          <t>اسفند</t>
        </is>
      </c>
      <c r="H2251" s="134" t="inlineStr">
        <is>
          <t>زمستان</t>
        </is>
      </c>
      <c r="I2251" s="134" t="inlineStr">
        <is>
          <t>جمعه</t>
        </is>
      </c>
      <c r="J2251" s="134" t="inlineStr">
        <is>
          <t>بله</t>
        </is>
      </c>
    </row>
    <row r="2252">
      <c r="A2252" s="173" t="n">
        <v>47173</v>
      </c>
      <c r="B2252" s="174" t="n">
        <v>47173</v>
      </c>
      <c r="C2252" s="174" t="n">
        <v>1407</v>
      </c>
      <c r="D2252" s="174" t="n">
        <v>12</v>
      </c>
      <c r="E2252" s="175" t="inlineStr">
        <is>
          <t>1407/12/06</t>
        </is>
      </c>
      <c r="F2252" s="128" t="inlineStr">
        <is>
          <t>1407/12</t>
        </is>
      </c>
      <c r="G2252" s="58" t="inlineStr">
        <is>
          <t>اسفند</t>
        </is>
      </c>
      <c r="H2252" s="128" t="inlineStr">
        <is>
          <t>زمستان</t>
        </is>
      </c>
      <c r="I2252" s="128" t="inlineStr">
        <is>
          <t>شنبه</t>
        </is>
      </c>
      <c r="J2252" s="128" t="inlineStr">
        <is>
          <t>خیر</t>
        </is>
      </c>
    </row>
    <row r="2253">
      <c r="A2253" s="176" t="n">
        <v>47174</v>
      </c>
      <c r="B2253" s="177" t="n">
        <v>47174</v>
      </c>
      <c r="C2253" s="177" t="n">
        <v>1407</v>
      </c>
      <c r="D2253" s="177" t="n">
        <v>12</v>
      </c>
      <c r="E2253" s="178" t="inlineStr">
        <is>
          <t>1407/12/07</t>
        </is>
      </c>
      <c r="F2253" s="134" t="inlineStr">
        <is>
          <t>1407/12</t>
        </is>
      </c>
      <c r="G2253" s="61" t="inlineStr">
        <is>
          <t>اسفند</t>
        </is>
      </c>
      <c r="H2253" s="134" t="inlineStr">
        <is>
          <t>زمستان</t>
        </is>
      </c>
      <c r="I2253" s="134" t="inlineStr">
        <is>
          <t>یکشنبه</t>
        </is>
      </c>
      <c r="J2253" s="134" t="inlineStr">
        <is>
          <t>خیر</t>
        </is>
      </c>
    </row>
    <row r="2254">
      <c r="A2254" s="173" t="n">
        <v>47175</v>
      </c>
      <c r="B2254" s="174" t="n">
        <v>47175</v>
      </c>
      <c r="C2254" s="174" t="n">
        <v>1407</v>
      </c>
      <c r="D2254" s="174" t="n">
        <v>12</v>
      </c>
      <c r="E2254" s="175" t="inlineStr">
        <is>
          <t>1407/12/08</t>
        </is>
      </c>
      <c r="F2254" s="128" t="inlineStr">
        <is>
          <t>1407/12</t>
        </is>
      </c>
      <c r="G2254" s="58" t="inlineStr">
        <is>
          <t>اسفند</t>
        </is>
      </c>
      <c r="H2254" s="128" t="inlineStr">
        <is>
          <t>زمستان</t>
        </is>
      </c>
      <c r="I2254" s="128" t="inlineStr">
        <is>
          <t>دوشنبه</t>
        </is>
      </c>
      <c r="J2254" s="128" t="inlineStr">
        <is>
          <t>بله</t>
        </is>
      </c>
    </row>
    <row r="2255">
      <c r="A2255" s="176" t="n">
        <v>47176</v>
      </c>
      <c r="B2255" s="177" t="n">
        <v>47176</v>
      </c>
      <c r="C2255" s="177" t="n">
        <v>1407</v>
      </c>
      <c r="D2255" s="177" t="n">
        <v>12</v>
      </c>
      <c r="E2255" s="178" t="inlineStr">
        <is>
          <t>1407/12/09</t>
        </is>
      </c>
      <c r="F2255" s="134" t="inlineStr">
        <is>
          <t>1407/12</t>
        </is>
      </c>
      <c r="G2255" s="61" t="inlineStr">
        <is>
          <t>اسفند</t>
        </is>
      </c>
      <c r="H2255" s="134" t="inlineStr">
        <is>
          <t>زمستان</t>
        </is>
      </c>
      <c r="I2255" s="134" t="inlineStr">
        <is>
          <t>سه‌شنبه</t>
        </is>
      </c>
      <c r="J2255" s="134" t="inlineStr">
        <is>
          <t>بله</t>
        </is>
      </c>
    </row>
    <row r="2256">
      <c r="A2256" s="173" t="n">
        <v>47177</v>
      </c>
      <c r="B2256" s="174" t="n">
        <v>47177</v>
      </c>
      <c r="C2256" s="174" t="n">
        <v>1407</v>
      </c>
      <c r="D2256" s="174" t="n">
        <v>12</v>
      </c>
      <c r="E2256" s="175" t="inlineStr">
        <is>
          <t>1407/12/10</t>
        </is>
      </c>
      <c r="F2256" s="128" t="inlineStr">
        <is>
          <t>1407/12</t>
        </is>
      </c>
      <c r="G2256" s="58" t="inlineStr">
        <is>
          <t>اسفند</t>
        </is>
      </c>
      <c r="H2256" s="128" t="inlineStr">
        <is>
          <t>زمستان</t>
        </is>
      </c>
      <c r="I2256" s="128" t="inlineStr">
        <is>
          <t>چهارشنبه</t>
        </is>
      </c>
      <c r="J2256" s="128" t="inlineStr">
        <is>
          <t>بله</t>
        </is>
      </c>
    </row>
    <row r="2257">
      <c r="A2257" s="176" t="n">
        <v>47178</v>
      </c>
      <c r="B2257" s="177" t="n">
        <v>47178</v>
      </c>
      <c r="C2257" s="177" t="n">
        <v>1407</v>
      </c>
      <c r="D2257" s="177" t="n">
        <v>12</v>
      </c>
      <c r="E2257" s="178" t="inlineStr">
        <is>
          <t>1407/12/11</t>
        </is>
      </c>
      <c r="F2257" s="134" t="inlineStr">
        <is>
          <t>1407/12</t>
        </is>
      </c>
      <c r="G2257" s="61" t="inlineStr">
        <is>
          <t>اسفند</t>
        </is>
      </c>
      <c r="H2257" s="134" t="inlineStr">
        <is>
          <t>زمستان</t>
        </is>
      </c>
      <c r="I2257" s="134" t="inlineStr">
        <is>
          <t>پنجشنبه</t>
        </is>
      </c>
      <c r="J2257" s="134" t="inlineStr">
        <is>
          <t>بله</t>
        </is>
      </c>
    </row>
    <row r="2258">
      <c r="A2258" s="173" t="n">
        <v>47179</v>
      </c>
      <c r="B2258" s="174" t="n">
        <v>47179</v>
      </c>
      <c r="C2258" s="174" t="n">
        <v>1407</v>
      </c>
      <c r="D2258" s="174" t="n">
        <v>12</v>
      </c>
      <c r="E2258" s="175" t="inlineStr">
        <is>
          <t>1407/12/12</t>
        </is>
      </c>
      <c r="F2258" s="128" t="inlineStr">
        <is>
          <t>1407/12</t>
        </is>
      </c>
      <c r="G2258" s="58" t="inlineStr">
        <is>
          <t>اسفند</t>
        </is>
      </c>
      <c r="H2258" s="128" t="inlineStr">
        <is>
          <t>زمستان</t>
        </is>
      </c>
      <c r="I2258" s="128" t="inlineStr">
        <is>
          <t>جمعه</t>
        </is>
      </c>
      <c r="J2258" s="128" t="inlineStr">
        <is>
          <t>بله</t>
        </is>
      </c>
    </row>
    <row r="2259">
      <c r="A2259" s="176" t="n">
        <v>47180</v>
      </c>
      <c r="B2259" s="177" t="n">
        <v>47180</v>
      </c>
      <c r="C2259" s="177" t="n">
        <v>1407</v>
      </c>
      <c r="D2259" s="177" t="n">
        <v>12</v>
      </c>
      <c r="E2259" s="178" t="inlineStr">
        <is>
          <t>1407/12/13</t>
        </is>
      </c>
      <c r="F2259" s="134" t="inlineStr">
        <is>
          <t>1407/12</t>
        </is>
      </c>
      <c r="G2259" s="61" t="inlineStr">
        <is>
          <t>اسفند</t>
        </is>
      </c>
      <c r="H2259" s="134" t="inlineStr">
        <is>
          <t>زمستان</t>
        </is>
      </c>
      <c r="I2259" s="134" t="inlineStr">
        <is>
          <t>شنبه</t>
        </is>
      </c>
      <c r="J2259" s="134" t="inlineStr">
        <is>
          <t>خیر</t>
        </is>
      </c>
    </row>
    <row r="2260">
      <c r="A2260" s="173" t="n">
        <v>47181</v>
      </c>
      <c r="B2260" s="174" t="n">
        <v>47181</v>
      </c>
      <c r="C2260" s="174" t="n">
        <v>1407</v>
      </c>
      <c r="D2260" s="174" t="n">
        <v>12</v>
      </c>
      <c r="E2260" s="175" t="inlineStr">
        <is>
          <t>1407/12/14</t>
        </is>
      </c>
      <c r="F2260" s="128" t="inlineStr">
        <is>
          <t>1407/12</t>
        </is>
      </c>
      <c r="G2260" s="58" t="inlineStr">
        <is>
          <t>اسفند</t>
        </is>
      </c>
      <c r="H2260" s="128" t="inlineStr">
        <is>
          <t>زمستان</t>
        </is>
      </c>
      <c r="I2260" s="128" t="inlineStr">
        <is>
          <t>یکشنبه</t>
        </is>
      </c>
      <c r="J2260" s="128" t="inlineStr">
        <is>
          <t>خیر</t>
        </is>
      </c>
    </row>
    <row r="2261">
      <c r="A2261" s="176" t="n">
        <v>47182</v>
      </c>
      <c r="B2261" s="177" t="n">
        <v>47182</v>
      </c>
      <c r="C2261" s="177" t="n">
        <v>1407</v>
      </c>
      <c r="D2261" s="177" t="n">
        <v>12</v>
      </c>
      <c r="E2261" s="178" t="inlineStr">
        <is>
          <t>1407/12/15</t>
        </is>
      </c>
      <c r="F2261" s="134" t="inlineStr">
        <is>
          <t>1407/12</t>
        </is>
      </c>
      <c r="G2261" s="61" t="inlineStr">
        <is>
          <t>اسفند</t>
        </is>
      </c>
      <c r="H2261" s="134" t="inlineStr">
        <is>
          <t>زمستان</t>
        </is>
      </c>
      <c r="I2261" s="134" t="inlineStr">
        <is>
          <t>دوشنبه</t>
        </is>
      </c>
      <c r="J2261" s="134" t="inlineStr">
        <is>
          <t>بله</t>
        </is>
      </c>
    </row>
    <row r="2262">
      <c r="A2262" s="173" t="n">
        <v>47183</v>
      </c>
      <c r="B2262" s="174" t="n">
        <v>47183</v>
      </c>
      <c r="C2262" s="174" t="n">
        <v>1407</v>
      </c>
      <c r="D2262" s="174" t="n">
        <v>12</v>
      </c>
      <c r="E2262" s="175" t="inlineStr">
        <is>
          <t>1407/12/16</t>
        </is>
      </c>
      <c r="F2262" s="128" t="inlineStr">
        <is>
          <t>1407/12</t>
        </is>
      </c>
      <c r="G2262" s="58" t="inlineStr">
        <is>
          <t>اسفند</t>
        </is>
      </c>
      <c r="H2262" s="128" t="inlineStr">
        <is>
          <t>زمستان</t>
        </is>
      </c>
      <c r="I2262" s="128" t="inlineStr">
        <is>
          <t>سه‌شنبه</t>
        </is>
      </c>
      <c r="J2262" s="128" t="inlineStr">
        <is>
          <t>بله</t>
        </is>
      </c>
    </row>
    <row r="2263">
      <c r="A2263" s="176" t="n">
        <v>47184</v>
      </c>
      <c r="B2263" s="177" t="n">
        <v>47184</v>
      </c>
      <c r="C2263" s="177" t="n">
        <v>1407</v>
      </c>
      <c r="D2263" s="177" t="n">
        <v>12</v>
      </c>
      <c r="E2263" s="178" t="inlineStr">
        <is>
          <t>1407/12/17</t>
        </is>
      </c>
      <c r="F2263" s="134" t="inlineStr">
        <is>
          <t>1407/12</t>
        </is>
      </c>
      <c r="G2263" s="61" t="inlineStr">
        <is>
          <t>اسفند</t>
        </is>
      </c>
      <c r="H2263" s="134" t="inlineStr">
        <is>
          <t>زمستان</t>
        </is>
      </c>
      <c r="I2263" s="134" t="inlineStr">
        <is>
          <t>چهارشنبه</t>
        </is>
      </c>
      <c r="J2263" s="134" t="inlineStr">
        <is>
          <t>بله</t>
        </is>
      </c>
    </row>
    <row r="2264">
      <c r="A2264" s="173" t="n">
        <v>47185</v>
      </c>
      <c r="B2264" s="174" t="n">
        <v>47185</v>
      </c>
      <c r="C2264" s="174" t="n">
        <v>1407</v>
      </c>
      <c r="D2264" s="174" t="n">
        <v>12</v>
      </c>
      <c r="E2264" s="175" t="inlineStr">
        <is>
          <t>1407/12/18</t>
        </is>
      </c>
      <c r="F2264" s="128" t="inlineStr">
        <is>
          <t>1407/12</t>
        </is>
      </c>
      <c r="G2264" s="58" t="inlineStr">
        <is>
          <t>اسفند</t>
        </is>
      </c>
      <c r="H2264" s="128" t="inlineStr">
        <is>
          <t>زمستان</t>
        </is>
      </c>
      <c r="I2264" s="128" t="inlineStr">
        <is>
          <t>پنجشنبه</t>
        </is>
      </c>
      <c r="J2264" s="128" t="inlineStr">
        <is>
          <t>بله</t>
        </is>
      </c>
    </row>
    <row r="2265">
      <c r="A2265" s="176" t="n">
        <v>47186</v>
      </c>
      <c r="B2265" s="177" t="n">
        <v>47186</v>
      </c>
      <c r="C2265" s="177" t="n">
        <v>1407</v>
      </c>
      <c r="D2265" s="177" t="n">
        <v>12</v>
      </c>
      <c r="E2265" s="178" t="inlineStr">
        <is>
          <t>1407/12/19</t>
        </is>
      </c>
      <c r="F2265" s="134" t="inlineStr">
        <is>
          <t>1407/12</t>
        </is>
      </c>
      <c r="G2265" s="61" t="inlineStr">
        <is>
          <t>اسفند</t>
        </is>
      </c>
      <c r="H2265" s="134" t="inlineStr">
        <is>
          <t>زمستان</t>
        </is>
      </c>
      <c r="I2265" s="134" t="inlineStr">
        <is>
          <t>جمعه</t>
        </is>
      </c>
      <c r="J2265" s="134" t="inlineStr">
        <is>
          <t>بله</t>
        </is>
      </c>
    </row>
    <row r="2266">
      <c r="A2266" s="173" t="n">
        <v>47187</v>
      </c>
      <c r="B2266" s="174" t="n">
        <v>47187</v>
      </c>
      <c r="C2266" s="174" t="n">
        <v>1407</v>
      </c>
      <c r="D2266" s="174" t="n">
        <v>12</v>
      </c>
      <c r="E2266" s="175" t="inlineStr">
        <is>
          <t>1407/12/20</t>
        </is>
      </c>
      <c r="F2266" s="128" t="inlineStr">
        <is>
          <t>1407/12</t>
        </is>
      </c>
      <c r="G2266" s="58" t="inlineStr">
        <is>
          <t>اسفند</t>
        </is>
      </c>
      <c r="H2266" s="128" t="inlineStr">
        <is>
          <t>زمستان</t>
        </is>
      </c>
      <c r="I2266" s="128" t="inlineStr">
        <is>
          <t>شنبه</t>
        </is>
      </c>
      <c r="J2266" s="128" t="inlineStr">
        <is>
          <t>خیر</t>
        </is>
      </c>
    </row>
    <row r="2267">
      <c r="A2267" s="176" t="n">
        <v>47188</v>
      </c>
      <c r="B2267" s="177" t="n">
        <v>47188</v>
      </c>
      <c r="C2267" s="177" t="n">
        <v>1407</v>
      </c>
      <c r="D2267" s="177" t="n">
        <v>12</v>
      </c>
      <c r="E2267" s="178" t="inlineStr">
        <is>
          <t>1407/12/21</t>
        </is>
      </c>
      <c r="F2267" s="134" t="inlineStr">
        <is>
          <t>1407/12</t>
        </is>
      </c>
      <c r="G2267" s="61" t="inlineStr">
        <is>
          <t>اسفند</t>
        </is>
      </c>
      <c r="H2267" s="134" t="inlineStr">
        <is>
          <t>زمستان</t>
        </is>
      </c>
      <c r="I2267" s="134" t="inlineStr">
        <is>
          <t>یکشنبه</t>
        </is>
      </c>
      <c r="J2267" s="134" t="inlineStr">
        <is>
          <t>خیر</t>
        </is>
      </c>
    </row>
    <row r="2268">
      <c r="A2268" s="173" t="n">
        <v>47189</v>
      </c>
      <c r="B2268" s="174" t="n">
        <v>47189</v>
      </c>
      <c r="C2268" s="174" t="n">
        <v>1407</v>
      </c>
      <c r="D2268" s="174" t="n">
        <v>12</v>
      </c>
      <c r="E2268" s="175" t="inlineStr">
        <is>
          <t>1407/12/22</t>
        </is>
      </c>
      <c r="F2268" s="128" t="inlineStr">
        <is>
          <t>1407/12</t>
        </is>
      </c>
      <c r="G2268" s="58" t="inlineStr">
        <is>
          <t>اسفند</t>
        </is>
      </c>
      <c r="H2268" s="128" t="inlineStr">
        <is>
          <t>زمستان</t>
        </is>
      </c>
      <c r="I2268" s="128" t="inlineStr">
        <is>
          <t>دوشنبه</t>
        </is>
      </c>
      <c r="J2268" s="128" t="inlineStr">
        <is>
          <t>بله</t>
        </is>
      </c>
    </row>
    <row r="2269">
      <c r="A2269" s="176" t="n">
        <v>47190</v>
      </c>
      <c r="B2269" s="177" t="n">
        <v>47190</v>
      </c>
      <c r="C2269" s="177" t="n">
        <v>1407</v>
      </c>
      <c r="D2269" s="177" t="n">
        <v>12</v>
      </c>
      <c r="E2269" s="178" t="inlineStr">
        <is>
          <t>1407/12/23</t>
        </is>
      </c>
      <c r="F2269" s="134" t="inlineStr">
        <is>
          <t>1407/12</t>
        </is>
      </c>
      <c r="G2269" s="61" t="inlineStr">
        <is>
          <t>اسفند</t>
        </is>
      </c>
      <c r="H2269" s="134" t="inlineStr">
        <is>
          <t>زمستان</t>
        </is>
      </c>
      <c r="I2269" s="134" t="inlineStr">
        <is>
          <t>سه‌شنبه</t>
        </is>
      </c>
      <c r="J2269" s="134" t="inlineStr">
        <is>
          <t>بله</t>
        </is>
      </c>
    </row>
    <row r="2270">
      <c r="A2270" s="173" t="n">
        <v>47191</v>
      </c>
      <c r="B2270" s="174" t="n">
        <v>47191</v>
      </c>
      <c r="C2270" s="174" t="n">
        <v>1407</v>
      </c>
      <c r="D2270" s="174" t="n">
        <v>12</v>
      </c>
      <c r="E2270" s="175" t="inlineStr">
        <is>
          <t>1407/12/24</t>
        </is>
      </c>
      <c r="F2270" s="128" t="inlineStr">
        <is>
          <t>1407/12</t>
        </is>
      </c>
      <c r="G2270" s="58" t="inlineStr">
        <is>
          <t>اسفند</t>
        </is>
      </c>
      <c r="H2270" s="128" t="inlineStr">
        <is>
          <t>زمستان</t>
        </is>
      </c>
      <c r="I2270" s="128" t="inlineStr">
        <is>
          <t>چهارشنبه</t>
        </is>
      </c>
      <c r="J2270" s="128" t="inlineStr">
        <is>
          <t>بله</t>
        </is>
      </c>
    </row>
    <row r="2271">
      <c r="A2271" s="176" t="n">
        <v>47192</v>
      </c>
      <c r="B2271" s="177" t="n">
        <v>47192</v>
      </c>
      <c r="C2271" s="177" t="n">
        <v>1407</v>
      </c>
      <c r="D2271" s="177" t="n">
        <v>12</v>
      </c>
      <c r="E2271" s="178" t="inlineStr">
        <is>
          <t>1407/12/25</t>
        </is>
      </c>
      <c r="F2271" s="134" t="inlineStr">
        <is>
          <t>1407/12</t>
        </is>
      </c>
      <c r="G2271" s="61" t="inlineStr">
        <is>
          <t>اسفند</t>
        </is>
      </c>
      <c r="H2271" s="134" t="inlineStr">
        <is>
          <t>زمستان</t>
        </is>
      </c>
      <c r="I2271" s="134" t="inlineStr">
        <is>
          <t>پنجشنبه</t>
        </is>
      </c>
      <c r="J2271" s="134" t="inlineStr">
        <is>
          <t>بله</t>
        </is>
      </c>
    </row>
    <row r="2272">
      <c r="A2272" s="173" t="n">
        <v>47193</v>
      </c>
      <c r="B2272" s="174" t="n">
        <v>47193</v>
      </c>
      <c r="C2272" s="174" t="n">
        <v>1407</v>
      </c>
      <c r="D2272" s="174" t="n">
        <v>12</v>
      </c>
      <c r="E2272" s="175" t="inlineStr">
        <is>
          <t>1407/12/26</t>
        </is>
      </c>
      <c r="F2272" s="128" t="inlineStr">
        <is>
          <t>1407/12</t>
        </is>
      </c>
      <c r="G2272" s="58" t="inlineStr">
        <is>
          <t>اسفند</t>
        </is>
      </c>
      <c r="H2272" s="128" t="inlineStr">
        <is>
          <t>زمستان</t>
        </is>
      </c>
      <c r="I2272" s="128" t="inlineStr">
        <is>
          <t>جمعه</t>
        </is>
      </c>
      <c r="J2272" s="128" t="inlineStr">
        <is>
          <t>بله</t>
        </is>
      </c>
    </row>
    <row r="2273">
      <c r="A2273" s="176" t="n">
        <v>47194</v>
      </c>
      <c r="B2273" s="177" t="n">
        <v>47194</v>
      </c>
      <c r="C2273" s="177" t="n">
        <v>1407</v>
      </c>
      <c r="D2273" s="177" t="n">
        <v>12</v>
      </c>
      <c r="E2273" s="178" t="inlineStr">
        <is>
          <t>1407/12/27</t>
        </is>
      </c>
      <c r="F2273" s="134" t="inlineStr">
        <is>
          <t>1407/12</t>
        </is>
      </c>
      <c r="G2273" s="61" t="inlineStr">
        <is>
          <t>اسفند</t>
        </is>
      </c>
      <c r="H2273" s="134" t="inlineStr">
        <is>
          <t>زمستان</t>
        </is>
      </c>
      <c r="I2273" s="134" t="inlineStr">
        <is>
          <t>شنبه</t>
        </is>
      </c>
      <c r="J2273" s="134" t="inlineStr">
        <is>
          <t>خیر</t>
        </is>
      </c>
    </row>
    <row r="2274">
      <c r="A2274" s="173" t="n">
        <v>47195</v>
      </c>
      <c r="B2274" s="174" t="n">
        <v>47195</v>
      </c>
      <c r="C2274" s="174" t="n">
        <v>1407</v>
      </c>
      <c r="D2274" s="174" t="n">
        <v>12</v>
      </c>
      <c r="E2274" s="175" t="inlineStr">
        <is>
          <t>1407/12/28</t>
        </is>
      </c>
      <c r="F2274" s="128" t="inlineStr">
        <is>
          <t>1407/12</t>
        </is>
      </c>
      <c r="G2274" s="58" t="inlineStr">
        <is>
          <t>اسفند</t>
        </is>
      </c>
      <c r="H2274" s="128" t="inlineStr">
        <is>
          <t>زمستان</t>
        </is>
      </c>
      <c r="I2274" s="128" t="inlineStr">
        <is>
          <t>یکشنبه</t>
        </is>
      </c>
      <c r="J2274" s="128" t="inlineStr">
        <is>
          <t>خیر</t>
        </is>
      </c>
    </row>
    <row r="2275">
      <c r="A2275" s="176" t="n">
        <v>47196</v>
      </c>
      <c r="B2275" s="177" t="n">
        <v>47196</v>
      </c>
      <c r="C2275" s="177" t="n">
        <v>1407</v>
      </c>
      <c r="D2275" s="177" t="n">
        <v>12</v>
      </c>
      <c r="E2275" s="178" t="inlineStr">
        <is>
          <t>1407/12/29</t>
        </is>
      </c>
      <c r="F2275" s="134" t="inlineStr">
        <is>
          <t>1407/12</t>
        </is>
      </c>
      <c r="G2275" s="61" t="inlineStr">
        <is>
          <t>اسفند</t>
        </is>
      </c>
      <c r="H2275" s="134" t="inlineStr">
        <is>
          <t>زمستان</t>
        </is>
      </c>
      <c r="I2275" s="134" t="inlineStr">
        <is>
          <t>دوشنبه</t>
        </is>
      </c>
      <c r="J2275" s="134" t="inlineStr">
        <is>
          <t>بله</t>
        </is>
      </c>
    </row>
    <row r="2276">
      <c r="A2276" s="173" t="n">
        <v>47197</v>
      </c>
      <c r="B2276" s="174" t="n">
        <v>47197</v>
      </c>
      <c r="C2276" s="174" t="n">
        <v>1408</v>
      </c>
      <c r="D2276" s="174" t="n">
        <v>1</v>
      </c>
      <c r="E2276" s="175" t="inlineStr">
        <is>
          <t>1408/01/01</t>
        </is>
      </c>
      <c r="F2276" s="128" t="inlineStr">
        <is>
          <t>1408/01</t>
        </is>
      </c>
      <c r="G2276" s="58" t="inlineStr">
        <is>
          <t>فروردین</t>
        </is>
      </c>
      <c r="H2276" s="128" t="inlineStr">
        <is>
          <t>بهار</t>
        </is>
      </c>
      <c r="I2276" s="128" t="inlineStr">
        <is>
          <t>سه‌شنبه</t>
        </is>
      </c>
      <c r="J2276" s="128" t="inlineStr">
        <is>
          <t>بله</t>
        </is>
      </c>
    </row>
    <row r="2277">
      <c r="A2277" s="176" t="n">
        <v>47198</v>
      </c>
      <c r="B2277" s="177" t="n">
        <v>47198</v>
      </c>
      <c r="C2277" s="177" t="n">
        <v>1408</v>
      </c>
      <c r="D2277" s="177" t="n">
        <v>1</v>
      </c>
      <c r="E2277" s="178" t="inlineStr">
        <is>
          <t>1408/01/02</t>
        </is>
      </c>
      <c r="F2277" s="134" t="inlineStr">
        <is>
          <t>1408/01</t>
        </is>
      </c>
      <c r="G2277" s="61" t="inlineStr">
        <is>
          <t>فروردین</t>
        </is>
      </c>
      <c r="H2277" s="134" t="inlineStr">
        <is>
          <t>بهار</t>
        </is>
      </c>
      <c r="I2277" s="134" t="inlineStr">
        <is>
          <t>چهارشنبه</t>
        </is>
      </c>
      <c r="J2277" s="134" t="inlineStr">
        <is>
          <t>بله</t>
        </is>
      </c>
    </row>
    <row r="2278">
      <c r="A2278" s="173" t="n">
        <v>47199</v>
      </c>
      <c r="B2278" s="174" t="n">
        <v>47199</v>
      </c>
      <c r="C2278" s="174" t="n">
        <v>1408</v>
      </c>
      <c r="D2278" s="174" t="n">
        <v>1</v>
      </c>
      <c r="E2278" s="175" t="inlineStr">
        <is>
          <t>1408/01/03</t>
        </is>
      </c>
      <c r="F2278" s="128" t="inlineStr">
        <is>
          <t>1408/01</t>
        </is>
      </c>
      <c r="G2278" s="58" t="inlineStr">
        <is>
          <t>فروردین</t>
        </is>
      </c>
      <c r="H2278" s="128" t="inlineStr">
        <is>
          <t>بهار</t>
        </is>
      </c>
      <c r="I2278" s="128" t="inlineStr">
        <is>
          <t>پنجشنبه</t>
        </is>
      </c>
      <c r="J2278" s="128" t="inlineStr">
        <is>
          <t>بله</t>
        </is>
      </c>
    </row>
    <row r="2279">
      <c r="A2279" s="176" t="n">
        <v>47200</v>
      </c>
      <c r="B2279" s="177" t="n">
        <v>47200</v>
      </c>
      <c r="C2279" s="177" t="n">
        <v>1408</v>
      </c>
      <c r="D2279" s="177" t="n">
        <v>1</v>
      </c>
      <c r="E2279" s="178" t="inlineStr">
        <is>
          <t>1408/01/04</t>
        </is>
      </c>
      <c r="F2279" s="134" t="inlineStr">
        <is>
          <t>1408/01</t>
        </is>
      </c>
      <c r="G2279" s="61" t="inlineStr">
        <is>
          <t>فروردین</t>
        </is>
      </c>
      <c r="H2279" s="134" t="inlineStr">
        <is>
          <t>بهار</t>
        </is>
      </c>
      <c r="I2279" s="134" t="inlineStr">
        <is>
          <t>جمعه</t>
        </is>
      </c>
      <c r="J2279" s="134" t="inlineStr">
        <is>
          <t>بله</t>
        </is>
      </c>
    </row>
    <row r="2280">
      <c r="A2280" s="173" t="n">
        <v>47201</v>
      </c>
      <c r="B2280" s="174" t="n">
        <v>47201</v>
      </c>
      <c r="C2280" s="174" t="n">
        <v>1408</v>
      </c>
      <c r="D2280" s="174" t="n">
        <v>1</v>
      </c>
      <c r="E2280" s="175" t="inlineStr">
        <is>
          <t>1408/01/05</t>
        </is>
      </c>
      <c r="F2280" s="128" t="inlineStr">
        <is>
          <t>1408/01</t>
        </is>
      </c>
      <c r="G2280" s="58" t="inlineStr">
        <is>
          <t>فروردین</t>
        </is>
      </c>
      <c r="H2280" s="128" t="inlineStr">
        <is>
          <t>بهار</t>
        </is>
      </c>
      <c r="I2280" s="128" t="inlineStr">
        <is>
          <t>شنبه</t>
        </is>
      </c>
      <c r="J2280" s="128" t="inlineStr">
        <is>
          <t>خیر</t>
        </is>
      </c>
    </row>
    <row r="2281">
      <c r="A2281" s="176" t="n">
        <v>47202</v>
      </c>
      <c r="B2281" s="177" t="n">
        <v>47202</v>
      </c>
      <c r="C2281" s="177" t="n">
        <v>1408</v>
      </c>
      <c r="D2281" s="177" t="n">
        <v>1</v>
      </c>
      <c r="E2281" s="178" t="inlineStr">
        <is>
          <t>1408/01/06</t>
        </is>
      </c>
      <c r="F2281" s="134" t="inlineStr">
        <is>
          <t>1408/01</t>
        </is>
      </c>
      <c r="G2281" s="61" t="inlineStr">
        <is>
          <t>فروردین</t>
        </is>
      </c>
      <c r="H2281" s="134" t="inlineStr">
        <is>
          <t>بهار</t>
        </is>
      </c>
      <c r="I2281" s="134" t="inlineStr">
        <is>
          <t>یکشنبه</t>
        </is>
      </c>
      <c r="J2281" s="134" t="inlineStr">
        <is>
          <t>خیر</t>
        </is>
      </c>
    </row>
    <row r="2282">
      <c r="A2282" s="173" t="n">
        <v>47203</v>
      </c>
      <c r="B2282" s="174" t="n">
        <v>47203</v>
      </c>
      <c r="C2282" s="174" t="n">
        <v>1408</v>
      </c>
      <c r="D2282" s="174" t="n">
        <v>1</v>
      </c>
      <c r="E2282" s="175" t="inlineStr">
        <is>
          <t>1408/01/07</t>
        </is>
      </c>
      <c r="F2282" s="128" t="inlineStr">
        <is>
          <t>1408/01</t>
        </is>
      </c>
      <c r="G2282" s="58" t="inlineStr">
        <is>
          <t>فروردین</t>
        </is>
      </c>
      <c r="H2282" s="128" t="inlineStr">
        <is>
          <t>بهار</t>
        </is>
      </c>
      <c r="I2282" s="128" t="inlineStr">
        <is>
          <t>دوشنبه</t>
        </is>
      </c>
      <c r="J2282" s="128" t="inlineStr">
        <is>
          <t>بله</t>
        </is>
      </c>
    </row>
    <row r="2283">
      <c r="A2283" s="176" t="n">
        <v>47204</v>
      </c>
      <c r="B2283" s="177" t="n">
        <v>47204</v>
      </c>
      <c r="C2283" s="177" t="n">
        <v>1408</v>
      </c>
      <c r="D2283" s="177" t="n">
        <v>1</v>
      </c>
      <c r="E2283" s="178" t="inlineStr">
        <is>
          <t>1408/01/08</t>
        </is>
      </c>
      <c r="F2283" s="134" t="inlineStr">
        <is>
          <t>1408/01</t>
        </is>
      </c>
      <c r="G2283" s="61" t="inlineStr">
        <is>
          <t>فروردین</t>
        </is>
      </c>
      <c r="H2283" s="134" t="inlineStr">
        <is>
          <t>بهار</t>
        </is>
      </c>
      <c r="I2283" s="134" t="inlineStr">
        <is>
          <t>سه‌شنبه</t>
        </is>
      </c>
      <c r="J2283" s="134" t="inlineStr">
        <is>
          <t>بله</t>
        </is>
      </c>
    </row>
    <row r="2284">
      <c r="A2284" s="173" t="n">
        <v>47205</v>
      </c>
      <c r="B2284" s="174" t="n">
        <v>47205</v>
      </c>
      <c r="C2284" s="174" t="n">
        <v>1408</v>
      </c>
      <c r="D2284" s="174" t="n">
        <v>1</v>
      </c>
      <c r="E2284" s="175" t="inlineStr">
        <is>
          <t>1408/01/09</t>
        </is>
      </c>
      <c r="F2284" s="128" t="inlineStr">
        <is>
          <t>1408/01</t>
        </is>
      </c>
      <c r="G2284" s="58" t="inlineStr">
        <is>
          <t>فروردین</t>
        </is>
      </c>
      <c r="H2284" s="128" t="inlineStr">
        <is>
          <t>بهار</t>
        </is>
      </c>
      <c r="I2284" s="128" t="inlineStr">
        <is>
          <t>چهارشنبه</t>
        </is>
      </c>
      <c r="J2284" s="128" t="inlineStr">
        <is>
          <t>بله</t>
        </is>
      </c>
    </row>
    <row r="2285">
      <c r="A2285" s="176" t="n">
        <v>47206</v>
      </c>
      <c r="B2285" s="177" t="n">
        <v>47206</v>
      </c>
      <c r="C2285" s="177" t="n">
        <v>1408</v>
      </c>
      <c r="D2285" s="177" t="n">
        <v>1</v>
      </c>
      <c r="E2285" s="178" t="inlineStr">
        <is>
          <t>1408/01/10</t>
        </is>
      </c>
      <c r="F2285" s="134" t="inlineStr">
        <is>
          <t>1408/01</t>
        </is>
      </c>
      <c r="G2285" s="61" t="inlineStr">
        <is>
          <t>فروردین</t>
        </is>
      </c>
      <c r="H2285" s="134" t="inlineStr">
        <is>
          <t>بهار</t>
        </is>
      </c>
      <c r="I2285" s="134" t="inlineStr">
        <is>
          <t>پنجشنبه</t>
        </is>
      </c>
      <c r="J2285" s="134" t="inlineStr">
        <is>
          <t>بله</t>
        </is>
      </c>
    </row>
    <row r="2286">
      <c r="A2286" s="173" t="n">
        <v>47207</v>
      </c>
      <c r="B2286" s="174" t="n">
        <v>47207</v>
      </c>
      <c r="C2286" s="174" t="n">
        <v>1408</v>
      </c>
      <c r="D2286" s="174" t="n">
        <v>1</v>
      </c>
      <c r="E2286" s="175" t="inlineStr">
        <is>
          <t>1408/01/11</t>
        </is>
      </c>
      <c r="F2286" s="128" t="inlineStr">
        <is>
          <t>1408/01</t>
        </is>
      </c>
      <c r="G2286" s="58" t="inlineStr">
        <is>
          <t>فروردین</t>
        </is>
      </c>
      <c r="H2286" s="128" t="inlineStr">
        <is>
          <t>بهار</t>
        </is>
      </c>
      <c r="I2286" s="128" t="inlineStr">
        <is>
          <t>جمعه</t>
        </is>
      </c>
      <c r="J2286" s="128" t="inlineStr">
        <is>
          <t>بله</t>
        </is>
      </c>
    </row>
    <row r="2287">
      <c r="A2287" s="176" t="n">
        <v>47208</v>
      </c>
      <c r="B2287" s="177" t="n">
        <v>47208</v>
      </c>
      <c r="C2287" s="177" t="n">
        <v>1408</v>
      </c>
      <c r="D2287" s="177" t="n">
        <v>1</v>
      </c>
      <c r="E2287" s="178" t="inlineStr">
        <is>
          <t>1408/01/12</t>
        </is>
      </c>
      <c r="F2287" s="134" t="inlineStr">
        <is>
          <t>1408/01</t>
        </is>
      </c>
      <c r="G2287" s="61" t="inlineStr">
        <is>
          <t>فروردین</t>
        </is>
      </c>
      <c r="H2287" s="134" t="inlineStr">
        <is>
          <t>بهار</t>
        </is>
      </c>
      <c r="I2287" s="134" t="inlineStr">
        <is>
          <t>شنبه</t>
        </is>
      </c>
      <c r="J2287" s="134" t="inlineStr">
        <is>
          <t>خیر</t>
        </is>
      </c>
    </row>
    <row r="2288">
      <c r="A2288" s="173" t="n">
        <v>47209</v>
      </c>
      <c r="B2288" s="174" t="n">
        <v>47209</v>
      </c>
      <c r="C2288" s="174" t="n">
        <v>1408</v>
      </c>
      <c r="D2288" s="174" t="n">
        <v>1</v>
      </c>
      <c r="E2288" s="175" t="inlineStr">
        <is>
          <t>1408/01/13</t>
        </is>
      </c>
      <c r="F2288" s="128" t="inlineStr">
        <is>
          <t>1408/01</t>
        </is>
      </c>
      <c r="G2288" s="58" t="inlineStr">
        <is>
          <t>فروردین</t>
        </is>
      </c>
      <c r="H2288" s="128" t="inlineStr">
        <is>
          <t>بهار</t>
        </is>
      </c>
      <c r="I2288" s="128" t="inlineStr">
        <is>
          <t>یکشنبه</t>
        </is>
      </c>
      <c r="J2288" s="128" t="inlineStr">
        <is>
          <t>خیر</t>
        </is>
      </c>
    </row>
    <row r="2289">
      <c r="A2289" s="176" t="n">
        <v>47210</v>
      </c>
      <c r="B2289" s="177" t="n">
        <v>47210</v>
      </c>
      <c r="C2289" s="177" t="n">
        <v>1408</v>
      </c>
      <c r="D2289" s="177" t="n">
        <v>1</v>
      </c>
      <c r="E2289" s="178" t="inlineStr">
        <is>
          <t>1408/01/14</t>
        </is>
      </c>
      <c r="F2289" s="134" t="inlineStr">
        <is>
          <t>1408/01</t>
        </is>
      </c>
      <c r="G2289" s="61" t="inlineStr">
        <is>
          <t>فروردین</t>
        </is>
      </c>
      <c r="H2289" s="134" t="inlineStr">
        <is>
          <t>بهار</t>
        </is>
      </c>
      <c r="I2289" s="134" t="inlineStr">
        <is>
          <t>دوشنبه</t>
        </is>
      </c>
      <c r="J2289" s="134" t="inlineStr">
        <is>
          <t>بله</t>
        </is>
      </c>
    </row>
    <row r="2290">
      <c r="A2290" s="173" t="n">
        <v>47211</v>
      </c>
      <c r="B2290" s="174" t="n">
        <v>47211</v>
      </c>
      <c r="C2290" s="174" t="n">
        <v>1408</v>
      </c>
      <c r="D2290" s="174" t="n">
        <v>1</v>
      </c>
      <c r="E2290" s="175" t="inlineStr">
        <is>
          <t>1408/01/15</t>
        </is>
      </c>
      <c r="F2290" s="128" t="inlineStr">
        <is>
          <t>1408/01</t>
        </is>
      </c>
      <c r="G2290" s="58" t="inlineStr">
        <is>
          <t>فروردین</t>
        </is>
      </c>
      <c r="H2290" s="128" t="inlineStr">
        <is>
          <t>بهار</t>
        </is>
      </c>
      <c r="I2290" s="128" t="inlineStr">
        <is>
          <t>سه‌شنبه</t>
        </is>
      </c>
      <c r="J2290" s="128" t="inlineStr">
        <is>
          <t>بله</t>
        </is>
      </c>
    </row>
    <row r="2291">
      <c r="A2291" s="176" t="n">
        <v>47212</v>
      </c>
      <c r="B2291" s="177" t="n">
        <v>47212</v>
      </c>
      <c r="C2291" s="177" t="n">
        <v>1408</v>
      </c>
      <c r="D2291" s="177" t="n">
        <v>1</v>
      </c>
      <c r="E2291" s="178" t="inlineStr">
        <is>
          <t>1408/01/16</t>
        </is>
      </c>
      <c r="F2291" s="134" t="inlineStr">
        <is>
          <t>1408/01</t>
        </is>
      </c>
      <c r="G2291" s="61" t="inlineStr">
        <is>
          <t>فروردین</t>
        </is>
      </c>
      <c r="H2291" s="134" t="inlineStr">
        <is>
          <t>بهار</t>
        </is>
      </c>
      <c r="I2291" s="134" t="inlineStr">
        <is>
          <t>چهارشنبه</t>
        </is>
      </c>
      <c r="J2291" s="134" t="inlineStr">
        <is>
          <t>بله</t>
        </is>
      </c>
    </row>
    <row r="2292">
      <c r="A2292" s="173" t="n">
        <v>47213</v>
      </c>
      <c r="B2292" s="174" t="n">
        <v>47213</v>
      </c>
      <c r="C2292" s="174" t="n">
        <v>1408</v>
      </c>
      <c r="D2292" s="174" t="n">
        <v>1</v>
      </c>
      <c r="E2292" s="175" t="inlineStr">
        <is>
          <t>1408/01/17</t>
        </is>
      </c>
      <c r="F2292" s="128" t="inlineStr">
        <is>
          <t>1408/01</t>
        </is>
      </c>
      <c r="G2292" s="58" t="inlineStr">
        <is>
          <t>فروردین</t>
        </is>
      </c>
      <c r="H2292" s="128" t="inlineStr">
        <is>
          <t>بهار</t>
        </is>
      </c>
      <c r="I2292" s="128" t="inlineStr">
        <is>
          <t>پنجشنبه</t>
        </is>
      </c>
      <c r="J2292" s="128" t="inlineStr">
        <is>
          <t>بله</t>
        </is>
      </c>
    </row>
    <row r="2293">
      <c r="A2293" s="176" t="n">
        <v>47214</v>
      </c>
      <c r="B2293" s="177" t="n">
        <v>47214</v>
      </c>
      <c r="C2293" s="177" t="n">
        <v>1408</v>
      </c>
      <c r="D2293" s="177" t="n">
        <v>1</v>
      </c>
      <c r="E2293" s="178" t="inlineStr">
        <is>
          <t>1408/01/18</t>
        </is>
      </c>
      <c r="F2293" s="134" t="inlineStr">
        <is>
          <t>1408/01</t>
        </is>
      </c>
      <c r="G2293" s="61" t="inlineStr">
        <is>
          <t>فروردین</t>
        </is>
      </c>
      <c r="H2293" s="134" t="inlineStr">
        <is>
          <t>بهار</t>
        </is>
      </c>
      <c r="I2293" s="134" t="inlineStr">
        <is>
          <t>جمعه</t>
        </is>
      </c>
      <c r="J2293" s="134" t="inlineStr">
        <is>
          <t>بله</t>
        </is>
      </c>
    </row>
    <row r="2294">
      <c r="A2294" s="173" t="n">
        <v>47215</v>
      </c>
      <c r="B2294" s="174" t="n">
        <v>47215</v>
      </c>
      <c r="C2294" s="174" t="n">
        <v>1408</v>
      </c>
      <c r="D2294" s="174" t="n">
        <v>1</v>
      </c>
      <c r="E2294" s="175" t="inlineStr">
        <is>
          <t>1408/01/19</t>
        </is>
      </c>
      <c r="F2294" s="128" t="inlineStr">
        <is>
          <t>1408/01</t>
        </is>
      </c>
      <c r="G2294" s="58" t="inlineStr">
        <is>
          <t>فروردین</t>
        </is>
      </c>
      <c r="H2294" s="128" t="inlineStr">
        <is>
          <t>بهار</t>
        </is>
      </c>
      <c r="I2294" s="128" t="inlineStr">
        <is>
          <t>شنبه</t>
        </is>
      </c>
      <c r="J2294" s="128" t="inlineStr">
        <is>
          <t>خیر</t>
        </is>
      </c>
    </row>
    <row r="2295">
      <c r="A2295" s="176" t="n">
        <v>47216</v>
      </c>
      <c r="B2295" s="177" t="n">
        <v>47216</v>
      </c>
      <c r="C2295" s="177" t="n">
        <v>1408</v>
      </c>
      <c r="D2295" s="177" t="n">
        <v>1</v>
      </c>
      <c r="E2295" s="178" t="inlineStr">
        <is>
          <t>1408/01/20</t>
        </is>
      </c>
      <c r="F2295" s="134" t="inlineStr">
        <is>
          <t>1408/01</t>
        </is>
      </c>
      <c r="G2295" s="61" t="inlineStr">
        <is>
          <t>فروردین</t>
        </is>
      </c>
      <c r="H2295" s="134" t="inlineStr">
        <is>
          <t>بهار</t>
        </is>
      </c>
      <c r="I2295" s="134" t="inlineStr">
        <is>
          <t>یکشنبه</t>
        </is>
      </c>
      <c r="J2295" s="134" t="inlineStr">
        <is>
          <t>خیر</t>
        </is>
      </c>
    </row>
    <row r="2296">
      <c r="A2296" s="173" t="n">
        <v>47217</v>
      </c>
      <c r="B2296" s="174" t="n">
        <v>47217</v>
      </c>
      <c r="C2296" s="174" t="n">
        <v>1408</v>
      </c>
      <c r="D2296" s="174" t="n">
        <v>1</v>
      </c>
      <c r="E2296" s="175" t="inlineStr">
        <is>
          <t>1408/01/21</t>
        </is>
      </c>
      <c r="F2296" s="128" t="inlineStr">
        <is>
          <t>1408/01</t>
        </is>
      </c>
      <c r="G2296" s="58" t="inlineStr">
        <is>
          <t>فروردین</t>
        </is>
      </c>
      <c r="H2296" s="128" t="inlineStr">
        <is>
          <t>بهار</t>
        </is>
      </c>
      <c r="I2296" s="128" t="inlineStr">
        <is>
          <t>دوشنبه</t>
        </is>
      </c>
      <c r="J2296" s="128" t="inlineStr">
        <is>
          <t>بله</t>
        </is>
      </c>
    </row>
    <row r="2297">
      <c r="A2297" s="176" t="n">
        <v>47218</v>
      </c>
      <c r="B2297" s="177" t="n">
        <v>47218</v>
      </c>
      <c r="C2297" s="177" t="n">
        <v>1408</v>
      </c>
      <c r="D2297" s="177" t="n">
        <v>1</v>
      </c>
      <c r="E2297" s="178" t="inlineStr">
        <is>
          <t>1408/01/22</t>
        </is>
      </c>
      <c r="F2297" s="134" t="inlineStr">
        <is>
          <t>1408/01</t>
        </is>
      </c>
      <c r="G2297" s="61" t="inlineStr">
        <is>
          <t>فروردین</t>
        </is>
      </c>
      <c r="H2297" s="134" t="inlineStr">
        <is>
          <t>بهار</t>
        </is>
      </c>
      <c r="I2297" s="134" t="inlineStr">
        <is>
          <t>سه‌شنبه</t>
        </is>
      </c>
      <c r="J2297" s="134" t="inlineStr">
        <is>
          <t>بله</t>
        </is>
      </c>
    </row>
    <row r="2298">
      <c r="A2298" s="173" t="n">
        <v>47219</v>
      </c>
      <c r="B2298" s="174" t="n">
        <v>47219</v>
      </c>
      <c r="C2298" s="174" t="n">
        <v>1408</v>
      </c>
      <c r="D2298" s="174" t="n">
        <v>1</v>
      </c>
      <c r="E2298" s="175" t="inlineStr">
        <is>
          <t>1408/01/23</t>
        </is>
      </c>
      <c r="F2298" s="128" t="inlineStr">
        <is>
          <t>1408/01</t>
        </is>
      </c>
      <c r="G2298" s="58" t="inlineStr">
        <is>
          <t>فروردین</t>
        </is>
      </c>
      <c r="H2298" s="128" t="inlineStr">
        <is>
          <t>بهار</t>
        </is>
      </c>
      <c r="I2298" s="128" t="inlineStr">
        <is>
          <t>چهارشنبه</t>
        </is>
      </c>
      <c r="J2298" s="128" t="inlineStr">
        <is>
          <t>بله</t>
        </is>
      </c>
    </row>
    <row r="2299">
      <c r="A2299" s="176" t="n">
        <v>47220</v>
      </c>
      <c r="B2299" s="177" t="n">
        <v>47220</v>
      </c>
      <c r="C2299" s="177" t="n">
        <v>1408</v>
      </c>
      <c r="D2299" s="177" t="n">
        <v>1</v>
      </c>
      <c r="E2299" s="178" t="inlineStr">
        <is>
          <t>1408/01/24</t>
        </is>
      </c>
      <c r="F2299" s="134" t="inlineStr">
        <is>
          <t>1408/01</t>
        </is>
      </c>
      <c r="G2299" s="61" t="inlineStr">
        <is>
          <t>فروردین</t>
        </is>
      </c>
      <c r="H2299" s="134" t="inlineStr">
        <is>
          <t>بهار</t>
        </is>
      </c>
      <c r="I2299" s="134" t="inlineStr">
        <is>
          <t>پنجشنبه</t>
        </is>
      </c>
      <c r="J2299" s="134" t="inlineStr">
        <is>
          <t>بله</t>
        </is>
      </c>
    </row>
    <row r="2300">
      <c r="A2300" s="173" t="n">
        <v>47221</v>
      </c>
      <c r="B2300" s="174" t="n">
        <v>47221</v>
      </c>
      <c r="C2300" s="174" t="n">
        <v>1408</v>
      </c>
      <c r="D2300" s="174" t="n">
        <v>1</v>
      </c>
      <c r="E2300" s="175" t="inlineStr">
        <is>
          <t>1408/01/25</t>
        </is>
      </c>
      <c r="F2300" s="128" t="inlineStr">
        <is>
          <t>1408/01</t>
        </is>
      </c>
      <c r="G2300" s="58" t="inlineStr">
        <is>
          <t>فروردین</t>
        </is>
      </c>
      <c r="H2300" s="128" t="inlineStr">
        <is>
          <t>بهار</t>
        </is>
      </c>
      <c r="I2300" s="128" t="inlineStr">
        <is>
          <t>جمعه</t>
        </is>
      </c>
      <c r="J2300" s="128" t="inlineStr">
        <is>
          <t>بله</t>
        </is>
      </c>
    </row>
    <row r="2301">
      <c r="A2301" s="176" t="n">
        <v>47222</v>
      </c>
      <c r="B2301" s="177" t="n">
        <v>47222</v>
      </c>
      <c r="C2301" s="177" t="n">
        <v>1408</v>
      </c>
      <c r="D2301" s="177" t="n">
        <v>1</v>
      </c>
      <c r="E2301" s="178" t="inlineStr">
        <is>
          <t>1408/01/26</t>
        </is>
      </c>
      <c r="F2301" s="134" t="inlineStr">
        <is>
          <t>1408/01</t>
        </is>
      </c>
      <c r="G2301" s="61" t="inlineStr">
        <is>
          <t>فروردین</t>
        </is>
      </c>
      <c r="H2301" s="134" t="inlineStr">
        <is>
          <t>بهار</t>
        </is>
      </c>
      <c r="I2301" s="134" t="inlineStr">
        <is>
          <t>شنبه</t>
        </is>
      </c>
      <c r="J2301" s="134" t="inlineStr">
        <is>
          <t>خیر</t>
        </is>
      </c>
    </row>
    <row r="2302">
      <c r="A2302" s="173" t="n">
        <v>47223</v>
      </c>
      <c r="B2302" s="174" t="n">
        <v>47223</v>
      </c>
      <c r="C2302" s="174" t="n">
        <v>1408</v>
      </c>
      <c r="D2302" s="174" t="n">
        <v>1</v>
      </c>
      <c r="E2302" s="175" t="inlineStr">
        <is>
          <t>1408/01/27</t>
        </is>
      </c>
      <c r="F2302" s="128" t="inlineStr">
        <is>
          <t>1408/01</t>
        </is>
      </c>
      <c r="G2302" s="58" t="inlineStr">
        <is>
          <t>فروردین</t>
        </is>
      </c>
      <c r="H2302" s="128" t="inlineStr">
        <is>
          <t>بهار</t>
        </is>
      </c>
      <c r="I2302" s="128" t="inlineStr">
        <is>
          <t>یکشنبه</t>
        </is>
      </c>
      <c r="J2302" s="128" t="inlineStr">
        <is>
          <t>خیر</t>
        </is>
      </c>
    </row>
    <row r="2303">
      <c r="A2303" s="176" t="n">
        <v>47224</v>
      </c>
      <c r="B2303" s="177" t="n">
        <v>47224</v>
      </c>
      <c r="C2303" s="177" t="n">
        <v>1408</v>
      </c>
      <c r="D2303" s="177" t="n">
        <v>1</v>
      </c>
      <c r="E2303" s="178" t="inlineStr">
        <is>
          <t>1408/01/28</t>
        </is>
      </c>
      <c r="F2303" s="134" t="inlineStr">
        <is>
          <t>1408/01</t>
        </is>
      </c>
      <c r="G2303" s="61" t="inlineStr">
        <is>
          <t>فروردین</t>
        </is>
      </c>
      <c r="H2303" s="134" t="inlineStr">
        <is>
          <t>بهار</t>
        </is>
      </c>
      <c r="I2303" s="134" t="inlineStr">
        <is>
          <t>دوشنبه</t>
        </is>
      </c>
      <c r="J2303" s="134" t="inlineStr">
        <is>
          <t>بله</t>
        </is>
      </c>
    </row>
    <row r="2304">
      <c r="A2304" s="173" t="n">
        <v>47225</v>
      </c>
      <c r="B2304" s="174" t="n">
        <v>47225</v>
      </c>
      <c r="C2304" s="174" t="n">
        <v>1408</v>
      </c>
      <c r="D2304" s="174" t="n">
        <v>1</v>
      </c>
      <c r="E2304" s="175" t="inlineStr">
        <is>
          <t>1408/01/29</t>
        </is>
      </c>
      <c r="F2304" s="128" t="inlineStr">
        <is>
          <t>1408/01</t>
        </is>
      </c>
      <c r="G2304" s="58" t="inlineStr">
        <is>
          <t>فروردین</t>
        </is>
      </c>
      <c r="H2304" s="128" t="inlineStr">
        <is>
          <t>بهار</t>
        </is>
      </c>
      <c r="I2304" s="128" t="inlineStr">
        <is>
          <t>سه‌شنبه</t>
        </is>
      </c>
      <c r="J2304" s="128" t="inlineStr">
        <is>
          <t>بله</t>
        </is>
      </c>
    </row>
    <row r="2305">
      <c r="A2305" s="176" t="n">
        <v>47226</v>
      </c>
      <c r="B2305" s="177" t="n">
        <v>47226</v>
      </c>
      <c r="C2305" s="177" t="n">
        <v>1408</v>
      </c>
      <c r="D2305" s="177" t="n">
        <v>1</v>
      </c>
      <c r="E2305" s="178" t="inlineStr">
        <is>
          <t>1408/01/30</t>
        </is>
      </c>
      <c r="F2305" s="134" t="inlineStr">
        <is>
          <t>1408/01</t>
        </is>
      </c>
      <c r="G2305" s="61" t="inlineStr">
        <is>
          <t>فروردین</t>
        </is>
      </c>
      <c r="H2305" s="134" t="inlineStr">
        <is>
          <t>بهار</t>
        </is>
      </c>
      <c r="I2305" s="134" t="inlineStr">
        <is>
          <t>چهارشنبه</t>
        </is>
      </c>
      <c r="J2305" s="134" t="inlineStr">
        <is>
          <t>بله</t>
        </is>
      </c>
    </row>
    <row r="2306">
      <c r="A2306" s="173" t="n">
        <v>47227</v>
      </c>
      <c r="B2306" s="174" t="n">
        <v>47227</v>
      </c>
      <c r="C2306" s="174" t="n">
        <v>1408</v>
      </c>
      <c r="D2306" s="174" t="n">
        <v>1</v>
      </c>
      <c r="E2306" s="175" t="inlineStr">
        <is>
          <t>1408/01/31</t>
        </is>
      </c>
      <c r="F2306" s="128" t="inlineStr">
        <is>
          <t>1408/01</t>
        </is>
      </c>
      <c r="G2306" s="58" t="inlineStr">
        <is>
          <t>فروردین</t>
        </is>
      </c>
      <c r="H2306" s="128" t="inlineStr">
        <is>
          <t>بهار</t>
        </is>
      </c>
      <c r="I2306" s="128" t="inlineStr">
        <is>
          <t>پنجشنبه</t>
        </is>
      </c>
      <c r="J2306" s="128" t="inlineStr">
        <is>
          <t>بله</t>
        </is>
      </c>
    </row>
    <row r="2307">
      <c r="A2307" s="176" t="n">
        <v>47228</v>
      </c>
      <c r="B2307" s="177" t="n">
        <v>47228</v>
      </c>
      <c r="C2307" s="177" t="n">
        <v>1408</v>
      </c>
      <c r="D2307" s="177" t="n">
        <v>2</v>
      </c>
      <c r="E2307" s="178" t="inlineStr">
        <is>
          <t>1408/02/01</t>
        </is>
      </c>
      <c r="F2307" s="134" t="inlineStr">
        <is>
          <t>1408/02</t>
        </is>
      </c>
      <c r="G2307" s="61" t="inlineStr">
        <is>
          <t>اردیبهشت</t>
        </is>
      </c>
      <c r="H2307" s="134" t="inlineStr">
        <is>
          <t>بهار</t>
        </is>
      </c>
      <c r="I2307" s="134" t="inlineStr">
        <is>
          <t>جمعه</t>
        </is>
      </c>
      <c r="J2307" s="134" t="inlineStr">
        <is>
          <t>بله</t>
        </is>
      </c>
    </row>
    <row r="2308">
      <c r="A2308" s="173" t="n">
        <v>47229</v>
      </c>
      <c r="B2308" s="174" t="n">
        <v>47229</v>
      </c>
      <c r="C2308" s="174" t="n">
        <v>1408</v>
      </c>
      <c r="D2308" s="174" t="n">
        <v>2</v>
      </c>
      <c r="E2308" s="175" t="inlineStr">
        <is>
          <t>1408/02/02</t>
        </is>
      </c>
      <c r="F2308" s="128" t="inlineStr">
        <is>
          <t>1408/02</t>
        </is>
      </c>
      <c r="G2308" s="58" t="inlineStr">
        <is>
          <t>اردیبهشت</t>
        </is>
      </c>
      <c r="H2308" s="128" t="inlineStr">
        <is>
          <t>بهار</t>
        </is>
      </c>
      <c r="I2308" s="128" t="inlineStr">
        <is>
          <t>شنبه</t>
        </is>
      </c>
      <c r="J2308" s="128" t="inlineStr">
        <is>
          <t>خیر</t>
        </is>
      </c>
    </row>
    <row r="2309">
      <c r="A2309" s="176" t="n">
        <v>47230</v>
      </c>
      <c r="B2309" s="177" t="n">
        <v>47230</v>
      </c>
      <c r="C2309" s="177" t="n">
        <v>1408</v>
      </c>
      <c r="D2309" s="177" t="n">
        <v>2</v>
      </c>
      <c r="E2309" s="178" t="inlineStr">
        <is>
          <t>1408/02/03</t>
        </is>
      </c>
      <c r="F2309" s="134" t="inlineStr">
        <is>
          <t>1408/02</t>
        </is>
      </c>
      <c r="G2309" s="61" t="inlineStr">
        <is>
          <t>اردیبهشت</t>
        </is>
      </c>
      <c r="H2309" s="134" t="inlineStr">
        <is>
          <t>بهار</t>
        </is>
      </c>
      <c r="I2309" s="134" t="inlineStr">
        <is>
          <t>یکشنبه</t>
        </is>
      </c>
      <c r="J2309" s="134" t="inlineStr">
        <is>
          <t>خیر</t>
        </is>
      </c>
    </row>
    <row r="2310">
      <c r="A2310" s="173" t="n">
        <v>47231</v>
      </c>
      <c r="B2310" s="174" t="n">
        <v>47231</v>
      </c>
      <c r="C2310" s="174" t="n">
        <v>1408</v>
      </c>
      <c r="D2310" s="174" t="n">
        <v>2</v>
      </c>
      <c r="E2310" s="175" t="inlineStr">
        <is>
          <t>1408/02/04</t>
        </is>
      </c>
      <c r="F2310" s="128" t="inlineStr">
        <is>
          <t>1408/02</t>
        </is>
      </c>
      <c r="G2310" s="58" t="inlineStr">
        <is>
          <t>اردیبهشت</t>
        </is>
      </c>
      <c r="H2310" s="128" t="inlineStr">
        <is>
          <t>بهار</t>
        </is>
      </c>
      <c r="I2310" s="128" t="inlineStr">
        <is>
          <t>دوشنبه</t>
        </is>
      </c>
      <c r="J2310" s="128" t="inlineStr">
        <is>
          <t>بله</t>
        </is>
      </c>
    </row>
    <row r="2311">
      <c r="A2311" s="176" t="n">
        <v>47232</v>
      </c>
      <c r="B2311" s="177" t="n">
        <v>47232</v>
      </c>
      <c r="C2311" s="177" t="n">
        <v>1408</v>
      </c>
      <c r="D2311" s="177" t="n">
        <v>2</v>
      </c>
      <c r="E2311" s="178" t="inlineStr">
        <is>
          <t>1408/02/05</t>
        </is>
      </c>
      <c r="F2311" s="134" t="inlineStr">
        <is>
          <t>1408/02</t>
        </is>
      </c>
      <c r="G2311" s="61" t="inlineStr">
        <is>
          <t>اردیبهشت</t>
        </is>
      </c>
      <c r="H2311" s="134" t="inlineStr">
        <is>
          <t>بهار</t>
        </is>
      </c>
      <c r="I2311" s="134" t="inlineStr">
        <is>
          <t>سه‌شنبه</t>
        </is>
      </c>
      <c r="J2311" s="134" t="inlineStr">
        <is>
          <t>بله</t>
        </is>
      </c>
    </row>
    <row r="2312">
      <c r="A2312" s="173" t="n">
        <v>47233</v>
      </c>
      <c r="B2312" s="174" t="n">
        <v>47233</v>
      </c>
      <c r="C2312" s="174" t="n">
        <v>1408</v>
      </c>
      <c r="D2312" s="174" t="n">
        <v>2</v>
      </c>
      <c r="E2312" s="175" t="inlineStr">
        <is>
          <t>1408/02/06</t>
        </is>
      </c>
      <c r="F2312" s="128" t="inlineStr">
        <is>
          <t>1408/02</t>
        </is>
      </c>
      <c r="G2312" s="58" t="inlineStr">
        <is>
          <t>اردیبهشت</t>
        </is>
      </c>
      <c r="H2312" s="128" t="inlineStr">
        <is>
          <t>بهار</t>
        </is>
      </c>
      <c r="I2312" s="128" t="inlineStr">
        <is>
          <t>چهارشنبه</t>
        </is>
      </c>
      <c r="J2312" s="128" t="inlineStr">
        <is>
          <t>بله</t>
        </is>
      </c>
    </row>
    <row r="2313">
      <c r="A2313" s="176" t="n">
        <v>47234</v>
      </c>
      <c r="B2313" s="177" t="n">
        <v>47234</v>
      </c>
      <c r="C2313" s="177" t="n">
        <v>1408</v>
      </c>
      <c r="D2313" s="177" t="n">
        <v>2</v>
      </c>
      <c r="E2313" s="178" t="inlineStr">
        <is>
          <t>1408/02/07</t>
        </is>
      </c>
      <c r="F2313" s="134" t="inlineStr">
        <is>
          <t>1408/02</t>
        </is>
      </c>
      <c r="G2313" s="61" t="inlineStr">
        <is>
          <t>اردیبهشت</t>
        </is>
      </c>
      <c r="H2313" s="134" t="inlineStr">
        <is>
          <t>بهار</t>
        </is>
      </c>
      <c r="I2313" s="134" t="inlineStr">
        <is>
          <t>پنجشنبه</t>
        </is>
      </c>
      <c r="J2313" s="134" t="inlineStr">
        <is>
          <t>بله</t>
        </is>
      </c>
    </row>
    <row r="2314">
      <c r="A2314" s="173" t="n">
        <v>47235</v>
      </c>
      <c r="B2314" s="174" t="n">
        <v>47235</v>
      </c>
      <c r="C2314" s="174" t="n">
        <v>1408</v>
      </c>
      <c r="D2314" s="174" t="n">
        <v>2</v>
      </c>
      <c r="E2314" s="175" t="inlineStr">
        <is>
          <t>1408/02/08</t>
        </is>
      </c>
      <c r="F2314" s="128" t="inlineStr">
        <is>
          <t>1408/02</t>
        </is>
      </c>
      <c r="G2314" s="58" t="inlineStr">
        <is>
          <t>اردیبهشت</t>
        </is>
      </c>
      <c r="H2314" s="128" t="inlineStr">
        <is>
          <t>بهار</t>
        </is>
      </c>
      <c r="I2314" s="128" t="inlineStr">
        <is>
          <t>جمعه</t>
        </is>
      </c>
      <c r="J2314" s="128" t="inlineStr">
        <is>
          <t>بله</t>
        </is>
      </c>
    </row>
    <row r="2315">
      <c r="A2315" s="176" t="n">
        <v>47236</v>
      </c>
      <c r="B2315" s="177" t="n">
        <v>47236</v>
      </c>
      <c r="C2315" s="177" t="n">
        <v>1408</v>
      </c>
      <c r="D2315" s="177" t="n">
        <v>2</v>
      </c>
      <c r="E2315" s="178" t="inlineStr">
        <is>
          <t>1408/02/09</t>
        </is>
      </c>
      <c r="F2315" s="134" t="inlineStr">
        <is>
          <t>1408/02</t>
        </is>
      </c>
      <c r="G2315" s="61" t="inlineStr">
        <is>
          <t>اردیبهشت</t>
        </is>
      </c>
      <c r="H2315" s="134" t="inlineStr">
        <is>
          <t>بهار</t>
        </is>
      </c>
      <c r="I2315" s="134" t="inlineStr">
        <is>
          <t>شنبه</t>
        </is>
      </c>
      <c r="J2315" s="134" t="inlineStr">
        <is>
          <t>خیر</t>
        </is>
      </c>
    </row>
    <row r="2316">
      <c r="A2316" s="173" t="n">
        <v>47237</v>
      </c>
      <c r="B2316" s="174" t="n">
        <v>47237</v>
      </c>
      <c r="C2316" s="174" t="n">
        <v>1408</v>
      </c>
      <c r="D2316" s="174" t="n">
        <v>2</v>
      </c>
      <c r="E2316" s="175" t="inlineStr">
        <is>
          <t>1408/02/10</t>
        </is>
      </c>
      <c r="F2316" s="128" t="inlineStr">
        <is>
          <t>1408/02</t>
        </is>
      </c>
      <c r="G2316" s="58" t="inlineStr">
        <is>
          <t>اردیبهشت</t>
        </is>
      </c>
      <c r="H2316" s="128" t="inlineStr">
        <is>
          <t>بهار</t>
        </is>
      </c>
      <c r="I2316" s="128" t="inlineStr">
        <is>
          <t>یکشنبه</t>
        </is>
      </c>
      <c r="J2316" s="128" t="inlineStr">
        <is>
          <t>خیر</t>
        </is>
      </c>
    </row>
    <row r="2317">
      <c r="A2317" s="176" t="n">
        <v>47238</v>
      </c>
      <c r="B2317" s="177" t="n">
        <v>47238</v>
      </c>
      <c r="C2317" s="177" t="n">
        <v>1408</v>
      </c>
      <c r="D2317" s="177" t="n">
        <v>2</v>
      </c>
      <c r="E2317" s="178" t="inlineStr">
        <is>
          <t>1408/02/11</t>
        </is>
      </c>
      <c r="F2317" s="134" t="inlineStr">
        <is>
          <t>1408/02</t>
        </is>
      </c>
      <c r="G2317" s="61" t="inlineStr">
        <is>
          <t>اردیبهشت</t>
        </is>
      </c>
      <c r="H2317" s="134" t="inlineStr">
        <is>
          <t>بهار</t>
        </is>
      </c>
      <c r="I2317" s="134" t="inlineStr">
        <is>
          <t>دوشنبه</t>
        </is>
      </c>
      <c r="J2317" s="134" t="inlineStr">
        <is>
          <t>بله</t>
        </is>
      </c>
    </row>
    <row r="2318">
      <c r="A2318" s="173" t="n">
        <v>47239</v>
      </c>
      <c r="B2318" s="174" t="n">
        <v>47239</v>
      </c>
      <c r="C2318" s="174" t="n">
        <v>1408</v>
      </c>
      <c r="D2318" s="174" t="n">
        <v>2</v>
      </c>
      <c r="E2318" s="175" t="inlineStr">
        <is>
          <t>1408/02/12</t>
        </is>
      </c>
      <c r="F2318" s="128" t="inlineStr">
        <is>
          <t>1408/02</t>
        </is>
      </c>
      <c r="G2318" s="58" t="inlineStr">
        <is>
          <t>اردیبهشت</t>
        </is>
      </c>
      <c r="H2318" s="128" t="inlineStr">
        <is>
          <t>بهار</t>
        </is>
      </c>
      <c r="I2318" s="128" t="inlineStr">
        <is>
          <t>سه‌شنبه</t>
        </is>
      </c>
      <c r="J2318" s="128" t="inlineStr">
        <is>
          <t>بله</t>
        </is>
      </c>
    </row>
    <row r="2319">
      <c r="A2319" s="176" t="n">
        <v>47240</v>
      </c>
      <c r="B2319" s="177" t="n">
        <v>47240</v>
      </c>
      <c r="C2319" s="177" t="n">
        <v>1408</v>
      </c>
      <c r="D2319" s="177" t="n">
        <v>2</v>
      </c>
      <c r="E2319" s="178" t="inlineStr">
        <is>
          <t>1408/02/13</t>
        </is>
      </c>
      <c r="F2319" s="134" t="inlineStr">
        <is>
          <t>1408/02</t>
        </is>
      </c>
      <c r="G2319" s="61" t="inlineStr">
        <is>
          <t>اردیبهشت</t>
        </is>
      </c>
      <c r="H2319" s="134" t="inlineStr">
        <is>
          <t>بهار</t>
        </is>
      </c>
      <c r="I2319" s="134" t="inlineStr">
        <is>
          <t>چهارشنبه</t>
        </is>
      </c>
      <c r="J2319" s="134" t="inlineStr">
        <is>
          <t>بله</t>
        </is>
      </c>
    </row>
    <row r="2320">
      <c r="A2320" s="173" t="n">
        <v>47241</v>
      </c>
      <c r="B2320" s="174" t="n">
        <v>47241</v>
      </c>
      <c r="C2320" s="174" t="n">
        <v>1408</v>
      </c>
      <c r="D2320" s="174" t="n">
        <v>2</v>
      </c>
      <c r="E2320" s="175" t="inlineStr">
        <is>
          <t>1408/02/14</t>
        </is>
      </c>
      <c r="F2320" s="128" t="inlineStr">
        <is>
          <t>1408/02</t>
        </is>
      </c>
      <c r="G2320" s="58" t="inlineStr">
        <is>
          <t>اردیبهشت</t>
        </is>
      </c>
      <c r="H2320" s="128" t="inlineStr">
        <is>
          <t>بهار</t>
        </is>
      </c>
      <c r="I2320" s="128" t="inlineStr">
        <is>
          <t>پنجشنبه</t>
        </is>
      </c>
      <c r="J2320" s="128" t="inlineStr">
        <is>
          <t>بله</t>
        </is>
      </c>
    </row>
    <row r="2321">
      <c r="A2321" s="176" t="n">
        <v>47242</v>
      </c>
      <c r="B2321" s="177" t="n">
        <v>47242</v>
      </c>
      <c r="C2321" s="177" t="n">
        <v>1408</v>
      </c>
      <c r="D2321" s="177" t="n">
        <v>2</v>
      </c>
      <c r="E2321" s="178" t="inlineStr">
        <is>
          <t>1408/02/15</t>
        </is>
      </c>
      <c r="F2321" s="134" t="inlineStr">
        <is>
          <t>1408/02</t>
        </is>
      </c>
      <c r="G2321" s="61" t="inlineStr">
        <is>
          <t>اردیبهشت</t>
        </is>
      </c>
      <c r="H2321" s="134" t="inlineStr">
        <is>
          <t>بهار</t>
        </is>
      </c>
      <c r="I2321" s="134" t="inlineStr">
        <is>
          <t>جمعه</t>
        </is>
      </c>
      <c r="J2321" s="134" t="inlineStr">
        <is>
          <t>بله</t>
        </is>
      </c>
    </row>
    <row r="2322">
      <c r="A2322" s="173" t="n">
        <v>47243</v>
      </c>
      <c r="B2322" s="174" t="n">
        <v>47243</v>
      </c>
      <c r="C2322" s="174" t="n">
        <v>1408</v>
      </c>
      <c r="D2322" s="174" t="n">
        <v>2</v>
      </c>
      <c r="E2322" s="175" t="inlineStr">
        <is>
          <t>1408/02/16</t>
        </is>
      </c>
      <c r="F2322" s="128" t="inlineStr">
        <is>
          <t>1408/02</t>
        </is>
      </c>
      <c r="G2322" s="58" t="inlineStr">
        <is>
          <t>اردیبهشت</t>
        </is>
      </c>
      <c r="H2322" s="128" t="inlineStr">
        <is>
          <t>بهار</t>
        </is>
      </c>
      <c r="I2322" s="128" t="inlineStr">
        <is>
          <t>شنبه</t>
        </is>
      </c>
      <c r="J2322" s="128" t="inlineStr">
        <is>
          <t>خیر</t>
        </is>
      </c>
    </row>
    <row r="2323">
      <c r="A2323" s="176" t="n">
        <v>47244</v>
      </c>
      <c r="B2323" s="177" t="n">
        <v>47244</v>
      </c>
      <c r="C2323" s="177" t="n">
        <v>1408</v>
      </c>
      <c r="D2323" s="177" t="n">
        <v>2</v>
      </c>
      <c r="E2323" s="178" t="inlineStr">
        <is>
          <t>1408/02/17</t>
        </is>
      </c>
      <c r="F2323" s="134" t="inlineStr">
        <is>
          <t>1408/02</t>
        </is>
      </c>
      <c r="G2323" s="61" t="inlineStr">
        <is>
          <t>اردیبهشت</t>
        </is>
      </c>
      <c r="H2323" s="134" t="inlineStr">
        <is>
          <t>بهار</t>
        </is>
      </c>
      <c r="I2323" s="134" t="inlineStr">
        <is>
          <t>یکشنبه</t>
        </is>
      </c>
      <c r="J2323" s="134" t="inlineStr">
        <is>
          <t>خیر</t>
        </is>
      </c>
    </row>
    <row r="2324">
      <c r="A2324" s="173" t="n">
        <v>47245</v>
      </c>
      <c r="B2324" s="174" t="n">
        <v>47245</v>
      </c>
      <c r="C2324" s="174" t="n">
        <v>1408</v>
      </c>
      <c r="D2324" s="174" t="n">
        <v>2</v>
      </c>
      <c r="E2324" s="175" t="inlineStr">
        <is>
          <t>1408/02/18</t>
        </is>
      </c>
      <c r="F2324" s="128" t="inlineStr">
        <is>
          <t>1408/02</t>
        </is>
      </c>
      <c r="G2324" s="58" t="inlineStr">
        <is>
          <t>اردیبهشت</t>
        </is>
      </c>
      <c r="H2324" s="128" t="inlineStr">
        <is>
          <t>بهار</t>
        </is>
      </c>
      <c r="I2324" s="128" t="inlineStr">
        <is>
          <t>دوشنبه</t>
        </is>
      </c>
      <c r="J2324" s="128" t="inlineStr">
        <is>
          <t>بله</t>
        </is>
      </c>
    </row>
    <row r="2325">
      <c r="A2325" s="176" t="n">
        <v>47246</v>
      </c>
      <c r="B2325" s="177" t="n">
        <v>47246</v>
      </c>
      <c r="C2325" s="177" t="n">
        <v>1408</v>
      </c>
      <c r="D2325" s="177" t="n">
        <v>2</v>
      </c>
      <c r="E2325" s="178" t="inlineStr">
        <is>
          <t>1408/02/19</t>
        </is>
      </c>
      <c r="F2325" s="134" t="inlineStr">
        <is>
          <t>1408/02</t>
        </is>
      </c>
      <c r="G2325" s="61" t="inlineStr">
        <is>
          <t>اردیبهشت</t>
        </is>
      </c>
      <c r="H2325" s="134" t="inlineStr">
        <is>
          <t>بهار</t>
        </is>
      </c>
      <c r="I2325" s="134" t="inlineStr">
        <is>
          <t>سه‌شنبه</t>
        </is>
      </c>
      <c r="J2325" s="134" t="inlineStr">
        <is>
          <t>بله</t>
        </is>
      </c>
    </row>
    <row r="2326">
      <c r="A2326" s="173" t="n">
        <v>47247</v>
      </c>
      <c r="B2326" s="174" t="n">
        <v>47247</v>
      </c>
      <c r="C2326" s="174" t="n">
        <v>1408</v>
      </c>
      <c r="D2326" s="174" t="n">
        <v>2</v>
      </c>
      <c r="E2326" s="175" t="inlineStr">
        <is>
          <t>1408/02/20</t>
        </is>
      </c>
      <c r="F2326" s="128" t="inlineStr">
        <is>
          <t>1408/02</t>
        </is>
      </c>
      <c r="G2326" s="58" t="inlineStr">
        <is>
          <t>اردیبهشت</t>
        </is>
      </c>
      <c r="H2326" s="128" t="inlineStr">
        <is>
          <t>بهار</t>
        </is>
      </c>
      <c r="I2326" s="128" t="inlineStr">
        <is>
          <t>چهارشنبه</t>
        </is>
      </c>
      <c r="J2326" s="128" t="inlineStr">
        <is>
          <t>بله</t>
        </is>
      </c>
    </row>
    <row r="2327">
      <c r="A2327" s="176" t="n">
        <v>47248</v>
      </c>
      <c r="B2327" s="177" t="n">
        <v>47248</v>
      </c>
      <c r="C2327" s="177" t="n">
        <v>1408</v>
      </c>
      <c r="D2327" s="177" t="n">
        <v>2</v>
      </c>
      <c r="E2327" s="178" t="inlineStr">
        <is>
          <t>1408/02/21</t>
        </is>
      </c>
      <c r="F2327" s="134" t="inlineStr">
        <is>
          <t>1408/02</t>
        </is>
      </c>
      <c r="G2327" s="61" t="inlineStr">
        <is>
          <t>اردیبهشت</t>
        </is>
      </c>
      <c r="H2327" s="134" t="inlineStr">
        <is>
          <t>بهار</t>
        </is>
      </c>
      <c r="I2327" s="134" t="inlineStr">
        <is>
          <t>پنجشنبه</t>
        </is>
      </c>
      <c r="J2327" s="134" t="inlineStr">
        <is>
          <t>بله</t>
        </is>
      </c>
    </row>
    <row r="2328">
      <c r="A2328" s="173" t="n">
        <v>47249</v>
      </c>
      <c r="B2328" s="174" t="n">
        <v>47249</v>
      </c>
      <c r="C2328" s="174" t="n">
        <v>1408</v>
      </c>
      <c r="D2328" s="174" t="n">
        <v>2</v>
      </c>
      <c r="E2328" s="175" t="inlineStr">
        <is>
          <t>1408/02/22</t>
        </is>
      </c>
      <c r="F2328" s="128" t="inlineStr">
        <is>
          <t>1408/02</t>
        </is>
      </c>
      <c r="G2328" s="58" t="inlineStr">
        <is>
          <t>اردیبهشت</t>
        </is>
      </c>
      <c r="H2328" s="128" t="inlineStr">
        <is>
          <t>بهار</t>
        </is>
      </c>
      <c r="I2328" s="128" t="inlineStr">
        <is>
          <t>جمعه</t>
        </is>
      </c>
      <c r="J2328" s="128" t="inlineStr">
        <is>
          <t>بله</t>
        </is>
      </c>
    </row>
    <row r="2329">
      <c r="A2329" s="176" t="n">
        <v>47250</v>
      </c>
      <c r="B2329" s="177" t="n">
        <v>47250</v>
      </c>
      <c r="C2329" s="177" t="n">
        <v>1408</v>
      </c>
      <c r="D2329" s="177" t="n">
        <v>2</v>
      </c>
      <c r="E2329" s="178" t="inlineStr">
        <is>
          <t>1408/02/23</t>
        </is>
      </c>
      <c r="F2329" s="134" t="inlineStr">
        <is>
          <t>1408/02</t>
        </is>
      </c>
      <c r="G2329" s="61" t="inlineStr">
        <is>
          <t>اردیبهشت</t>
        </is>
      </c>
      <c r="H2329" s="134" t="inlineStr">
        <is>
          <t>بهار</t>
        </is>
      </c>
      <c r="I2329" s="134" t="inlineStr">
        <is>
          <t>شنبه</t>
        </is>
      </c>
      <c r="J2329" s="134" t="inlineStr">
        <is>
          <t>خیر</t>
        </is>
      </c>
    </row>
    <row r="2330">
      <c r="A2330" s="173" t="n">
        <v>47251</v>
      </c>
      <c r="B2330" s="174" t="n">
        <v>47251</v>
      </c>
      <c r="C2330" s="174" t="n">
        <v>1408</v>
      </c>
      <c r="D2330" s="174" t="n">
        <v>2</v>
      </c>
      <c r="E2330" s="175" t="inlineStr">
        <is>
          <t>1408/02/24</t>
        </is>
      </c>
      <c r="F2330" s="128" t="inlineStr">
        <is>
          <t>1408/02</t>
        </is>
      </c>
      <c r="G2330" s="58" t="inlineStr">
        <is>
          <t>اردیبهشت</t>
        </is>
      </c>
      <c r="H2330" s="128" t="inlineStr">
        <is>
          <t>بهار</t>
        </is>
      </c>
      <c r="I2330" s="128" t="inlineStr">
        <is>
          <t>یکشنبه</t>
        </is>
      </c>
      <c r="J2330" s="128" t="inlineStr">
        <is>
          <t>خیر</t>
        </is>
      </c>
    </row>
    <row r="2331">
      <c r="A2331" s="176" t="n">
        <v>47252</v>
      </c>
      <c r="B2331" s="177" t="n">
        <v>47252</v>
      </c>
      <c r="C2331" s="177" t="n">
        <v>1408</v>
      </c>
      <c r="D2331" s="177" t="n">
        <v>2</v>
      </c>
      <c r="E2331" s="178" t="inlineStr">
        <is>
          <t>1408/02/25</t>
        </is>
      </c>
      <c r="F2331" s="134" t="inlineStr">
        <is>
          <t>1408/02</t>
        </is>
      </c>
      <c r="G2331" s="61" t="inlineStr">
        <is>
          <t>اردیبهشت</t>
        </is>
      </c>
      <c r="H2331" s="134" t="inlineStr">
        <is>
          <t>بهار</t>
        </is>
      </c>
      <c r="I2331" s="134" t="inlineStr">
        <is>
          <t>دوشنبه</t>
        </is>
      </c>
      <c r="J2331" s="134" t="inlineStr">
        <is>
          <t>بله</t>
        </is>
      </c>
    </row>
    <row r="2332">
      <c r="A2332" s="173" t="n">
        <v>47253</v>
      </c>
      <c r="B2332" s="174" t="n">
        <v>47253</v>
      </c>
      <c r="C2332" s="174" t="n">
        <v>1408</v>
      </c>
      <c r="D2332" s="174" t="n">
        <v>2</v>
      </c>
      <c r="E2332" s="175" t="inlineStr">
        <is>
          <t>1408/02/26</t>
        </is>
      </c>
      <c r="F2332" s="128" t="inlineStr">
        <is>
          <t>1408/02</t>
        </is>
      </c>
      <c r="G2332" s="58" t="inlineStr">
        <is>
          <t>اردیبهشت</t>
        </is>
      </c>
      <c r="H2332" s="128" t="inlineStr">
        <is>
          <t>بهار</t>
        </is>
      </c>
      <c r="I2332" s="128" t="inlineStr">
        <is>
          <t>سه‌شنبه</t>
        </is>
      </c>
      <c r="J2332" s="128" t="inlineStr">
        <is>
          <t>بله</t>
        </is>
      </c>
    </row>
    <row r="2333">
      <c r="A2333" s="176" t="n">
        <v>47254</v>
      </c>
      <c r="B2333" s="177" t="n">
        <v>47254</v>
      </c>
      <c r="C2333" s="177" t="n">
        <v>1408</v>
      </c>
      <c r="D2333" s="177" t="n">
        <v>2</v>
      </c>
      <c r="E2333" s="178" t="inlineStr">
        <is>
          <t>1408/02/27</t>
        </is>
      </c>
      <c r="F2333" s="134" t="inlineStr">
        <is>
          <t>1408/02</t>
        </is>
      </c>
      <c r="G2333" s="61" t="inlineStr">
        <is>
          <t>اردیبهشت</t>
        </is>
      </c>
      <c r="H2333" s="134" t="inlineStr">
        <is>
          <t>بهار</t>
        </is>
      </c>
      <c r="I2333" s="134" t="inlineStr">
        <is>
          <t>چهارشنبه</t>
        </is>
      </c>
      <c r="J2333" s="134" t="inlineStr">
        <is>
          <t>بله</t>
        </is>
      </c>
    </row>
    <row r="2334">
      <c r="A2334" s="173" t="n">
        <v>47255</v>
      </c>
      <c r="B2334" s="174" t="n">
        <v>47255</v>
      </c>
      <c r="C2334" s="174" t="n">
        <v>1408</v>
      </c>
      <c r="D2334" s="174" t="n">
        <v>2</v>
      </c>
      <c r="E2334" s="175" t="inlineStr">
        <is>
          <t>1408/02/28</t>
        </is>
      </c>
      <c r="F2334" s="128" t="inlineStr">
        <is>
          <t>1408/02</t>
        </is>
      </c>
      <c r="G2334" s="58" t="inlineStr">
        <is>
          <t>اردیبهشت</t>
        </is>
      </c>
      <c r="H2334" s="128" t="inlineStr">
        <is>
          <t>بهار</t>
        </is>
      </c>
      <c r="I2334" s="128" t="inlineStr">
        <is>
          <t>پنجشنبه</t>
        </is>
      </c>
      <c r="J2334" s="128" t="inlineStr">
        <is>
          <t>بله</t>
        </is>
      </c>
    </row>
    <row r="2335">
      <c r="A2335" s="176" t="n">
        <v>47256</v>
      </c>
      <c r="B2335" s="177" t="n">
        <v>47256</v>
      </c>
      <c r="C2335" s="177" t="n">
        <v>1408</v>
      </c>
      <c r="D2335" s="177" t="n">
        <v>2</v>
      </c>
      <c r="E2335" s="178" t="inlineStr">
        <is>
          <t>1408/02/29</t>
        </is>
      </c>
      <c r="F2335" s="134" t="inlineStr">
        <is>
          <t>1408/02</t>
        </is>
      </c>
      <c r="G2335" s="61" t="inlineStr">
        <is>
          <t>اردیبهشت</t>
        </is>
      </c>
      <c r="H2335" s="134" t="inlineStr">
        <is>
          <t>بهار</t>
        </is>
      </c>
      <c r="I2335" s="134" t="inlineStr">
        <is>
          <t>جمعه</t>
        </is>
      </c>
      <c r="J2335" s="134" t="inlineStr">
        <is>
          <t>بله</t>
        </is>
      </c>
    </row>
    <row r="2336">
      <c r="A2336" s="173" t="n">
        <v>47257</v>
      </c>
      <c r="B2336" s="174" t="n">
        <v>47257</v>
      </c>
      <c r="C2336" s="174" t="n">
        <v>1408</v>
      </c>
      <c r="D2336" s="174" t="n">
        <v>2</v>
      </c>
      <c r="E2336" s="175" t="inlineStr">
        <is>
          <t>1408/02/30</t>
        </is>
      </c>
      <c r="F2336" s="128" t="inlineStr">
        <is>
          <t>1408/02</t>
        </is>
      </c>
      <c r="G2336" s="58" t="inlineStr">
        <is>
          <t>اردیبهشت</t>
        </is>
      </c>
      <c r="H2336" s="128" t="inlineStr">
        <is>
          <t>بهار</t>
        </is>
      </c>
      <c r="I2336" s="128" t="inlineStr">
        <is>
          <t>شنبه</t>
        </is>
      </c>
      <c r="J2336" s="128" t="inlineStr">
        <is>
          <t>خیر</t>
        </is>
      </c>
    </row>
    <row r="2337">
      <c r="A2337" s="176" t="n">
        <v>47258</v>
      </c>
      <c r="B2337" s="177" t="n">
        <v>47258</v>
      </c>
      <c r="C2337" s="177" t="n">
        <v>1408</v>
      </c>
      <c r="D2337" s="177" t="n">
        <v>2</v>
      </c>
      <c r="E2337" s="178" t="inlineStr">
        <is>
          <t>1408/02/31</t>
        </is>
      </c>
      <c r="F2337" s="134" t="inlineStr">
        <is>
          <t>1408/02</t>
        </is>
      </c>
      <c r="G2337" s="61" t="inlineStr">
        <is>
          <t>اردیبهشت</t>
        </is>
      </c>
      <c r="H2337" s="134" t="inlineStr">
        <is>
          <t>بهار</t>
        </is>
      </c>
      <c r="I2337" s="134" t="inlineStr">
        <is>
          <t>یکشنبه</t>
        </is>
      </c>
      <c r="J2337" s="134" t="inlineStr">
        <is>
          <t>خیر</t>
        </is>
      </c>
    </row>
    <row r="2338">
      <c r="A2338" s="173" t="n">
        <v>47259</v>
      </c>
      <c r="B2338" s="174" t="n">
        <v>47259</v>
      </c>
      <c r="C2338" s="174" t="n">
        <v>1408</v>
      </c>
      <c r="D2338" s="174" t="n">
        <v>3</v>
      </c>
      <c r="E2338" s="175" t="inlineStr">
        <is>
          <t>1408/03/01</t>
        </is>
      </c>
      <c r="F2338" s="128" t="inlineStr">
        <is>
          <t>1408/03</t>
        </is>
      </c>
      <c r="G2338" s="58" t="inlineStr">
        <is>
          <t>خرداد</t>
        </is>
      </c>
      <c r="H2338" s="128" t="inlineStr">
        <is>
          <t>بهار</t>
        </is>
      </c>
      <c r="I2338" s="128" t="inlineStr">
        <is>
          <t>دوشنبه</t>
        </is>
      </c>
      <c r="J2338" s="128" t="inlineStr">
        <is>
          <t>بله</t>
        </is>
      </c>
    </row>
    <row r="2339">
      <c r="A2339" s="176" t="n">
        <v>47260</v>
      </c>
      <c r="B2339" s="177" t="n">
        <v>47260</v>
      </c>
      <c r="C2339" s="177" t="n">
        <v>1408</v>
      </c>
      <c r="D2339" s="177" t="n">
        <v>3</v>
      </c>
      <c r="E2339" s="178" t="inlineStr">
        <is>
          <t>1408/03/02</t>
        </is>
      </c>
      <c r="F2339" s="134" t="inlineStr">
        <is>
          <t>1408/03</t>
        </is>
      </c>
      <c r="G2339" s="61" t="inlineStr">
        <is>
          <t>خرداد</t>
        </is>
      </c>
      <c r="H2339" s="134" t="inlineStr">
        <is>
          <t>بهار</t>
        </is>
      </c>
      <c r="I2339" s="134" t="inlineStr">
        <is>
          <t>سه‌شنبه</t>
        </is>
      </c>
      <c r="J2339" s="134" t="inlineStr">
        <is>
          <t>بله</t>
        </is>
      </c>
    </row>
    <row r="2340">
      <c r="A2340" s="173" t="n">
        <v>47261</v>
      </c>
      <c r="B2340" s="174" t="n">
        <v>47261</v>
      </c>
      <c r="C2340" s="174" t="n">
        <v>1408</v>
      </c>
      <c r="D2340" s="174" t="n">
        <v>3</v>
      </c>
      <c r="E2340" s="175" t="inlineStr">
        <is>
          <t>1408/03/03</t>
        </is>
      </c>
      <c r="F2340" s="128" t="inlineStr">
        <is>
          <t>1408/03</t>
        </is>
      </c>
      <c r="G2340" s="58" t="inlineStr">
        <is>
          <t>خرداد</t>
        </is>
      </c>
      <c r="H2340" s="128" t="inlineStr">
        <is>
          <t>بهار</t>
        </is>
      </c>
      <c r="I2340" s="128" t="inlineStr">
        <is>
          <t>چهارشنبه</t>
        </is>
      </c>
      <c r="J2340" s="128" t="inlineStr">
        <is>
          <t>بله</t>
        </is>
      </c>
    </row>
    <row r="2341">
      <c r="A2341" s="176" t="n">
        <v>47262</v>
      </c>
      <c r="B2341" s="177" t="n">
        <v>47262</v>
      </c>
      <c r="C2341" s="177" t="n">
        <v>1408</v>
      </c>
      <c r="D2341" s="177" t="n">
        <v>3</v>
      </c>
      <c r="E2341" s="178" t="inlineStr">
        <is>
          <t>1408/03/04</t>
        </is>
      </c>
      <c r="F2341" s="134" t="inlineStr">
        <is>
          <t>1408/03</t>
        </is>
      </c>
      <c r="G2341" s="61" t="inlineStr">
        <is>
          <t>خرداد</t>
        </is>
      </c>
      <c r="H2341" s="134" t="inlineStr">
        <is>
          <t>بهار</t>
        </is>
      </c>
      <c r="I2341" s="134" t="inlineStr">
        <is>
          <t>پنجشنبه</t>
        </is>
      </c>
      <c r="J2341" s="134" t="inlineStr">
        <is>
          <t>بله</t>
        </is>
      </c>
    </row>
    <row r="2342">
      <c r="A2342" s="173" t="n">
        <v>47263</v>
      </c>
      <c r="B2342" s="174" t="n">
        <v>47263</v>
      </c>
      <c r="C2342" s="174" t="n">
        <v>1408</v>
      </c>
      <c r="D2342" s="174" t="n">
        <v>3</v>
      </c>
      <c r="E2342" s="175" t="inlineStr">
        <is>
          <t>1408/03/05</t>
        </is>
      </c>
      <c r="F2342" s="128" t="inlineStr">
        <is>
          <t>1408/03</t>
        </is>
      </c>
      <c r="G2342" s="58" t="inlineStr">
        <is>
          <t>خرداد</t>
        </is>
      </c>
      <c r="H2342" s="128" t="inlineStr">
        <is>
          <t>بهار</t>
        </is>
      </c>
      <c r="I2342" s="128" t="inlineStr">
        <is>
          <t>جمعه</t>
        </is>
      </c>
      <c r="J2342" s="128" t="inlineStr">
        <is>
          <t>بله</t>
        </is>
      </c>
    </row>
    <row r="2343">
      <c r="A2343" s="176" t="n">
        <v>47264</v>
      </c>
      <c r="B2343" s="177" t="n">
        <v>47264</v>
      </c>
      <c r="C2343" s="177" t="n">
        <v>1408</v>
      </c>
      <c r="D2343" s="177" t="n">
        <v>3</v>
      </c>
      <c r="E2343" s="178" t="inlineStr">
        <is>
          <t>1408/03/06</t>
        </is>
      </c>
      <c r="F2343" s="134" t="inlineStr">
        <is>
          <t>1408/03</t>
        </is>
      </c>
      <c r="G2343" s="61" t="inlineStr">
        <is>
          <t>خرداد</t>
        </is>
      </c>
      <c r="H2343" s="134" t="inlineStr">
        <is>
          <t>بهار</t>
        </is>
      </c>
      <c r="I2343" s="134" t="inlineStr">
        <is>
          <t>شنبه</t>
        </is>
      </c>
      <c r="J2343" s="134" t="inlineStr">
        <is>
          <t>خیر</t>
        </is>
      </c>
    </row>
    <row r="2344">
      <c r="A2344" s="173" t="n">
        <v>47265</v>
      </c>
      <c r="B2344" s="174" t="n">
        <v>47265</v>
      </c>
      <c r="C2344" s="174" t="n">
        <v>1408</v>
      </c>
      <c r="D2344" s="174" t="n">
        <v>3</v>
      </c>
      <c r="E2344" s="175" t="inlineStr">
        <is>
          <t>1408/03/07</t>
        </is>
      </c>
      <c r="F2344" s="128" t="inlineStr">
        <is>
          <t>1408/03</t>
        </is>
      </c>
      <c r="G2344" s="58" t="inlineStr">
        <is>
          <t>خرداد</t>
        </is>
      </c>
      <c r="H2344" s="128" t="inlineStr">
        <is>
          <t>بهار</t>
        </is>
      </c>
      <c r="I2344" s="128" t="inlineStr">
        <is>
          <t>یکشنبه</t>
        </is>
      </c>
      <c r="J2344" s="128" t="inlineStr">
        <is>
          <t>خیر</t>
        </is>
      </c>
    </row>
    <row r="2345">
      <c r="A2345" s="176" t="n">
        <v>47266</v>
      </c>
      <c r="B2345" s="177" t="n">
        <v>47266</v>
      </c>
      <c r="C2345" s="177" t="n">
        <v>1408</v>
      </c>
      <c r="D2345" s="177" t="n">
        <v>3</v>
      </c>
      <c r="E2345" s="178" t="inlineStr">
        <is>
          <t>1408/03/08</t>
        </is>
      </c>
      <c r="F2345" s="134" t="inlineStr">
        <is>
          <t>1408/03</t>
        </is>
      </c>
      <c r="G2345" s="61" t="inlineStr">
        <is>
          <t>خرداد</t>
        </is>
      </c>
      <c r="H2345" s="134" t="inlineStr">
        <is>
          <t>بهار</t>
        </is>
      </c>
      <c r="I2345" s="134" t="inlineStr">
        <is>
          <t>دوشنبه</t>
        </is>
      </c>
      <c r="J2345" s="134" t="inlineStr">
        <is>
          <t>بله</t>
        </is>
      </c>
    </row>
    <row r="2346">
      <c r="A2346" s="173" t="n">
        <v>47267</v>
      </c>
      <c r="B2346" s="174" t="n">
        <v>47267</v>
      </c>
      <c r="C2346" s="174" t="n">
        <v>1408</v>
      </c>
      <c r="D2346" s="174" t="n">
        <v>3</v>
      </c>
      <c r="E2346" s="175" t="inlineStr">
        <is>
          <t>1408/03/09</t>
        </is>
      </c>
      <c r="F2346" s="128" t="inlineStr">
        <is>
          <t>1408/03</t>
        </is>
      </c>
      <c r="G2346" s="58" t="inlineStr">
        <is>
          <t>خرداد</t>
        </is>
      </c>
      <c r="H2346" s="128" t="inlineStr">
        <is>
          <t>بهار</t>
        </is>
      </c>
      <c r="I2346" s="128" t="inlineStr">
        <is>
          <t>سه‌شنبه</t>
        </is>
      </c>
      <c r="J2346" s="128" t="inlineStr">
        <is>
          <t>بله</t>
        </is>
      </c>
    </row>
    <row r="2347">
      <c r="A2347" s="176" t="n">
        <v>47268</v>
      </c>
      <c r="B2347" s="177" t="n">
        <v>47268</v>
      </c>
      <c r="C2347" s="177" t="n">
        <v>1408</v>
      </c>
      <c r="D2347" s="177" t="n">
        <v>3</v>
      </c>
      <c r="E2347" s="178" t="inlineStr">
        <is>
          <t>1408/03/10</t>
        </is>
      </c>
      <c r="F2347" s="134" t="inlineStr">
        <is>
          <t>1408/03</t>
        </is>
      </c>
      <c r="G2347" s="61" t="inlineStr">
        <is>
          <t>خرداد</t>
        </is>
      </c>
      <c r="H2347" s="134" t="inlineStr">
        <is>
          <t>بهار</t>
        </is>
      </c>
      <c r="I2347" s="134" t="inlineStr">
        <is>
          <t>چهارشنبه</t>
        </is>
      </c>
      <c r="J2347" s="134" t="inlineStr">
        <is>
          <t>بله</t>
        </is>
      </c>
    </row>
    <row r="2348">
      <c r="A2348" s="173" t="n">
        <v>47269</v>
      </c>
      <c r="B2348" s="174" t="n">
        <v>47269</v>
      </c>
      <c r="C2348" s="174" t="n">
        <v>1408</v>
      </c>
      <c r="D2348" s="174" t="n">
        <v>3</v>
      </c>
      <c r="E2348" s="175" t="inlineStr">
        <is>
          <t>1408/03/11</t>
        </is>
      </c>
      <c r="F2348" s="128" t="inlineStr">
        <is>
          <t>1408/03</t>
        </is>
      </c>
      <c r="G2348" s="58" t="inlineStr">
        <is>
          <t>خرداد</t>
        </is>
      </c>
      <c r="H2348" s="128" t="inlineStr">
        <is>
          <t>بهار</t>
        </is>
      </c>
      <c r="I2348" s="128" t="inlineStr">
        <is>
          <t>پنجشنبه</t>
        </is>
      </c>
      <c r="J2348" s="128" t="inlineStr">
        <is>
          <t>بله</t>
        </is>
      </c>
    </row>
    <row r="2349">
      <c r="A2349" s="176" t="n">
        <v>47270</v>
      </c>
      <c r="B2349" s="177" t="n">
        <v>47270</v>
      </c>
      <c r="C2349" s="177" t="n">
        <v>1408</v>
      </c>
      <c r="D2349" s="177" t="n">
        <v>3</v>
      </c>
      <c r="E2349" s="178" t="inlineStr">
        <is>
          <t>1408/03/12</t>
        </is>
      </c>
      <c r="F2349" s="134" t="inlineStr">
        <is>
          <t>1408/03</t>
        </is>
      </c>
      <c r="G2349" s="61" t="inlineStr">
        <is>
          <t>خرداد</t>
        </is>
      </c>
      <c r="H2349" s="134" t="inlineStr">
        <is>
          <t>بهار</t>
        </is>
      </c>
      <c r="I2349" s="134" t="inlineStr">
        <is>
          <t>جمعه</t>
        </is>
      </c>
      <c r="J2349" s="134" t="inlineStr">
        <is>
          <t>بله</t>
        </is>
      </c>
    </row>
    <row r="2350">
      <c r="A2350" s="173" t="n">
        <v>47271</v>
      </c>
      <c r="B2350" s="174" t="n">
        <v>47271</v>
      </c>
      <c r="C2350" s="174" t="n">
        <v>1408</v>
      </c>
      <c r="D2350" s="174" t="n">
        <v>3</v>
      </c>
      <c r="E2350" s="175" t="inlineStr">
        <is>
          <t>1408/03/13</t>
        </is>
      </c>
      <c r="F2350" s="128" t="inlineStr">
        <is>
          <t>1408/03</t>
        </is>
      </c>
      <c r="G2350" s="58" t="inlineStr">
        <is>
          <t>خرداد</t>
        </is>
      </c>
      <c r="H2350" s="128" t="inlineStr">
        <is>
          <t>بهار</t>
        </is>
      </c>
      <c r="I2350" s="128" t="inlineStr">
        <is>
          <t>شنبه</t>
        </is>
      </c>
      <c r="J2350" s="128" t="inlineStr">
        <is>
          <t>خیر</t>
        </is>
      </c>
    </row>
    <row r="2351">
      <c r="A2351" s="176" t="n">
        <v>47272</v>
      </c>
      <c r="B2351" s="177" t="n">
        <v>47272</v>
      </c>
      <c r="C2351" s="177" t="n">
        <v>1408</v>
      </c>
      <c r="D2351" s="177" t="n">
        <v>3</v>
      </c>
      <c r="E2351" s="178" t="inlineStr">
        <is>
          <t>1408/03/14</t>
        </is>
      </c>
      <c r="F2351" s="134" t="inlineStr">
        <is>
          <t>1408/03</t>
        </is>
      </c>
      <c r="G2351" s="61" t="inlineStr">
        <is>
          <t>خرداد</t>
        </is>
      </c>
      <c r="H2351" s="134" t="inlineStr">
        <is>
          <t>بهار</t>
        </is>
      </c>
      <c r="I2351" s="134" t="inlineStr">
        <is>
          <t>یکشنبه</t>
        </is>
      </c>
      <c r="J2351" s="134" t="inlineStr">
        <is>
          <t>خیر</t>
        </is>
      </c>
    </row>
    <row r="2352">
      <c r="A2352" s="173" t="n">
        <v>47273</v>
      </c>
      <c r="B2352" s="174" t="n">
        <v>47273</v>
      </c>
      <c r="C2352" s="174" t="n">
        <v>1408</v>
      </c>
      <c r="D2352" s="174" t="n">
        <v>3</v>
      </c>
      <c r="E2352" s="175" t="inlineStr">
        <is>
          <t>1408/03/15</t>
        </is>
      </c>
      <c r="F2352" s="128" t="inlineStr">
        <is>
          <t>1408/03</t>
        </is>
      </c>
      <c r="G2352" s="58" t="inlineStr">
        <is>
          <t>خرداد</t>
        </is>
      </c>
      <c r="H2352" s="128" t="inlineStr">
        <is>
          <t>بهار</t>
        </is>
      </c>
      <c r="I2352" s="128" t="inlineStr">
        <is>
          <t>دوشنبه</t>
        </is>
      </c>
      <c r="J2352" s="128" t="inlineStr">
        <is>
          <t>بله</t>
        </is>
      </c>
    </row>
    <row r="2353">
      <c r="A2353" s="176" t="n">
        <v>47274</v>
      </c>
      <c r="B2353" s="177" t="n">
        <v>47274</v>
      </c>
      <c r="C2353" s="177" t="n">
        <v>1408</v>
      </c>
      <c r="D2353" s="177" t="n">
        <v>3</v>
      </c>
      <c r="E2353" s="178" t="inlineStr">
        <is>
          <t>1408/03/16</t>
        </is>
      </c>
      <c r="F2353" s="134" t="inlineStr">
        <is>
          <t>1408/03</t>
        </is>
      </c>
      <c r="G2353" s="61" t="inlineStr">
        <is>
          <t>خرداد</t>
        </is>
      </c>
      <c r="H2353" s="134" t="inlineStr">
        <is>
          <t>بهار</t>
        </is>
      </c>
      <c r="I2353" s="134" t="inlineStr">
        <is>
          <t>سه‌شنبه</t>
        </is>
      </c>
      <c r="J2353" s="134" t="inlineStr">
        <is>
          <t>بله</t>
        </is>
      </c>
    </row>
    <row r="2354">
      <c r="A2354" s="173" t="n">
        <v>47275</v>
      </c>
      <c r="B2354" s="174" t="n">
        <v>47275</v>
      </c>
      <c r="C2354" s="174" t="n">
        <v>1408</v>
      </c>
      <c r="D2354" s="174" t="n">
        <v>3</v>
      </c>
      <c r="E2354" s="175" t="inlineStr">
        <is>
          <t>1408/03/17</t>
        </is>
      </c>
      <c r="F2354" s="128" t="inlineStr">
        <is>
          <t>1408/03</t>
        </is>
      </c>
      <c r="G2354" s="58" t="inlineStr">
        <is>
          <t>خرداد</t>
        </is>
      </c>
      <c r="H2354" s="128" t="inlineStr">
        <is>
          <t>بهار</t>
        </is>
      </c>
      <c r="I2354" s="128" t="inlineStr">
        <is>
          <t>چهارشنبه</t>
        </is>
      </c>
      <c r="J2354" s="128" t="inlineStr">
        <is>
          <t>بله</t>
        </is>
      </c>
    </row>
    <row r="2355">
      <c r="A2355" s="176" t="n">
        <v>47276</v>
      </c>
      <c r="B2355" s="177" t="n">
        <v>47276</v>
      </c>
      <c r="C2355" s="177" t="n">
        <v>1408</v>
      </c>
      <c r="D2355" s="177" t="n">
        <v>3</v>
      </c>
      <c r="E2355" s="178" t="inlineStr">
        <is>
          <t>1408/03/18</t>
        </is>
      </c>
      <c r="F2355" s="134" t="inlineStr">
        <is>
          <t>1408/03</t>
        </is>
      </c>
      <c r="G2355" s="61" t="inlineStr">
        <is>
          <t>خرداد</t>
        </is>
      </c>
      <c r="H2355" s="134" t="inlineStr">
        <is>
          <t>بهار</t>
        </is>
      </c>
      <c r="I2355" s="134" t="inlineStr">
        <is>
          <t>پنجشنبه</t>
        </is>
      </c>
      <c r="J2355" s="134" t="inlineStr">
        <is>
          <t>بله</t>
        </is>
      </c>
    </row>
    <row r="2356">
      <c r="A2356" s="173" t="n">
        <v>47277</v>
      </c>
      <c r="B2356" s="174" t="n">
        <v>47277</v>
      </c>
      <c r="C2356" s="174" t="n">
        <v>1408</v>
      </c>
      <c r="D2356" s="174" t="n">
        <v>3</v>
      </c>
      <c r="E2356" s="175" t="inlineStr">
        <is>
          <t>1408/03/19</t>
        </is>
      </c>
      <c r="F2356" s="128" t="inlineStr">
        <is>
          <t>1408/03</t>
        </is>
      </c>
      <c r="G2356" s="58" t="inlineStr">
        <is>
          <t>خرداد</t>
        </is>
      </c>
      <c r="H2356" s="128" t="inlineStr">
        <is>
          <t>بهار</t>
        </is>
      </c>
      <c r="I2356" s="128" t="inlineStr">
        <is>
          <t>جمعه</t>
        </is>
      </c>
      <c r="J2356" s="128" t="inlineStr">
        <is>
          <t>بله</t>
        </is>
      </c>
    </row>
    <row r="2357">
      <c r="A2357" s="176" t="n">
        <v>47278</v>
      </c>
      <c r="B2357" s="177" t="n">
        <v>47278</v>
      </c>
      <c r="C2357" s="177" t="n">
        <v>1408</v>
      </c>
      <c r="D2357" s="177" t="n">
        <v>3</v>
      </c>
      <c r="E2357" s="178" t="inlineStr">
        <is>
          <t>1408/03/20</t>
        </is>
      </c>
      <c r="F2357" s="134" t="inlineStr">
        <is>
          <t>1408/03</t>
        </is>
      </c>
      <c r="G2357" s="61" t="inlineStr">
        <is>
          <t>خرداد</t>
        </is>
      </c>
      <c r="H2357" s="134" t="inlineStr">
        <is>
          <t>بهار</t>
        </is>
      </c>
      <c r="I2357" s="134" t="inlineStr">
        <is>
          <t>شنبه</t>
        </is>
      </c>
      <c r="J2357" s="134" t="inlineStr">
        <is>
          <t>خیر</t>
        </is>
      </c>
    </row>
    <row r="2358">
      <c r="A2358" s="173" t="n">
        <v>47279</v>
      </c>
      <c r="B2358" s="174" t="n">
        <v>47279</v>
      </c>
      <c r="C2358" s="174" t="n">
        <v>1408</v>
      </c>
      <c r="D2358" s="174" t="n">
        <v>3</v>
      </c>
      <c r="E2358" s="175" t="inlineStr">
        <is>
          <t>1408/03/21</t>
        </is>
      </c>
      <c r="F2358" s="128" t="inlineStr">
        <is>
          <t>1408/03</t>
        </is>
      </c>
      <c r="G2358" s="58" t="inlineStr">
        <is>
          <t>خرداد</t>
        </is>
      </c>
      <c r="H2358" s="128" t="inlineStr">
        <is>
          <t>بهار</t>
        </is>
      </c>
      <c r="I2358" s="128" t="inlineStr">
        <is>
          <t>یکشنبه</t>
        </is>
      </c>
      <c r="J2358" s="128" t="inlineStr">
        <is>
          <t>خیر</t>
        </is>
      </c>
    </row>
    <row r="2359">
      <c r="A2359" s="176" t="n">
        <v>47280</v>
      </c>
      <c r="B2359" s="177" t="n">
        <v>47280</v>
      </c>
      <c r="C2359" s="177" t="n">
        <v>1408</v>
      </c>
      <c r="D2359" s="177" t="n">
        <v>3</v>
      </c>
      <c r="E2359" s="178" t="inlineStr">
        <is>
          <t>1408/03/22</t>
        </is>
      </c>
      <c r="F2359" s="134" t="inlineStr">
        <is>
          <t>1408/03</t>
        </is>
      </c>
      <c r="G2359" s="61" t="inlineStr">
        <is>
          <t>خرداد</t>
        </is>
      </c>
      <c r="H2359" s="134" t="inlineStr">
        <is>
          <t>بهار</t>
        </is>
      </c>
      <c r="I2359" s="134" t="inlineStr">
        <is>
          <t>دوشنبه</t>
        </is>
      </c>
      <c r="J2359" s="134" t="inlineStr">
        <is>
          <t>بله</t>
        </is>
      </c>
    </row>
    <row r="2360">
      <c r="A2360" s="173" t="n">
        <v>47281</v>
      </c>
      <c r="B2360" s="174" t="n">
        <v>47281</v>
      </c>
      <c r="C2360" s="174" t="n">
        <v>1408</v>
      </c>
      <c r="D2360" s="174" t="n">
        <v>3</v>
      </c>
      <c r="E2360" s="175" t="inlineStr">
        <is>
          <t>1408/03/23</t>
        </is>
      </c>
      <c r="F2360" s="128" t="inlineStr">
        <is>
          <t>1408/03</t>
        </is>
      </c>
      <c r="G2360" s="58" t="inlineStr">
        <is>
          <t>خرداد</t>
        </is>
      </c>
      <c r="H2360" s="128" t="inlineStr">
        <is>
          <t>بهار</t>
        </is>
      </c>
      <c r="I2360" s="128" t="inlineStr">
        <is>
          <t>سه‌شنبه</t>
        </is>
      </c>
      <c r="J2360" s="128" t="inlineStr">
        <is>
          <t>بله</t>
        </is>
      </c>
    </row>
    <row r="2361">
      <c r="A2361" s="176" t="n">
        <v>47282</v>
      </c>
      <c r="B2361" s="177" t="n">
        <v>47282</v>
      </c>
      <c r="C2361" s="177" t="n">
        <v>1408</v>
      </c>
      <c r="D2361" s="177" t="n">
        <v>3</v>
      </c>
      <c r="E2361" s="178" t="inlineStr">
        <is>
          <t>1408/03/24</t>
        </is>
      </c>
      <c r="F2361" s="134" t="inlineStr">
        <is>
          <t>1408/03</t>
        </is>
      </c>
      <c r="G2361" s="61" t="inlineStr">
        <is>
          <t>خرداد</t>
        </is>
      </c>
      <c r="H2361" s="134" t="inlineStr">
        <is>
          <t>بهار</t>
        </is>
      </c>
      <c r="I2361" s="134" t="inlineStr">
        <is>
          <t>چهارشنبه</t>
        </is>
      </c>
      <c r="J2361" s="134" t="inlineStr">
        <is>
          <t>بله</t>
        </is>
      </c>
    </row>
    <row r="2362">
      <c r="A2362" s="173" t="n">
        <v>47283</v>
      </c>
      <c r="B2362" s="174" t="n">
        <v>47283</v>
      </c>
      <c r="C2362" s="174" t="n">
        <v>1408</v>
      </c>
      <c r="D2362" s="174" t="n">
        <v>3</v>
      </c>
      <c r="E2362" s="175" t="inlineStr">
        <is>
          <t>1408/03/25</t>
        </is>
      </c>
      <c r="F2362" s="128" t="inlineStr">
        <is>
          <t>1408/03</t>
        </is>
      </c>
      <c r="G2362" s="58" t="inlineStr">
        <is>
          <t>خرداد</t>
        </is>
      </c>
      <c r="H2362" s="128" t="inlineStr">
        <is>
          <t>بهار</t>
        </is>
      </c>
      <c r="I2362" s="128" t="inlineStr">
        <is>
          <t>پنجشنبه</t>
        </is>
      </c>
      <c r="J2362" s="128" t="inlineStr">
        <is>
          <t>بله</t>
        </is>
      </c>
    </row>
    <row r="2363">
      <c r="A2363" s="176" t="n">
        <v>47284</v>
      </c>
      <c r="B2363" s="177" t="n">
        <v>47284</v>
      </c>
      <c r="C2363" s="177" t="n">
        <v>1408</v>
      </c>
      <c r="D2363" s="177" t="n">
        <v>3</v>
      </c>
      <c r="E2363" s="178" t="inlineStr">
        <is>
          <t>1408/03/26</t>
        </is>
      </c>
      <c r="F2363" s="134" t="inlineStr">
        <is>
          <t>1408/03</t>
        </is>
      </c>
      <c r="G2363" s="61" t="inlineStr">
        <is>
          <t>خرداد</t>
        </is>
      </c>
      <c r="H2363" s="134" t="inlineStr">
        <is>
          <t>بهار</t>
        </is>
      </c>
      <c r="I2363" s="134" t="inlineStr">
        <is>
          <t>جمعه</t>
        </is>
      </c>
      <c r="J2363" s="134" t="inlineStr">
        <is>
          <t>بله</t>
        </is>
      </c>
    </row>
    <row r="2364">
      <c r="A2364" s="173" t="n">
        <v>47285</v>
      </c>
      <c r="B2364" s="174" t="n">
        <v>47285</v>
      </c>
      <c r="C2364" s="174" t="n">
        <v>1408</v>
      </c>
      <c r="D2364" s="174" t="n">
        <v>3</v>
      </c>
      <c r="E2364" s="175" t="inlineStr">
        <is>
          <t>1408/03/27</t>
        </is>
      </c>
      <c r="F2364" s="128" t="inlineStr">
        <is>
          <t>1408/03</t>
        </is>
      </c>
      <c r="G2364" s="58" t="inlineStr">
        <is>
          <t>خرداد</t>
        </is>
      </c>
      <c r="H2364" s="128" t="inlineStr">
        <is>
          <t>بهار</t>
        </is>
      </c>
      <c r="I2364" s="128" t="inlineStr">
        <is>
          <t>شنبه</t>
        </is>
      </c>
      <c r="J2364" s="128" t="inlineStr">
        <is>
          <t>خیر</t>
        </is>
      </c>
    </row>
    <row r="2365">
      <c r="A2365" s="176" t="n">
        <v>47286</v>
      </c>
      <c r="B2365" s="177" t="n">
        <v>47286</v>
      </c>
      <c r="C2365" s="177" t="n">
        <v>1408</v>
      </c>
      <c r="D2365" s="177" t="n">
        <v>3</v>
      </c>
      <c r="E2365" s="178" t="inlineStr">
        <is>
          <t>1408/03/28</t>
        </is>
      </c>
      <c r="F2365" s="134" t="inlineStr">
        <is>
          <t>1408/03</t>
        </is>
      </c>
      <c r="G2365" s="61" t="inlineStr">
        <is>
          <t>خرداد</t>
        </is>
      </c>
      <c r="H2365" s="134" t="inlineStr">
        <is>
          <t>بهار</t>
        </is>
      </c>
      <c r="I2365" s="134" t="inlineStr">
        <is>
          <t>یکشنبه</t>
        </is>
      </c>
      <c r="J2365" s="134" t="inlineStr">
        <is>
          <t>خیر</t>
        </is>
      </c>
    </row>
    <row r="2366">
      <c r="A2366" s="173" t="n">
        <v>47287</v>
      </c>
      <c r="B2366" s="174" t="n">
        <v>47287</v>
      </c>
      <c r="C2366" s="174" t="n">
        <v>1408</v>
      </c>
      <c r="D2366" s="174" t="n">
        <v>3</v>
      </c>
      <c r="E2366" s="175" t="inlineStr">
        <is>
          <t>1408/03/29</t>
        </is>
      </c>
      <c r="F2366" s="128" t="inlineStr">
        <is>
          <t>1408/03</t>
        </is>
      </c>
      <c r="G2366" s="58" t="inlineStr">
        <is>
          <t>خرداد</t>
        </is>
      </c>
      <c r="H2366" s="128" t="inlineStr">
        <is>
          <t>بهار</t>
        </is>
      </c>
      <c r="I2366" s="128" t="inlineStr">
        <is>
          <t>دوشنبه</t>
        </is>
      </c>
      <c r="J2366" s="128" t="inlineStr">
        <is>
          <t>بله</t>
        </is>
      </c>
    </row>
    <row r="2367">
      <c r="A2367" s="176" t="n">
        <v>47288</v>
      </c>
      <c r="B2367" s="177" t="n">
        <v>47288</v>
      </c>
      <c r="C2367" s="177" t="n">
        <v>1408</v>
      </c>
      <c r="D2367" s="177" t="n">
        <v>3</v>
      </c>
      <c r="E2367" s="178" t="inlineStr">
        <is>
          <t>1408/03/30</t>
        </is>
      </c>
      <c r="F2367" s="134" t="inlineStr">
        <is>
          <t>1408/03</t>
        </is>
      </c>
      <c r="G2367" s="61" t="inlineStr">
        <is>
          <t>خرداد</t>
        </is>
      </c>
      <c r="H2367" s="134" t="inlineStr">
        <is>
          <t>بهار</t>
        </is>
      </c>
      <c r="I2367" s="134" t="inlineStr">
        <is>
          <t>سه‌شنبه</t>
        </is>
      </c>
      <c r="J2367" s="134" t="inlineStr">
        <is>
          <t>بله</t>
        </is>
      </c>
    </row>
    <row r="2368">
      <c r="A2368" s="173" t="n">
        <v>47289</v>
      </c>
      <c r="B2368" s="174" t="n">
        <v>47289</v>
      </c>
      <c r="C2368" s="174" t="n">
        <v>1408</v>
      </c>
      <c r="D2368" s="174" t="n">
        <v>3</v>
      </c>
      <c r="E2368" s="175" t="inlineStr">
        <is>
          <t>1408/03/31</t>
        </is>
      </c>
      <c r="F2368" s="128" t="inlineStr">
        <is>
          <t>1408/03</t>
        </is>
      </c>
      <c r="G2368" s="58" t="inlineStr">
        <is>
          <t>خرداد</t>
        </is>
      </c>
      <c r="H2368" s="128" t="inlineStr">
        <is>
          <t>بهار</t>
        </is>
      </c>
      <c r="I2368" s="128" t="inlineStr">
        <is>
          <t>چهارشنبه</t>
        </is>
      </c>
      <c r="J2368" s="128" t="inlineStr">
        <is>
          <t>بله</t>
        </is>
      </c>
    </row>
    <row r="2369">
      <c r="A2369" s="176" t="n">
        <v>47290</v>
      </c>
      <c r="B2369" s="177" t="n">
        <v>47290</v>
      </c>
      <c r="C2369" s="177" t="n">
        <v>1408</v>
      </c>
      <c r="D2369" s="177" t="n">
        <v>4</v>
      </c>
      <c r="E2369" s="178" t="inlineStr">
        <is>
          <t>1408/04/01</t>
        </is>
      </c>
      <c r="F2369" s="134" t="inlineStr">
        <is>
          <t>1408/04</t>
        </is>
      </c>
      <c r="G2369" s="61" t="inlineStr">
        <is>
          <t>تیر</t>
        </is>
      </c>
      <c r="H2369" s="134" t="inlineStr">
        <is>
          <t>تابستان</t>
        </is>
      </c>
      <c r="I2369" s="134" t="inlineStr">
        <is>
          <t>پنجشنبه</t>
        </is>
      </c>
      <c r="J2369" s="134" t="inlineStr">
        <is>
          <t>بله</t>
        </is>
      </c>
    </row>
    <row r="2370">
      <c r="A2370" s="173" t="n">
        <v>47291</v>
      </c>
      <c r="B2370" s="174" t="n">
        <v>47291</v>
      </c>
      <c r="C2370" s="174" t="n">
        <v>1408</v>
      </c>
      <c r="D2370" s="174" t="n">
        <v>4</v>
      </c>
      <c r="E2370" s="175" t="inlineStr">
        <is>
          <t>1408/04/02</t>
        </is>
      </c>
      <c r="F2370" s="128" t="inlineStr">
        <is>
          <t>1408/04</t>
        </is>
      </c>
      <c r="G2370" s="58" t="inlineStr">
        <is>
          <t>تیر</t>
        </is>
      </c>
      <c r="H2370" s="128" t="inlineStr">
        <is>
          <t>تابستان</t>
        </is>
      </c>
      <c r="I2370" s="128" t="inlineStr">
        <is>
          <t>جمعه</t>
        </is>
      </c>
      <c r="J2370" s="128" t="inlineStr">
        <is>
          <t>بله</t>
        </is>
      </c>
    </row>
    <row r="2371">
      <c r="A2371" s="176" t="n">
        <v>47292</v>
      </c>
      <c r="B2371" s="177" t="n">
        <v>47292</v>
      </c>
      <c r="C2371" s="177" t="n">
        <v>1408</v>
      </c>
      <c r="D2371" s="177" t="n">
        <v>4</v>
      </c>
      <c r="E2371" s="178" t="inlineStr">
        <is>
          <t>1408/04/03</t>
        </is>
      </c>
      <c r="F2371" s="134" t="inlineStr">
        <is>
          <t>1408/04</t>
        </is>
      </c>
      <c r="G2371" s="61" t="inlineStr">
        <is>
          <t>تیر</t>
        </is>
      </c>
      <c r="H2371" s="134" t="inlineStr">
        <is>
          <t>تابستان</t>
        </is>
      </c>
      <c r="I2371" s="134" t="inlineStr">
        <is>
          <t>شنبه</t>
        </is>
      </c>
      <c r="J2371" s="134" t="inlineStr">
        <is>
          <t>خیر</t>
        </is>
      </c>
    </row>
    <row r="2372">
      <c r="A2372" s="173" t="n">
        <v>47293</v>
      </c>
      <c r="B2372" s="174" t="n">
        <v>47293</v>
      </c>
      <c r="C2372" s="174" t="n">
        <v>1408</v>
      </c>
      <c r="D2372" s="174" t="n">
        <v>4</v>
      </c>
      <c r="E2372" s="175" t="inlineStr">
        <is>
          <t>1408/04/04</t>
        </is>
      </c>
      <c r="F2372" s="128" t="inlineStr">
        <is>
          <t>1408/04</t>
        </is>
      </c>
      <c r="G2372" s="58" t="inlineStr">
        <is>
          <t>تیر</t>
        </is>
      </c>
      <c r="H2372" s="128" t="inlineStr">
        <is>
          <t>تابستان</t>
        </is>
      </c>
      <c r="I2372" s="128" t="inlineStr">
        <is>
          <t>یکشنبه</t>
        </is>
      </c>
      <c r="J2372" s="128" t="inlineStr">
        <is>
          <t>خیر</t>
        </is>
      </c>
    </row>
    <row r="2373">
      <c r="A2373" s="176" t="n">
        <v>47294</v>
      </c>
      <c r="B2373" s="177" t="n">
        <v>47294</v>
      </c>
      <c r="C2373" s="177" t="n">
        <v>1408</v>
      </c>
      <c r="D2373" s="177" t="n">
        <v>4</v>
      </c>
      <c r="E2373" s="178" t="inlineStr">
        <is>
          <t>1408/04/05</t>
        </is>
      </c>
      <c r="F2373" s="134" t="inlineStr">
        <is>
          <t>1408/04</t>
        </is>
      </c>
      <c r="G2373" s="61" t="inlineStr">
        <is>
          <t>تیر</t>
        </is>
      </c>
      <c r="H2373" s="134" t="inlineStr">
        <is>
          <t>تابستان</t>
        </is>
      </c>
      <c r="I2373" s="134" t="inlineStr">
        <is>
          <t>دوشنبه</t>
        </is>
      </c>
      <c r="J2373" s="134" t="inlineStr">
        <is>
          <t>بله</t>
        </is>
      </c>
    </row>
    <row r="2374">
      <c r="A2374" s="173" t="n">
        <v>47295</v>
      </c>
      <c r="B2374" s="174" t="n">
        <v>47295</v>
      </c>
      <c r="C2374" s="174" t="n">
        <v>1408</v>
      </c>
      <c r="D2374" s="174" t="n">
        <v>4</v>
      </c>
      <c r="E2374" s="175" t="inlineStr">
        <is>
          <t>1408/04/06</t>
        </is>
      </c>
      <c r="F2374" s="128" t="inlineStr">
        <is>
          <t>1408/04</t>
        </is>
      </c>
      <c r="G2374" s="58" t="inlineStr">
        <is>
          <t>تیر</t>
        </is>
      </c>
      <c r="H2374" s="128" t="inlineStr">
        <is>
          <t>تابستان</t>
        </is>
      </c>
      <c r="I2374" s="128" t="inlineStr">
        <is>
          <t>سه‌شنبه</t>
        </is>
      </c>
      <c r="J2374" s="128" t="inlineStr">
        <is>
          <t>بله</t>
        </is>
      </c>
    </row>
    <row r="2375">
      <c r="A2375" s="176" t="n">
        <v>47296</v>
      </c>
      <c r="B2375" s="177" t="n">
        <v>47296</v>
      </c>
      <c r="C2375" s="177" t="n">
        <v>1408</v>
      </c>
      <c r="D2375" s="177" t="n">
        <v>4</v>
      </c>
      <c r="E2375" s="178" t="inlineStr">
        <is>
          <t>1408/04/07</t>
        </is>
      </c>
      <c r="F2375" s="134" t="inlineStr">
        <is>
          <t>1408/04</t>
        </is>
      </c>
      <c r="G2375" s="61" t="inlineStr">
        <is>
          <t>تیر</t>
        </is>
      </c>
      <c r="H2375" s="134" t="inlineStr">
        <is>
          <t>تابستان</t>
        </is>
      </c>
      <c r="I2375" s="134" t="inlineStr">
        <is>
          <t>چهارشنبه</t>
        </is>
      </c>
      <c r="J2375" s="134" t="inlineStr">
        <is>
          <t>بله</t>
        </is>
      </c>
    </row>
    <row r="2376">
      <c r="A2376" s="173" t="n">
        <v>47297</v>
      </c>
      <c r="B2376" s="174" t="n">
        <v>47297</v>
      </c>
      <c r="C2376" s="174" t="n">
        <v>1408</v>
      </c>
      <c r="D2376" s="174" t="n">
        <v>4</v>
      </c>
      <c r="E2376" s="175" t="inlineStr">
        <is>
          <t>1408/04/08</t>
        </is>
      </c>
      <c r="F2376" s="128" t="inlineStr">
        <is>
          <t>1408/04</t>
        </is>
      </c>
      <c r="G2376" s="58" t="inlineStr">
        <is>
          <t>تیر</t>
        </is>
      </c>
      <c r="H2376" s="128" t="inlineStr">
        <is>
          <t>تابستان</t>
        </is>
      </c>
      <c r="I2376" s="128" t="inlineStr">
        <is>
          <t>پنجشنبه</t>
        </is>
      </c>
      <c r="J2376" s="128" t="inlineStr">
        <is>
          <t>بله</t>
        </is>
      </c>
    </row>
    <row r="2377">
      <c r="A2377" s="176" t="n">
        <v>47298</v>
      </c>
      <c r="B2377" s="177" t="n">
        <v>47298</v>
      </c>
      <c r="C2377" s="177" t="n">
        <v>1408</v>
      </c>
      <c r="D2377" s="177" t="n">
        <v>4</v>
      </c>
      <c r="E2377" s="178" t="inlineStr">
        <is>
          <t>1408/04/09</t>
        </is>
      </c>
      <c r="F2377" s="134" t="inlineStr">
        <is>
          <t>1408/04</t>
        </is>
      </c>
      <c r="G2377" s="61" t="inlineStr">
        <is>
          <t>تیر</t>
        </is>
      </c>
      <c r="H2377" s="134" t="inlineStr">
        <is>
          <t>تابستان</t>
        </is>
      </c>
      <c r="I2377" s="134" t="inlineStr">
        <is>
          <t>جمعه</t>
        </is>
      </c>
      <c r="J2377" s="134" t="inlineStr">
        <is>
          <t>بله</t>
        </is>
      </c>
    </row>
    <row r="2378">
      <c r="A2378" s="173" t="n">
        <v>47299</v>
      </c>
      <c r="B2378" s="174" t="n">
        <v>47299</v>
      </c>
      <c r="C2378" s="174" t="n">
        <v>1408</v>
      </c>
      <c r="D2378" s="174" t="n">
        <v>4</v>
      </c>
      <c r="E2378" s="175" t="inlineStr">
        <is>
          <t>1408/04/10</t>
        </is>
      </c>
      <c r="F2378" s="128" t="inlineStr">
        <is>
          <t>1408/04</t>
        </is>
      </c>
      <c r="G2378" s="58" t="inlineStr">
        <is>
          <t>تیر</t>
        </is>
      </c>
      <c r="H2378" s="128" t="inlineStr">
        <is>
          <t>تابستان</t>
        </is>
      </c>
      <c r="I2378" s="128" t="inlineStr">
        <is>
          <t>شنبه</t>
        </is>
      </c>
      <c r="J2378" s="128" t="inlineStr">
        <is>
          <t>خیر</t>
        </is>
      </c>
    </row>
    <row r="2379">
      <c r="A2379" s="176" t="n">
        <v>47300</v>
      </c>
      <c r="B2379" s="177" t="n">
        <v>47300</v>
      </c>
      <c r="C2379" s="177" t="n">
        <v>1408</v>
      </c>
      <c r="D2379" s="177" t="n">
        <v>4</v>
      </c>
      <c r="E2379" s="178" t="inlineStr">
        <is>
          <t>1408/04/11</t>
        </is>
      </c>
      <c r="F2379" s="134" t="inlineStr">
        <is>
          <t>1408/04</t>
        </is>
      </c>
      <c r="G2379" s="61" t="inlineStr">
        <is>
          <t>تیر</t>
        </is>
      </c>
      <c r="H2379" s="134" t="inlineStr">
        <is>
          <t>تابستان</t>
        </is>
      </c>
      <c r="I2379" s="134" t="inlineStr">
        <is>
          <t>یکشنبه</t>
        </is>
      </c>
      <c r="J2379" s="134" t="inlineStr">
        <is>
          <t>خیر</t>
        </is>
      </c>
    </row>
    <row r="2380">
      <c r="A2380" s="173" t="n">
        <v>47301</v>
      </c>
      <c r="B2380" s="174" t="n">
        <v>47301</v>
      </c>
      <c r="C2380" s="174" t="n">
        <v>1408</v>
      </c>
      <c r="D2380" s="174" t="n">
        <v>4</v>
      </c>
      <c r="E2380" s="175" t="inlineStr">
        <is>
          <t>1408/04/12</t>
        </is>
      </c>
      <c r="F2380" s="128" t="inlineStr">
        <is>
          <t>1408/04</t>
        </is>
      </c>
      <c r="G2380" s="58" t="inlineStr">
        <is>
          <t>تیر</t>
        </is>
      </c>
      <c r="H2380" s="128" t="inlineStr">
        <is>
          <t>تابستان</t>
        </is>
      </c>
      <c r="I2380" s="128" t="inlineStr">
        <is>
          <t>دوشنبه</t>
        </is>
      </c>
      <c r="J2380" s="128" t="inlineStr">
        <is>
          <t>بله</t>
        </is>
      </c>
    </row>
    <row r="2381">
      <c r="A2381" s="176" t="n">
        <v>47302</v>
      </c>
      <c r="B2381" s="177" t="n">
        <v>47302</v>
      </c>
      <c r="C2381" s="177" t="n">
        <v>1408</v>
      </c>
      <c r="D2381" s="177" t="n">
        <v>4</v>
      </c>
      <c r="E2381" s="178" t="inlineStr">
        <is>
          <t>1408/04/13</t>
        </is>
      </c>
      <c r="F2381" s="134" t="inlineStr">
        <is>
          <t>1408/04</t>
        </is>
      </c>
      <c r="G2381" s="61" t="inlineStr">
        <is>
          <t>تیر</t>
        </is>
      </c>
      <c r="H2381" s="134" t="inlineStr">
        <is>
          <t>تابستان</t>
        </is>
      </c>
      <c r="I2381" s="134" t="inlineStr">
        <is>
          <t>سه‌شنبه</t>
        </is>
      </c>
      <c r="J2381" s="134" t="inlineStr">
        <is>
          <t>بله</t>
        </is>
      </c>
    </row>
    <row r="2382">
      <c r="A2382" s="173" t="n">
        <v>47303</v>
      </c>
      <c r="B2382" s="174" t="n">
        <v>47303</v>
      </c>
      <c r="C2382" s="174" t="n">
        <v>1408</v>
      </c>
      <c r="D2382" s="174" t="n">
        <v>4</v>
      </c>
      <c r="E2382" s="175" t="inlineStr">
        <is>
          <t>1408/04/14</t>
        </is>
      </c>
      <c r="F2382" s="128" t="inlineStr">
        <is>
          <t>1408/04</t>
        </is>
      </c>
      <c r="G2382" s="58" t="inlineStr">
        <is>
          <t>تیر</t>
        </is>
      </c>
      <c r="H2382" s="128" t="inlineStr">
        <is>
          <t>تابستان</t>
        </is>
      </c>
      <c r="I2382" s="128" t="inlineStr">
        <is>
          <t>چهارشنبه</t>
        </is>
      </c>
      <c r="J2382" s="128" t="inlineStr">
        <is>
          <t>بله</t>
        </is>
      </c>
    </row>
    <row r="2383">
      <c r="A2383" s="176" t="n">
        <v>47304</v>
      </c>
      <c r="B2383" s="177" t="n">
        <v>47304</v>
      </c>
      <c r="C2383" s="177" t="n">
        <v>1408</v>
      </c>
      <c r="D2383" s="177" t="n">
        <v>4</v>
      </c>
      <c r="E2383" s="178" t="inlineStr">
        <is>
          <t>1408/04/15</t>
        </is>
      </c>
      <c r="F2383" s="134" t="inlineStr">
        <is>
          <t>1408/04</t>
        </is>
      </c>
      <c r="G2383" s="61" t="inlineStr">
        <is>
          <t>تیر</t>
        </is>
      </c>
      <c r="H2383" s="134" t="inlineStr">
        <is>
          <t>تابستان</t>
        </is>
      </c>
      <c r="I2383" s="134" t="inlineStr">
        <is>
          <t>پنجشنبه</t>
        </is>
      </c>
      <c r="J2383" s="134" t="inlineStr">
        <is>
          <t>بله</t>
        </is>
      </c>
    </row>
    <row r="2384">
      <c r="A2384" s="173" t="n">
        <v>47305</v>
      </c>
      <c r="B2384" s="174" t="n">
        <v>47305</v>
      </c>
      <c r="C2384" s="174" t="n">
        <v>1408</v>
      </c>
      <c r="D2384" s="174" t="n">
        <v>4</v>
      </c>
      <c r="E2384" s="175" t="inlineStr">
        <is>
          <t>1408/04/16</t>
        </is>
      </c>
      <c r="F2384" s="128" t="inlineStr">
        <is>
          <t>1408/04</t>
        </is>
      </c>
      <c r="G2384" s="58" t="inlineStr">
        <is>
          <t>تیر</t>
        </is>
      </c>
      <c r="H2384" s="128" t="inlineStr">
        <is>
          <t>تابستان</t>
        </is>
      </c>
      <c r="I2384" s="128" t="inlineStr">
        <is>
          <t>جمعه</t>
        </is>
      </c>
      <c r="J2384" s="128" t="inlineStr">
        <is>
          <t>بله</t>
        </is>
      </c>
    </row>
    <row r="2385">
      <c r="A2385" s="176" t="n">
        <v>47306</v>
      </c>
      <c r="B2385" s="177" t="n">
        <v>47306</v>
      </c>
      <c r="C2385" s="177" t="n">
        <v>1408</v>
      </c>
      <c r="D2385" s="177" t="n">
        <v>4</v>
      </c>
      <c r="E2385" s="178" t="inlineStr">
        <is>
          <t>1408/04/17</t>
        </is>
      </c>
      <c r="F2385" s="134" t="inlineStr">
        <is>
          <t>1408/04</t>
        </is>
      </c>
      <c r="G2385" s="61" t="inlineStr">
        <is>
          <t>تیر</t>
        </is>
      </c>
      <c r="H2385" s="134" t="inlineStr">
        <is>
          <t>تابستان</t>
        </is>
      </c>
      <c r="I2385" s="134" t="inlineStr">
        <is>
          <t>شنبه</t>
        </is>
      </c>
      <c r="J2385" s="134" t="inlineStr">
        <is>
          <t>خیر</t>
        </is>
      </c>
    </row>
    <row r="2386">
      <c r="A2386" s="173" t="n">
        <v>47307</v>
      </c>
      <c r="B2386" s="174" t="n">
        <v>47307</v>
      </c>
      <c r="C2386" s="174" t="n">
        <v>1408</v>
      </c>
      <c r="D2386" s="174" t="n">
        <v>4</v>
      </c>
      <c r="E2386" s="175" t="inlineStr">
        <is>
          <t>1408/04/18</t>
        </is>
      </c>
      <c r="F2386" s="128" t="inlineStr">
        <is>
          <t>1408/04</t>
        </is>
      </c>
      <c r="G2386" s="58" t="inlineStr">
        <is>
          <t>تیر</t>
        </is>
      </c>
      <c r="H2386" s="128" t="inlineStr">
        <is>
          <t>تابستان</t>
        </is>
      </c>
      <c r="I2386" s="128" t="inlineStr">
        <is>
          <t>یکشنبه</t>
        </is>
      </c>
      <c r="J2386" s="128" t="inlineStr">
        <is>
          <t>خیر</t>
        </is>
      </c>
    </row>
    <row r="2387">
      <c r="A2387" s="176" t="n">
        <v>47308</v>
      </c>
      <c r="B2387" s="177" t="n">
        <v>47308</v>
      </c>
      <c r="C2387" s="177" t="n">
        <v>1408</v>
      </c>
      <c r="D2387" s="177" t="n">
        <v>4</v>
      </c>
      <c r="E2387" s="178" t="inlineStr">
        <is>
          <t>1408/04/19</t>
        </is>
      </c>
      <c r="F2387" s="134" t="inlineStr">
        <is>
          <t>1408/04</t>
        </is>
      </c>
      <c r="G2387" s="61" t="inlineStr">
        <is>
          <t>تیر</t>
        </is>
      </c>
      <c r="H2387" s="134" t="inlineStr">
        <is>
          <t>تابستان</t>
        </is>
      </c>
      <c r="I2387" s="134" t="inlineStr">
        <is>
          <t>دوشنبه</t>
        </is>
      </c>
      <c r="J2387" s="134" t="inlineStr">
        <is>
          <t>بله</t>
        </is>
      </c>
    </row>
    <row r="2388">
      <c r="A2388" s="173" t="n">
        <v>47309</v>
      </c>
      <c r="B2388" s="174" t="n">
        <v>47309</v>
      </c>
      <c r="C2388" s="174" t="n">
        <v>1408</v>
      </c>
      <c r="D2388" s="174" t="n">
        <v>4</v>
      </c>
      <c r="E2388" s="175" t="inlineStr">
        <is>
          <t>1408/04/20</t>
        </is>
      </c>
      <c r="F2388" s="128" t="inlineStr">
        <is>
          <t>1408/04</t>
        </is>
      </c>
      <c r="G2388" s="58" t="inlineStr">
        <is>
          <t>تیر</t>
        </is>
      </c>
      <c r="H2388" s="128" t="inlineStr">
        <is>
          <t>تابستان</t>
        </is>
      </c>
      <c r="I2388" s="128" t="inlineStr">
        <is>
          <t>سه‌شنبه</t>
        </is>
      </c>
      <c r="J2388" s="128" t="inlineStr">
        <is>
          <t>بله</t>
        </is>
      </c>
    </row>
    <row r="2389">
      <c r="A2389" s="176" t="n">
        <v>47310</v>
      </c>
      <c r="B2389" s="177" t="n">
        <v>47310</v>
      </c>
      <c r="C2389" s="177" t="n">
        <v>1408</v>
      </c>
      <c r="D2389" s="177" t="n">
        <v>4</v>
      </c>
      <c r="E2389" s="178" t="inlineStr">
        <is>
          <t>1408/04/21</t>
        </is>
      </c>
      <c r="F2389" s="134" t="inlineStr">
        <is>
          <t>1408/04</t>
        </is>
      </c>
      <c r="G2389" s="61" t="inlineStr">
        <is>
          <t>تیر</t>
        </is>
      </c>
      <c r="H2389" s="134" t="inlineStr">
        <is>
          <t>تابستان</t>
        </is>
      </c>
      <c r="I2389" s="134" t="inlineStr">
        <is>
          <t>چهارشنبه</t>
        </is>
      </c>
      <c r="J2389" s="134" t="inlineStr">
        <is>
          <t>بله</t>
        </is>
      </c>
    </row>
    <row r="2390">
      <c r="A2390" s="173" t="n">
        <v>47311</v>
      </c>
      <c r="B2390" s="174" t="n">
        <v>47311</v>
      </c>
      <c r="C2390" s="174" t="n">
        <v>1408</v>
      </c>
      <c r="D2390" s="174" t="n">
        <v>4</v>
      </c>
      <c r="E2390" s="175" t="inlineStr">
        <is>
          <t>1408/04/22</t>
        </is>
      </c>
      <c r="F2390" s="128" t="inlineStr">
        <is>
          <t>1408/04</t>
        </is>
      </c>
      <c r="G2390" s="58" t="inlineStr">
        <is>
          <t>تیر</t>
        </is>
      </c>
      <c r="H2390" s="128" t="inlineStr">
        <is>
          <t>تابستان</t>
        </is>
      </c>
      <c r="I2390" s="128" t="inlineStr">
        <is>
          <t>پنجشنبه</t>
        </is>
      </c>
      <c r="J2390" s="128" t="inlineStr">
        <is>
          <t>بله</t>
        </is>
      </c>
    </row>
    <row r="2391">
      <c r="A2391" s="176" t="n">
        <v>47312</v>
      </c>
      <c r="B2391" s="177" t="n">
        <v>47312</v>
      </c>
      <c r="C2391" s="177" t="n">
        <v>1408</v>
      </c>
      <c r="D2391" s="177" t="n">
        <v>4</v>
      </c>
      <c r="E2391" s="178" t="inlineStr">
        <is>
          <t>1408/04/23</t>
        </is>
      </c>
      <c r="F2391" s="134" t="inlineStr">
        <is>
          <t>1408/04</t>
        </is>
      </c>
      <c r="G2391" s="61" t="inlineStr">
        <is>
          <t>تیر</t>
        </is>
      </c>
      <c r="H2391" s="134" t="inlineStr">
        <is>
          <t>تابستان</t>
        </is>
      </c>
      <c r="I2391" s="134" t="inlineStr">
        <is>
          <t>جمعه</t>
        </is>
      </c>
      <c r="J2391" s="134" t="inlineStr">
        <is>
          <t>بله</t>
        </is>
      </c>
    </row>
    <row r="2392">
      <c r="A2392" s="173" t="n">
        <v>47313</v>
      </c>
      <c r="B2392" s="174" t="n">
        <v>47313</v>
      </c>
      <c r="C2392" s="174" t="n">
        <v>1408</v>
      </c>
      <c r="D2392" s="174" t="n">
        <v>4</v>
      </c>
      <c r="E2392" s="175" t="inlineStr">
        <is>
          <t>1408/04/24</t>
        </is>
      </c>
      <c r="F2392" s="128" t="inlineStr">
        <is>
          <t>1408/04</t>
        </is>
      </c>
      <c r="G2392" s="58" t="inlineStr">
        <is>
          <t>تیر</t>
        </is>
      </c>
      <c r="H2392" s="128" t="inlineStr">
        <is>
          <t>تابستان</t>
        </is>
      </c>
      <c r="I2392" s="128" t="inlineStr">
        <is>
          <t>شنبه</t>
        </is>
      </c>
      <c r="J2392" s="128" t="inlineStr">
        <is>
          <t>خیر</t>
        </is>
      </c>
    </row>
    <row r="2393">
      <c r="A2393" s="176" t="n">
        <v>47314</v>
      </c>
      <c r="B2393" s="177" t="n">
        <v>47314</v>
      </c>
      <c r="C2393" s="177" t="n">
        <v>1408</v>
      </c>
      <c r="D2393" s="177" t="n">
        <v>4</v>
      </c>
      <c r="E2393" s="178" t="inlineStr">
        <is>
          <t>1408/04/25</t>
        </is>
      </c>
      <c r="F2393" s="134" t="inlineStr">
        <is>
          <t>1408/04</t>
        </is>
      </c>
      <c r="G2393" s="61" t="inlineStr">
        <is>
          <t>تیر</t>
        </is>
      </c>
      <c r="H2393" s="134" t="inlineStr">
        <is>
          <t>تابستان</t>
        </is>
      </c>
      <c r="I2393" s="134" t="inlineStr">
        <is>
          <t>یکشنبه</t>
        </is>
      </c>
      <c r="J2393" s="134" t="inlineStr">
        <is>
          <t>خیر</t>
        </is>
      </c>
    </row>
    <row r="2394">
      <c r="A2394" s="173" t="n">
        <v>47315</v>
      </c>
      <c r="B2394" s="174" t="n">
        <v>47315</v>
      </c>
      <c r="C2394" s="174" t="n">
        <v>1408</v>
      </c>
      <c r="D2394" s="174" t="n">
        <v>4</v>
      </c>
      <c r="E2394" s="175" t="inlineStr">
        <is>
          <t>1408/04/26</t>
        </is>
      </c>
      <c r="F2394" s="128" t="inlineStr">
        <is>
          <t>1408/04</t>
        </is>
      </c>
      <c r="G2394" s="58" t="inlineStr">
        <is>
          <t>تیر</t>
        </is>
      </c>
      <c r="H2394" s="128" t="inlineStr">
        <is>
          <t>تابستان</t>
        </is>
      </c>
      <c r="I2394" s="128" t="inlineStr">
        <is>
          <t>دوشنبه</t>
        </is>
      </c>
      <c r="J2394" s="128" t="inlineStr">
        <is>
          <t>بله</t>
        </is>
      </c>
    </row>
    <row r="2395">
      <c r="A2395" s="176" t="n">
        <v>47316</v>
      </c>
      <c r="B2395" s="177" t="n">
        <v>47316</v>
      </c>
      <c r="C2395" s="177" t="n">
        <v>1408</v>
      </c>
      <c r="D2395" s="177" t="n">
        <v>4</v>
      </c>
      <c r="E2395" s="178" t="inlineStr">
        <is>
          <t>1408/04/27</t>
        </is>
      </c>
      <c r="F2395" s="134" t="inlineStr">
        <is>
          <t>1408/04</t>
        </is>
      </c>
      <c r="G2395" s="61" t="inlineStr">
        <is>
          <t>تیر</t>
        </is>
      </c>
      <c r="H2395" s="134" t="inlineStr">
        <is>
          <t>تابستان</t>
        </is>
      </c>
      <c r="I2395" s="134" t="inlineStr">
        <is>
          <t>سه‌شنبه</t>
        </is>
      </c>
      <c r="J2395" s="134" t="inlineStr">
        <is>
          <t>بله</t>
        </is>
      </c>
    </row>
    <row r="2396">
      <c r="A2396" s="173" t="n">
        <v>47317</v>
      </c>
      <c r="B2396" s="174" t="n">
        <v>47317</v>
      </c>
      <c r="C2396" s="174" t="n">
        <v>1408</v>
      </c>
      <c r="D2396" s="174" t="n">
        <v>4</v>
      </c>
      <c r="E2396" s="175" t="inlineStr">
        <is>
          <t>1408/04/28</t>
        </is>
      </c>
      <c r="F2396" s="128" t="inlineStr">
        <is>
          <t>1408/04</t>
        </is>
      </c>
      <c r="G2396" s="58" t="inlineStr">
        <is>
          <t>تیر</t>
        </is>
      </c>
      <c r="H2396" s="128" t="inlineStr">
        <is>
          <t>تابستان</t>
        </is>
      </c>
      <c r="I2396" s="128" t="inlineStr">
        <is>
          <t>چهارشنبه</t>
        </is>
      </c>
      <c r="J2396" s="128" t="inlineStr">
        <is>
          <t>بله</t>
        </is>
      </c>
    </row>
    <row r="2397">
      <c r="A2397" s="176" t="n">
        <v>47318</v>
      </c>
      <c r="B2397" s="177" t="n">
        <v>47318</v>
      </c>
      <c r="C2397" s="177" t="n">
        <v>1408</v>
      </c>
      <c r="D2397" s="177" t="n">
        <v>4</v>
      </c>
      <c r="E2397" s="178" t="inlineStr">
        <is>
          <t>1408/04/29</t>
        </is>
      </c>
      <c r="F2397" s="134" t="inlineStr">
        <is>
          <t>1408/04</t>
        </is>
      </c>
      <c r="G2397" s="61" t="inlineStr">
        <is>
          <t>تیر</t>
        </is>
      </c>
      <c r="H2397" s="134" t="inlineStr">
        <is>
          <t>تابستان</t>
        </is>
      </c>
      <c r="I2397" s="134" t="inlineStr">
        <is>
          <t>پنجشنبه</t>
        </is>
      </c>
      <c r="J2397" s="134" t="inlineStr">
        <is>
          <t>بله</t>
        </is>
      </c>
    </row>
    <row r="2398">
      <c r="A2398" s="173" t="n">
        <v>47319</v>
      </c>
      <c r="B2398" s="174" t="n">
        <v>47319</v>
      </c>
      <c r="C2398" s="174" t="n">
        <v>1408</v>
      </c>
      <c r="D2398" s="174" t="n">
        <v>4</v>
      </c>
      <c r="E2398" s="175" t="inlineStr">
        <is>
          <t>1408/04/30</t>
        </is>
      </c>
      <c r="F2398" s="128" t="inlineStr">
        <is>
          <t>1408/04</t>
        </is>
      </c>
      <c r="G2398" s="58" t="inlineStr">
        <is>
          <t>تیر</t>
        </is>
      </c>
      <c r="H2398" s="128" t="inlineStr">
        <is>
          <t>تابستان</t>
        </is>
      </c>
      <c r="I2398" s="128" t="inlineStr">
        <is>
          <t>جمعه</t>
        </is>
      </c>
      <c r="J2398" s="128" t="inlineStr">
        <is>
          <t>بله</t>
        </is>
      </c>
    </row>
    <row r="2399">
      <c r="A2399" s="176" t="n">
        <v>47320</v>
      </c>
      <c r="B2399" s="177" t="n">
        <v>47320</v>
      </c>
      <c r="C2399" s="177" t="n">
        <v>1408</v>
      </c>
      <c r="D2399" s="177" t="n">
        <v>4</v>
      </c>
      <c r="E2399" s="178" t="inlineStr">
        <is>
          <t>1408/04/31</t>
        </is>
      </c>
      <c r="F2399" s="134" t="inlineStr">
        <is>
          <t>1408/04</t>
        </is>
      </c>
      <c r="G2399" s="61" t="inlineStr">
        <is>
          <t>تیر</t>
        </is>
      </c>
      <c r="H2399" s="134" t="inlineStr">
        <is>
          <t>تابستان</t>
        </is>
      </c>
      <c r="I2399" s="134" t="inlineStr">
        <is>
          <t>شنبه</t>
        </is>
      </c>
      <c r="J2399" s="134" t="inlineStr">
        <is>
          <t>خیر</t>
        </is>
      </c>
    </row>
    <row r="2400">
      <c r="A2400" s="173" t="n">
        <v>47321</v>
      </c>
      <c r="B2400" s="174" t="n">
        <v>47321</v>
      </c>
      <c r="C2400" s="174" t="n">
        <v>1408</v>
      </c>
      <c r="D2400" s="174" t="n">
        <v>5</v>
      </c>
      <c r="E2400" s="175" t="inlineStr">
        <is>
          <t>1408/05/01</t>
        </is>
      </c>
      <c r="F2400" s="128" t="inlineStr">
        <is>
          <t>1408/05</t>
        </is>
      </c>
      <c r="G2400" s="58" t="inlineStr">
        <is>
          <t>مرداد</t>
        </is>
      </c>
      <c r="H2400" s="128" t="inlineStr">
        <is>
          <t>تابستان</t>
        </is>
      </c>
      <c r="I2400" s="128" t="inlineStr">
        <is>
          <t>یکشنبه</t>
        </is>
      </c>
      <c r="J2400" s="128" t="inlineStr">
        <is>
          <t>خیر</t>
        </is>
      </c>
    </row>
    <row r="2401">
      <c r="A2401" s="176" t="n">
        <v>47322</v>
      </c>
      <c r="B2401" s="177" t="n">
        <v>47322</v>
      </c>
      <c r="C2401" s="177" t="n">
        <v>1408</v>
      </c>
      <c r="D2401" s="177" t="n">
        <v>5</v>
      </c>
      <c r="E2401" s="178" t="inlineStr">
        <is>
          <t>1408/05/02</t>
        </is>
      </c>
      <c r="F2401" s="134" t="inlineStr">
        <is>
          <t>1408/05</t>
        </is>
      </c>
      <c r="G2401" s="61" t="inlineStr">
        <is>
          <t>مرداد</t>
        </is>
      </c>
      <c r="H2401" s="134" t="inlineStr">
        <is>
          <t>تابستان</t>
        </is>
      </c>
      <c r="I2401" s="134" t="inlineStr">
        <is>
          <t>دوشنبه</t>
        </is>
      </c>
      <c r="J2401" s="134" t="inlineStr">
        <is>
          <t>بله</t>
        </is>
      </c>
    </row>
    <row r="2402">
      <c r="A2402" s="173" t="n">
        <v>47323</v>
      </c>
      <c r="B2402" s="174" t="n">
        <v>47323</v>
      </c>
      <c r="C2402" s="174" t="n">
        <v>1408</v>
      </c>
      <c r="D2402" s="174" t="n">
        <v>5</v>
      </c>
      <c r="E2402" s="175" t="inlineStr">
        <is>
          <t>1408/05/03</t>
        </is>
      </c>
      <c r="F2402" s="128" t="inlineStr">
        <is>
          <t>1408/05</t>
        </is>
      </c>
      <c r="G2402" s="58" t="inlineStr">
        <is>
          <t>مرداد</t>
        </is>
      </c>
      <c r="H2402" s="128" t="inlineStr">
        <is>
          <t>تابستان</t>
        </is>
      </c>
      <c r="I2402" s="128" t="inlineStr">
        <is>
          <t>سه‌شنبه</t>
        </is>
      </c>
      <c r="J2402" s="128" t="inlineStr">
        <is>
          <t>بله</t>
        </is>
      </c>
    </row>
    <row r="2403">
      <c r="A2403" s="176" t="n">
        <v>47324</v>
      </c>
      <c r="B2403" s="177" t="n">
        <v>47324</v>
      </c>
      <c r="C2403" s="177" t="n">
        <v>1408</v>
      </c>
      <c r="D2403" s="177" t="n">
        <v>5</v>
      </c>
      <c r="E2403" s="178" t="inlineStr">
        <is>
          <t>1408/05/04</t>
        </is>
      </c>
      <c r="F2403" s="134" t="inlineStr">
        <is>
          <t>1408/05</t>
        </is>
      </c>
      <c r="G2403" s="61" t="inlineStr">
        <is>
          <t>مرداد</t>
        </is>
      </c>
      <c r="H2403" s="134" t="inlineStr">
        <is>
          <t>تابستان</t>
        </is>
      </c>
      <c r="I2403" s="134" t="inlineStr">
        <is>
          <t>چهارشنبه</t>
        </is>
      </c>
      <c r="J2403" s="134" t="inlineStr">
        <is>
          <t>بله</t>
        </is>
      </c>
    </row>
    <row r="2404">
      <c r="A2404" s="173" t="n">
        <v>47325</v>
      </c>
      <c r="B2404" s="174" t="n">
        <v>47325</v>
      </c>
      <c r="C2404" s="174" t="n">
        <v>1408</v>
      </c>
      <c r="D2404" s="174" t="n">
        <v>5</v>
      </c>
      <c r="E2404" s="175" t="inlineStr">
        <is>
          <t>1408/05/05</t>
        </is>
      </c>
      <c r="F2404" s="128" t="inlineStr">
        <is>
          <t>1408/05</t>
        </is>
      </c>
      <c r="G2404" s="58" t="inlineStr">
        <is>
          <t>مرداد</t>
        </is>
      </c>
      <c r="H2404" s="128" t="inlineStr">
        <is>
          <t>تابستان</t>
        </is>
      </c>
      <c r="I2404" s="128" t="inlineStr">
        <is>
          <t>پنجشنبه</t>
        </is>
      </c>
      <c r="J2404" s="128" t="inlineStr">
        <is>
          <t>بله</t>
        </is>
      </c>
    </row>
    <row r="2405">
      <c r="A2405" s="176" t="n">
        <v>47326</v>
      </c>
      <c r="B2405" s="177" t="n">
        <v>47326</v>
      </c>
      <c r="C2405" s="177" t="n">
        <v>1408</v>
      </c>
      <c r="D2405" s="177" t="n">
        <v>5</v>
      </c>
      <c r="E2405" s="178" t="inlineStr">
        <is>
          <t>1408/05/06</t>
        </is>
      </c>
      <c r="F2405" s="134" t="inlineStr">
        <is>
          <t>1408/05</t>
        </is>
      </c>
      <c r="G2405" s="61" t="inlineStr">
        <is>
          <t>مرداد</t>
        </is>
      </c>
      <c r="H2405" s="134" t="inlineStr">
        <is>
          <t>تابستان</t>
        </is>
      </c>
      <c r="I2405" s="134" t="inlineStr">
        <is>
          <t>جمعه</t>
        </is>
      </c>
      <c r="J2405" s="134" t="inlineStr">
        <is>
          <t>بله</t>
        </is>
      </c>
    </row>
    <row r="2406">
      <c r="A2406" s="173" t="n">
        <v>47327</v>
      </c>
      <c r="B2406" s="174" t="n">
        <v>47327</v>
      </c>
      <c r="C2406" s="174" t="n">
        <v>1408</v>
      </c>
      <c r="D2406" s="174" t="n">
        <v>5</v>
      </c>
      <c r="E2406" s="175" t="inlineStr">
        <is>
          <t>1408/05/07</t>
        </is>
      </c>
      <c r="F2406" s="128" t="inlineStr">
        <is>
          <t>1408/05</t>
        </is>
      </c>
      <c r="G2406" s="58" t="inlineStr">
        <is>
          <t>مرداد</t>
        </is>
      </c>
      <c r="H2406" s="128" t="inlineStr">
        <is>
          <t>تابستان</t>
        </is>
      </c>
      <c r="I2406" s="128" t="inlineStr">
        <is>
          <t>شنبه</t>
        </is>
      </c>
      <c r="J2406" s="128" t="inlineStr">
        <is>
          <t>خیر</t>
        </is>
      </c>
    </row>
    <row r="2407">
      <c r="A2407" s="176" t="n">
        <v>47328</v>
      </c>
      <c r="B2407" s="177" t="n">
        <v>47328</v>
      </c>
      <c r="C2407" s="177" t="n">
        <v>1408</v>
      </c>
      <c r="D2407" s="177" t="n">
        <v>5</v>
      </c>
      <c r="E2407" s="178" t="inlineStr">
        <is>
          <t>1408/05/08</t>
        </is>
      </c>
      <c r="F2407" s="134" t="inlineStr">
        <is>
          <t>1408/05</t>
        </is>
      </c>
      <c r="G2407" s="61" t="inlineStr">
        <is>
          <t>مرداد</t>
        </is>
      </c>
      <c r="H2407" s="134" t="inlineStr">
        <is>
          <t>تابستان</t>
        </is>
      </c>
      <c r="I2407" s="134" t="inlineStr">
        <is>
          <t>یکشنبه</t>
        </is>
      </c>
      <c r="J2407" s="134" t="inlineStr">
        <is>
          <t>خیر</t>
        </is>
      </c>
    </row>
    <row r="2408">
      <c r="A2408" s="173" t="n">
        <v>47329</v>
      </c>
      <c r="B2408" s="174" t="n">
        <v>47329</v>
      </c>
      <c r="C2408" s="174" t="n">
        <v>1408</v>
      </c>
      <c r="D2408" s="174" t="n">
        <v>5</v>
      </c>
      <c r="E2408" s="175" t="inlineStr">
        <is>
          <t>1408/05/09</t>
        </is>
      </c>
      <c r="F2408" s="128" t="inlineStr">
        <is>
          <t>1408/05</t>
        </is>
      </c>
      <c r="G2408" s="58" t="inlineStr">
        <is>
          <t>مرداد</t>
        </is>
      </c>
      <c r="H2408" s="128" t="inlineStr">
        <is>
          <t>تابستان</t>
        </is>
      </c>
      <c r="I2408" s="128" t="inlineStr">
        <is>
          <t>دوشنبه</t>
        </is>
      </c>
      <c r="J2408" s="128" t="inlineStr">
        <is>
          <t>بله</t>
        </is>
      </c>
    </row>
    <row r="2409">
      <c r="A2409" s="176" t="n">
        <v>47330</v>
      </c>
      <c r="B2409" s="177" t="n">
        <v>47330</v>
      </c>
      <c r="C2409" s="177" t="n">
        <v>1408</v>
      </c>
      <c r="D2409" s="177" t="n">
        <v>5</v>
      </c>
      <c r="E2409" s="178" t="inlineStr">
        <is>
          <t>1408/05/10</t>
        </is>
      </c>
      <c r="F2409" s="134" t="inlineStr">
        <is>
          <t>1408/05</t>
        </is>
      </c>
      <c r="G2409" s="61" t="inlineStr">
        <is>
          <t>مرداد</t>
        </is>
      </c>
      <c r="H2409" s="134" t="inlineStr">
        <is>
          <t>تابستان</t>
        </is>
      </c>
      <c r="I2409" s="134" t="inlineStr">
        <is>
          <t>سه‌شنبه</t>
        </is>
      </c>
      <c r="J2409" s="134" t="inlineStr">
        <is>
          <t>بله</t>
        </is>
      </c>
    </row>
    <row r="2410">
      <c r="A2410" s="173" t="n">
        <v>47331</v>
      </c>
      <c r="B2410" s="174" t="n">
        <v>47331</v>
      </c>
      <c r="C2410" s="174" t="n">
        <v>1408</v>
      </c>
      <c r="D2410" s="174" t="n">
        <v>5</v>
      </c>
      <c r="E2410" s="175" t="inlineStr">
        <is>
          <t>1408/05/11</t>
        </is>
      </c>
      <c r="F2410" s="128" t="inlineStr">
        <is>
          <t>1408/05</t>
        </is>
      </c>
      <c r="G2410" s="58" t="inlineStr">
        <is>
          <t>مرداد</t>
        </is>
      </c>
      <c r="H2410" s="128" t="inlineStr">
        <is>
          <t>تابستان</t>
        </is>
      </c>
      <c r="I2410" s="128" t="inlineStr">
        <is>
          <t>چهارشنبه</t>
        </is>
      </c>
      <c r="J2410" s="128" t="inlineStr">
        <is>
          <t>بله</t>
        </is>
      </c>
    </row>
    <row r="2411">
      <c r="A2411" s="176" t="n">
        <v>47332</v>
      </c>
      <c r="B2411" s="177" t="n">
        <v>47332</v>
      </c>
      <c r="C2411" s="177" t="n">
        <v>1408</v>
      </c>
      <c r="D2411" s="177" t="n">
        <v>5</v>
      </c>
      <c r="E2411" s="178" t="inlineStr">
        <is>
          <t>1408/05/12</t>
        </is>
      </c>
      <c r="F2411" s="134" t="inlineStr">
        <is>
          <t>1408/05</t>
        </is>
      </c>
      <c r="G2411" s="61" t="inlineStr">
        <is>
          <t>مرداد</t>
        </is>
      </c>
      <c r="H2411" s="134" t="inlineStr">
        <is>
          <t>تابستان</t>
        </is>
      </c>
      <c r="I2411" s="134" t="inlineStr">
        <is>
          <t>پنجشنبه</t>
        </is>
      </c>
      <c r="J2411" s="134" t="inlineStr">
        <is>
          <t>بله</t>
        </is>
      </c>
    </row>
    <row r="2412">
      <c r="A2412" s="173" t="n">
        <v>47333</v>
      </c>
      <c r="B2412" s="174" t="n">
        <v>47333</v>
      </c>
      <c r="C2412" s="174" t="n">
        <v>1408</v>
      </c>
      <c r="D2412" s="174" t="n">
        <v>5</v>
      </c>
      <c r="E2412" s="175" t="inlineStr">
        <is>
          <t>1408/05/13</t>
        </is>
      </c>
      <c r="F2412" s="128" t="inlineStr">
        <is>
          <t>1408/05</t>
        </is>
      </c>
      <c r="G2412" s="58" t="inlineStr">
        <is>
          <t>مرداد</t>
        </is>
      </c>
      <c r="H2412" s="128" t="inlineStr">
        <is>
          <t>تابستان</t>
        </is>
      </c>
      <c r="I2412" s="128" t="inlineStr">
        <is>
          <t>جمعه</t>
        </is>
      </c>
      <c r="J2412" s="128" t="inlineStr">
        <is>
          <t>بله</t>
        </is>
      </c>
    </row>
    <row r="2413">
      <c r="A2413" s="176" t="n">
        <v>47334</v>
      </c>
      <c r="B2413" s="177" t="n">
        <v>47334</v>
      </c>
      <c r="C2413" s="177" t="n">
        <v>1408</v>
      </c>
      <c r="D2413" s="177" t="n">
        <v>5</v>
      </c>
      <c r="E2413" s="178" t="inlineStr">
        <is>
          <t>1408/05/14</t>
        </is>
      </c>
      <c r="F2413" s="134" t="inlineStr">
        <is>
          <t>1408/05</t>
        </is>
      </c>
      <c r="G2413" s="61" t="inlineStr">
        <is>
          <t>مرداد</t>
        </is>
      </c>
      <c r="H2413" s="134" t="inlineStr">
        <is>
          <t>تابستان</t>
        </is>
      </c>
      <c r="I2413" s="134" t="inlineStr">
        <is>
          <t>شنبه</t>
        </is>
      </c>
      <c r="J2413" s="134" t="inlineStr">
        <is>
          <t>خیر</t>
        </is>
      </c>
    </row>
    <row r="2414">
      <c r="A2414" s="173" t="n">
        <v>47335</v>
      </c>
      <c r="B2414" s="174" t="n">
        <v>47335</v>
      </c>
      <c r="C2414" s="174" t="n">
        <v>1408</v>
      </c>
      <c r="D2414" s="174" t="n">
        <v>5</v>
      </c>
      <c r="E2414" s="175" t="inlineStr">
        <is>
          <t>1408/05/15</t>
        </is>
      </c>
      <c r="F2414" s="128" t="inlineStr">
        <is>
          <t>1408/05</t>
        </is>
      </c>
      <c r="G2414" s="58" t="inlineStr">
        <is>
          <t>مرداد</t>
        </is>
      </c>
      <c r="H2414" s="128" t="inlineStr">
        <is>
          <t>تابستان</t>
        </is>
      </c>
      <c r="I2414" s="128" t="inlineStr">
        <is>
          <t>یکشنبه</t>
        </is>
      </c>
      <c r="J2414" s="128" t="inlineStr">
        <is>
          <t>خیر</t>
        </is>
      </c>
    </row>
    <row r="2415">
      <c r="A2415" s="176" t="n">
        <v>47336</v>
      </c>
      <c r="B2415" s="177" t="n">
        <v>47336</v>
      </c>
      <c r="C2415" s="177" t="n">
        <v>1408</v>
      </c>
      <c r="D2415" s="177" t="n">
        <v>5</v>
      </c>
      <c r="E2415" s="178" t="inlineStr">
        <is>
          <t>1408/05/16</t>
        </is>
      </c>
      <c r="F2415" s="134" t="inlineStr">
        <is>
          <t>1408/05</t>
        </is>
      </c>
      <c r="G2415" s="61" t="inlineStr">
        <is>
          <t>مرداد</t>
        </is>
      </c>
      <c r="H2415" s="134" t="inlineStr">
        <is>
          <t>تابستان</t>
        </is>
      </c>
      <c r="I2415" s="134" t="inlineStr">
        <is>
          <t>دوشنبه</t>
        </is>
      </c>
      <c r="J2415" s="134" t="inlineStr">
        <is>
          <t>بله</t>
        </is>
      </c>
    </row>
    <row r="2416">
      <c r="A2416" s="173" t="n">
        <v>47337</v>
      </c>
      <c r="B2416" s="174" t="n">
        <v>47337</v>
      </c>
      <c r="C2416" s="174" t="n">
        <v>1408</v>
      </c>
      <c r="D2416" s="174" t="n">
        <v>5</v>
      </c>
      <c r="E2416" s="175" t="inlineStr">
        <is>
          <t>1408/05/17</t>
        </is>
      </c>
      <c r="F2416" s="128" t="inlineStr">
        <is>
          <t>1408/05</t>
        </is>
      </c>
      <c r="G2416" s="58" t="inlineStr">
        <is>
          <t>مرداد</t>
        </is>
      </c>
      <c r="H2416" s="128" t="inlineStr">
        <is>
          <t>تابستان</t>
        </is>
      </c>
      <c r="I2416" s="128" t="inlineStr">
        <is>
          <t>سه‌شنبه</t>
        </is>
      </c>
      <c r="J2416" s="128" t="inlineStr">
        <is>
          <t>بله</t>
        </is>
      </c>
    </row>
    <row r="2417">
      <c r="A2417" s="176" t="n">
        <v>47338</v>
      </c>
      <c r="B2417" s="177" t="n">
        <v>47338</v>
      </c>
      <c r="C2417" s="177" t="n">
        <v>1408</v>
      </c>
      <c r="D2417" s="177" t="n">
        <v>5</v>
      </c>
      <c r="E2417" s="178" t="inlineStr">
        <is>
          <t>1408/05/18</t>
        </is>
      </c>
      <c r="F2417" s="134" t="inlineStr">
        <is>
          <t>1408/05</t>
        </is>
      </c>
      <c r="G2417" s="61" t="inlineStr">
        <is>
          <t>مرداد</t>
        </is>
      </c>
      <c r="H2417" s="134" t="inlineStr">
        <is>
          <t>تابستان</t>
        </is>
      </c>
      <c r="I2417" s="134" t="inlineStr">
        <is>
          <t>چهارشنبه</t>
        </is>
      </c>
      <c r="J2417" s="134" t="inlineStr">
        <is>
          <t>بله</t>
        </is>
      </c>
    </row>
    <row r="2418">
      <c r="A2418" s="173" t="n">
        <v>47339</v>
      </c>
      <c r="B2418" s="174" t="n">
        <v>47339</v>
      </c>
      <c r="C2418" s="174" t="n">
        <v>1408</v>
      </c>
      <c r="D2418" s="174" t="n">
        <v>5</v>
      </c>
      <c r="E2418" s="175" t="inlineStr">
        <is>
          <t>1408/05/19</t>
        </is>
      </c>
      <c r="F2418" s="128" t="inlineStr">
        <is>
          <t>1408/05</t>
        </is>
      </c>
      <c r="G2418" s="58" t="inlineStr">
        <is>
          <t>مرداد</t>
        </is>
      </c>
      <c r="H2418" s="128" t="inlineStr">
        <is>
          <t>تابستان</t>
        </is>
      </c>
      <c r="I2418" s="128" t="inlineStr">
        <is>
          <t>پنجشنبه</t>
        </is>
      </c>
      <c r="J2418" s="128" t="inlineStr">
        <is>
          <t>بله</t>
        </is>
      </c>
    </row>
    <row r="2419">
      <c r="A2419" s="176" t="n">
        <v>47340</v>
      </c>
      <c r="B2419" s="177" t="n">
        <v>47340</v>
      </c>
      <c r="C2419" s="177" t="n">
        <v>1408</v>
      </c>
      <c r="D2419" s="177" t="n">
        <v>5</v>
      </c>
      <c r="E2419" s="178" t="inlineStr">
        <is>
          <t>1408/05/20</t>
        </is>
      </c>
      <c r="F2419" s="134" t="inlineStr">
        <is>
          <t>1408/05</t>
        </is>
      </c>
      <c r="G2419" s="61" t="inlineStr">
        <is>
          <t>مرداد</t>
        </is>
      </c>
      <c r="H2419" s="134" t="inlineStr">
        <is>
          <t>تابستان</t>
        </is>
      </c>
      <c r="I2419" s="134" t="inlineStr">
        <is>
          <t>جمعه</t>
        </is>
      </c>
      <c r="J2419" s="134" t="inlineStr">
        <is>
          <t>بله</t>
        </is>
      </c>
    </row>
    <row r="2420">
      <c r="A2420" s="173" t="n">
        <v>47341</v>
      </c>
      <c r="B2420" s="174" t="n">
        <v>47341</v>
      </c>
      <c r="C2420" s="174" t="n">
        <v>1408</v>
      </c>
      <c r="D2420" s="174" t="n">
        <v>5</v>
      </c>
      <c r="E2420" s="175" t="inlineStr">
        <is>
          <t>1408/05/21</t>
        </is>
      </c>
      <c r="F2420" s="128" t="inlineStr">
        <is>
          <t>1408/05</t>
        </is>
      </c>
      <c r="G2420" s="58" t="inlineStr">
        <is>
          <t>مرداد</t>
        </is>
      </c>
      <c r="H2420" s="128" t="inlineStr">
        <is>
          <t>تابستان</t>
        </is>
      </c>
      <c r="I2420" s="128" t="inlineStr">
        <is>
          <t>شنبه</t>
        </is>
      </c>
      <c r="J2420" s="128" t="inlineStr">
        <is>
          <t>خیر</t>
        </is>
      </c>
    </row>
    <row r="2421">
      <c r="A2421" s="176" t="n">
        <v>47342</v>
      </c>
      <c r="B2421" s="177" t="n">
        <v>47342</v>
      </c>
      <c r="C2421" s="177" t="n">
        <v>1408</v>
      </c>
      <c r="D2421" s="177" t="n">
        <v>5</v>
      </c>
      <c r="E2421" s="178" t="inlineStr">
        <is>
          <t>1408/05/22</t>
        </is>
      </c>
      <c r="F2421" s="134" t="inlineStr">
        <is>
          <t>1408/05</t>
        </is>
      </c>
      <c r="G2421" s="61" t="inlineStr">
        <is>
          <t>مرداد</t>
        </is>
      </c>
      <c r="H2421" s="134" t="inlineStr">
        <is>
          <t>تابستان</t>
        </is>
      </c>
      <c r="I2421" s="134" t="inlineStr">
        <is>
          <t>یکشنبه</t>
        </is>
      </c>
      <c r="J2421" s="134" t="inlineStr">
        <is>
          <t>خیر</t>
        </is>
      </c>
    </row>
    <row r="2422">
      <c r="A2422" s="173" t="n">
        <v>47343</v>
      </c>
      <c r="B2422" s="174" t="n">
        <v>47343</v>
      </c>
      <c r="C2422" s="174" t="n">
        <v>1408</v>
      </c>
      <c r="D2422" s="174" t="n">
        <v>5</v>
      </c>
      <c r="E2422" s="175" t="inlineStr">
        <is>
          <t>1408/05/23</t>
        </is>
      </c>
      <c r="F2422" s="128" t="inlineStr">
        <is>
          <t>1408/05</t>
        </is>
      </c>
      <c r="G2422" s="58" t="inlineStr">
        <is>
          <t>مرداد</t>
        </is>
      </c>
      <c r="H2422" s="128" t="inlineStr">
        <is>
          <t>تابستان</t>
        </is>
      </c>
      <c r="I2422" s="128" t="inlineStr">
        <is>
          <t>دوشنبه</t>
        </is>
      </c>
      <c r="J2422" s="128" t="inlineStr">
        <is>
          <t>بله</t>
        </is>
      </c>
    </row>
    <row r="2423">
      <c r="A2423" s="176" t="n">
        <v>47344</v>
      </c>
      <c r="B2423" s="177" t="n">
        <v>47344</v>
      </c>
      <c r="C2423" s="177" t="n">
        <v>1408</v>
      </c>
      <c r="D2423" s="177" t="n">
        <v>5</v>
      </c>
      <c r="E2423" s="178" t="inlineStr">
        <is>
          <t>1408/05/24</t>
        </is>
      </c>
      <c r="F2423" s="134" t="inlineStr">
        <is>
          <t>1408/05</t>
        </is>
      </c>
      <c r="G2423" s="61" t="inlineStr">
        <is>
          <t>مرداد</t>
        </is>
      </c>
      <c r="H2423" s="134" t="inlineStr">
        <is>
          <t>تابستان</t>
        </is>
      </c>
      <c r="I2423" s="134" t="inlineStr">
        <is>
          <t>سه‌شنبه</t>
        </is>
      </c>
      <c r="J2423" s="134" t="inlineStr">
        <is>
          <t>بله</t>
        </is>
      </c>
    </row>
    <row r="2424">
      <c r="A2424" s="173" t="n">
        <v>47345</v>
      </c>
      <c r="B2424" s="174" t="n">
        <v>47345</v>
      </c>
      <c r="C2424" s="174" t="n">
        <v>1408</v>
      </c>
      <c r="D2424" s="174" t="n">
        <v>5</v>
      </c>
      <c r="E2424" s="175" t="inlineStr">
        <is>
          <t>1408/05/25</t>
        </is>
      </c>
      <c r="F2424" s="128" t="inlineStr">
        <is>
          <t>1408/05</t>
        </is>
      </c>
      <c r="G2424" s="58" t="inlineStr">
        <is>
          <t>مرداد</t>
        </is>
      </c>
      <c r="H2424" s="128" t="inlineStr">
        <is>
          <t>تابستان</t>
        </is>
      </c>
      <c r="I2424" s="128" t="inlineStr">
        <is>
          <t>چهارشنبه</t>
        </is>
      </c>
      <c r="J2424" s="128" t="inlineStr">
        <is>
          <t>بله</t>
        </is>
      </c>
    </row>
    <row r="2425">
      <c r="A2425" s="176" t="n">
        <v>47346</v>
      </c>
      <c r="B2425" s="177" t="n">
        <v>47346</v>
      </c>
      <c r="C2425" s="177" t="n">
        <v>1408</v>
      </c>
      <c r="D2425" s="177" t="n">
        <v>5</v>
      </c>
      <c r="E2425" s="178" t="inlineStr">
        <is>
          <t>1408/05/26</t>
        </is>
      </c>
      <c r="F2425" s="134" t="inlineStr">
        <is>
          <t>1408/05</t>
        </is>
      </c>
      <c r="G2425" s="61" t="inlineStr">
        <is>
          <t>مرداد</t>
        </is>
      </c>
      <c r="H2425" s="134" t="inlineStr">
        <is>
          <t>تابستان</t>
        </is>
      </c>
      <c r="I2425" s="134" t="inlineStr">
        <is>
          <t>پنجشنبه</t>
        </is>
      </c>
      <c r="J2425" s="134" t="inlineStr">
        <is>
          <t>بله</t>
        </is>
      </c>
    </row>
    <row r="2426">
      <c r="A2426" s="173" t="n">
        <v>47347</v>
      </c>
      <c r="B2426" s="174" t="n">
        <v>47347</v>
      </c>
      <c r="C2426" s="174" t="n">
        <v>1408</v>
      </c>
      <c r="D2426" s="174" t="n">
        <v>5</v>
      </c>
      <c r="E2426" s="175" t="inlineStr">
        <is>
          <t>1408/05/27</t>
        </is>
      </c>
      <c r="F2426" s="128" t="inlineStr">
        <is>
          <t>1408/05</t>
        </is>
      </c>
      <c r="G2426" s="58" t="inlineStr">
        <is>
          <t>مرداد</t>
        </is>
      </c>
      <c r="H2426" s="128" t="inlineStr">
        <is>
          <t>تابستان</t>
        </is>
      </c>
      <c r="I2426" s="128" t="inlineStr">
        <is>
          <t>جمعه</t>
        </is>
      </c>
      <c r="J2426" s="128" t="inlineStr">
        <is>
          <t>بله</t>
        </is>
      </c>
    </row>
    <row r="2427">
      <c r="A2427" s="176" t="n">
        <v>47348</v>
      </c>
      <c r="B2427" s="177" t="n">
        <v>47348</v>
      </c>
      <c r="C2427" s="177" t="n">
        <v>1408</v>
      </c>
      <c r="D2427" s="177" t="n">
        <v>5</v>
      </c>
      <c r="E2427" s="178" t="inlineStr">
        <is>
          <t>1408/05/28</t>
        </is>
      </c>
      <c r="F2427" s="134" t="inlineStr">
        <is>
          <t>1408/05</t>
        </is>
      </c>
      <c r="G2427" s="61" t="inlineStr">
        <is>
          <t>مرداد</t>
        </is>
      </c>
      <c r="H2427" s="134" t="inlineStr">
        <is>
          <t>تابستان</t>
        </is>
      </c>
      <c r="I2427" s="134" t="inlineStr">
        <is>
          <t>شنبه</t>
        </is>
      </c>
      <c r="J2427" s="134" t="inlineStr">
        <is>
          <t>خیر</t>
        </is>
      </c>
    </row>
    <row r="2428">
      <c r="A2428" s="173" t="n">
        <v>47349</v>
      </c>
      <c r="B2428" s="174" t="n">
        <v>47349</v>
      </c>
      <c r="C2428" s="174" t="n">
        <v>1408</v>
      </c>
      <c r="D2428" s="174" t="n">
        <v>5</v>
      </c>
      <c r="E2428" s="175" t="inlineStr">
        <is>
          <t>1408/05/29</t>
        </is>
      </c>
      <c r="F2428" s="128" t="inlineStr">
        <is>
          <t>1408/05</t>
        </is>
      </c>
      <c r="G2428" s="58" t="inlineStr">
        <is>
          <t>مرداد</t>
        </is>
      </c>
      <c r="H2428" s="128" t="inlineStr">
        <is>
          <t>تابستان</t>
        </is>
      </c>
      <c r="I2428" s="128" t="inlineStr">
        <is>
          <t>یکشنبه</t>
        </is>
      </c>
      <c r="J2428" s="128" t="inlineStr">
        <is>
          <t>خیر</t>
        </is>
      </c>
    </row>
    <row r="2429">
      <c r="A2429" s="176" t="n">
        <v>47350</v>
      </c>
      <c r="B2429" s="177" t="n">
        <v>47350</v>
      </c>
      <c r="C2429" s="177" t="n">
        <v>1408</v>
      </c>
      <c r="D2429" s="177" t="n">
        <v>5</v>
      </c>
      <c r="E2429" s="178" t="inlineStr">
        <is>
          <t>1408/05/30</t>
        </is>
      </c>
      <c r="F2429" s="134" t="inlineStr">
        <is>
          <t>1408/05</t>
        </is>
      </c>
      <c r="G2429" s="61" t="inlineStr">
        <is>
          <t>مرداد</t>
        </is>
      </c>
      <c r="H2429" s="134" t="inlineStr">
        <is>
          <t>تابستان</t>
        </is>
      </c>
      <c r="I2429" s="134" t="inlineStr">
        <is>
          <t>دوشنبه</t>
        </is>
      </c>
      <c r="J2429" s="134" t="inlineStr">
        <is>
          <t>بله</t>
        </is>
      </c>
    </row>
    <row r="2430">
      <c r="A2430" s="173" t="n">
        <v>47351</v>
      </c>
      <c r="B2430" s="174" t="n">
        <v>47351</v>
      </c>
      <c r="C2430" s="174" t="n">
        <v>1408</v>
      </c>
      <c r="D2430" s="174" t="n">
        <v>5</v>
      </c>
      <c r="E2430" s="175" t="inlineStr">
        <is>
          <t>1408/05/31</t>
        </is>
      </c>
      <c r="F2430" s="128" t="inlineStr">
        <is>
          <t>1408/05</t>
        </is>
      </c>
      <c r="G2430" s="58" t="inlineStr">
        <is>
          <t>مرداد</t>
        </is>
      </c>
      <c r="H2430" s="128" t="inlineStr">
        <is>
          <t>تابستان</t>
        </is>
      </c>
      <c r="I2430" s="128" t="inlineStr">
        <is>
          <t>سه‌شنبه</t>
        </is>
      </c>
      <c r="J2430" s="128" t="inlineStr">
        <is>
          <t>بله</t>
        </is>
      </c>
    </row>
    <row r="2431">
      <c r="A2431" s="176" t="n">
        <v>47352</v>
      </c>
      <c r="B2431" s="177" t="n">
        <v>47352</v>
      </c>
      <c r="C2431" s="177" t="n">
        <v>1408</v>
      </c>
      <c r="D2431" s="177" t="n">
        <v>6</v>
      </c>
      <c r="E2431" s="178" t="inlineStr">
        <is>
          <t>1408/06/01</t>
        </is>
      </c>
      <c r="F2431" s="134" t="inlineStr">
        <is>
          <t>1408/06</t>
        </is>
      </c>
      <c r="G2431" s="61" t="inlineStr">
        <is>
          <t>شهریور</t>
        </is>
      </c>
      <c r="H2431" s="134" t="inlineStr">
        <is>
          <t>تابستان</t>
        </is>
      </c>
      <c r="I2431" s="134" t="inlineStr">
        <is>
          <t>چهارشنبه</t>
        </is>
      </c>
      <c r="J2431" s="134" t="inlineStr">
        <is>
          <t>بله</t>
        </is>
      </c>
    </row>
    <row r="2432">
      <c r="A2432" s="173" t="n">
        <v>47353</v>
      </c>
      <c r="B2432" s="174" t="n">
        <v>47353</v>
      </c>
      <c r="C2432" s="174" t="n">
        <v>1408</v>
      </c>
      <c r="D2432" s="174" t="n">
        <v>6</v>
      </c>
      <c r="E2432" s="175" t="inlineStr">
        <is>
          <t>1408/06/02</t>
        </is>
      </c>
      <c r="F2432" s="128" t="inlineStr">
        <is>
          <t>1408/06</t>
        </is>
      </c>
      <c r="G2432" s="58" t="inlineStr">
        <is>
          <t>شهریور</t>
        </is>
      </c>
      <c r="H2432" s="128" t="inlineStr">
        <is>
          <t>تابستان</t>
        </is>
      </c>
      <c r="I2432" s="128" t="inlineStr">
        <is>
          <t>پنجشنبه</t>
        </is>
      </c>
      <c r="J2432" s="128" t="inlineStr">
        <is>
          <t>بله</t>
        </is>
      </c>
    </row>
    <row r="2433">
      <c r="A2433" s="176" t="n">
        <v>47354</v>
      </c>
      <c r="B2433" s="177" t="n">
        <v>47354</v>
      </c>
      <c r="C2433" s="177" t="n">
        <v>1408</v>
      </c>
      <c r="D2433" s="177" t="n">
        <v>6</v>
      </c>
      <c r="E2433" s="178" t="inlineStr">
        <is>
          <t>1408/06/03</t>
        </is>
      </c>
      <c r="F2433" s="134" t="inlineStr">
        <is>
          <t>1408/06</t>
        </is>
      </c>
      <c r="G2433" s="61" t="inlineStr">
        <is>
          <t>شهریور</t>
        </is>
      </c>
      <c r="H2433" s="134" t="inlineStr">
        <is>
          <t>تابستان</t>
        </is>
      </c>
      <c r="I2433" s="134" t="inlineStr">
        <is>
          <t>جمعه</t>
        </is>
      </c>
      <c r="J2433" s="134" t="inlineStr">
        <is>
          <t>بله</t>
        </is>
      </c>
    </row>
    <row r="2434">
      <c r="A2434" s="173" t="n">
        <v>47355</v>
      </c>
      <c r="B2434" s="174" t="n">
        <v>47355</v>
      </c>
      <c r="C2434" s="174" t="n">
        <v>1408</v>
      </c>
      <c r="D2434" s="174" t="n">
        <v>6</v>
      </c>
      <c r="E2434" s="175" t="inlineStr">
        <is>
          <t>1408/06/04</t>
        </is>
      </c>
      <c r="F2434" s="128" t="inlineStr">
        <is>
          <t>1408/06</t>
        </is>
      </c>
      <c r="G2434" s="58" t="inlineStr">
        <is>
          <t>شهریور</t>
        </is>
      </c>
      <c r="H2434" s="128" t="inlineStr">
        <is>
          <t>تابستان</t>
        </is>
      </c>
      <c r="I2434" s="128" t="inlineStr">
        <is>
          <t>شنبه</t>
        </is>
      </c>
      <c r="J2434" s="128" t="inlineStr">
        <is>
          <t>خیر</t>
        </is>
      </c>
    </row>
    <row r="2435">
      <c r="A2435" s="176" t="n">
        <v>47356</v>
      </c>
      <c r="B2435" s="177" t="n">
        <v>47356</v>
      </c>
      <c r="C2435" s="177" t="n">
        <v>1408</v>
      </c>
      <c r="D2435" s="177" t="n">
        <v>6</v>
      </c>
      <c r="E2435" s="178" t="inlineStr">
        <is>
          <t>1408/06/05</t>
        </is>
      </c>
      <c r="F2435" s="134" t="inlineStr">
        <is>
          <t>1408/06</t>
        </is>
      </c>
      <c r="G2435" s="61" t="inlineStr">
        <is>
          <t>شهریور</t>
        </is>
      </c>
      <c r="H2435" s="134" t="inlineStr">
        <is>
          <t>تابستان</t>
        </is>
      </c>
      <c r="I2435" s="134" t="inlineStr">
        <is>
          <t>یکشنبه</t>
        </is>
      </c>
      <c r="J2435" s="134" t="inlineStr">
        <is>
          <t>خیر</t>
        </is>
      </c>
    </row>
    <row r="2436">
      <c r="A2436" s="173" t="n">
        <v>47357</v>
      </c>
      <c r="B2436" s="174" t="n">
        <v>47357</v>
      </c>
      <c r="C2436" s="174" t="n">
        <v>1408</v>
      </c>
      <c r="D2436" s="174" t="n">
        <v>6</v>
      </c>
      <c r="E2436" s="175" t="inlineStr">
        <is>
          <t>1408/06/06</t>
        </is>
      </c>
      <c r="F2436" s="128" t="inlineStr">
        <is>
          <t>1408/06</t>
        </is>
      </c>
      <c r="G2436" s="58" t="inlineStr">
        <is>
          <t>شهریور</t>
        </is>
      </c>
      <c r="H2436" s="128" t="inlineStr">
        <is>
          <t>تابستان</t>
        </is>
      </c>
      <c r="I2436" s="128" t="inlineStr">
        <is>
          <t>دوشنبه</t>
        </is>
      </c>
      <c r="J2436" s="128" t="inlineStr">
        <is>
          <t>بله</t>
        </is>
      </c>
    </row>
    <row r="2437">
      <c r="A2437" s="176" t="n">
        <v>47358</v>
      </c>
      <c r="B2437" s="177" t="n">
        <v>47358</v>
      </c>
      <c r="C2437" s="177" t="n">
        <v>1408</v>
      </c>
      <c r="D2437" s="177" t="n">
        <v>6</v>
      </c>
      <c r="E2437" s="178" t="inlineStr">
        <is>
          <t>1408/06/07</t>
        </is>
      </c>
      <c r="F2437" s="134" t="inlineStr">
        <is>
          <t>1408/06</t>
        </is>
      </c>
      <c r="G2437" s="61" t="inlineStr">
        <is>
          <t>شهریور</t>
        </is>
      </c>
      <c r="H2437" s="134" t="inlineStr">
        <is>
          <t>تابستان</t>
        </is>
      </c>
      <c r="I2437" s="134" t="inlineStr">
        <is>
          <t>سه‌شنبه</t>
        </is>
      </c>
      <c r="J2437" s="134" t="inlineStr">
        <is>
          <t>بله</t>
        </is>
      </c>
    </row>
    <row r="2438">
      <c r="A2438" s="173" t="n">
        <v>47359</v>
      </c>
      <c r="B2438" s="174" t="n">
        <v>47359</v>
      </c>
      <c r="C2438" s="174" t="n">
        <v>1408</v>
      </c>
      <c r="D2438" s="174" t="n">
        <v>6</v>
      </c>
      <c r="E2438" s="175" t="inlineStr">
        <is>
          <t>1408/06/08</t>
        </is>
      </c>
      <c r="F2438" s="128" t="inlineStr">
        <is>
          <t>1408/06</t>
        </is>
      </c>
      <c r="G2438" s="58" t="inlineStr">
        <is>
          <t>شهریور</t>
        </is>
      </c>
      <c r="H2438" s="128" t="inlineStr">
        <is>
          <t>تابستان</t>
        </is>
      </c>
      <c r="I2438" s="128" t="inlineStr">
        <is>
          <t>چهارشنبه</t>
        </is>
      </c>
      <c r="J2438" s="128" t="inlineStr">
        <is>
          <t>بله</t>
        </is>
      </c>
    </row>
    <row r="2439">
      <c r="A2439" s="176" t="n">
        <v>47360</v>
      </c>
      <c r="B2439" s="177" t="n">
        <v>47360</v>
      </c>
      <c r="C2439" s="177" t="n">
        <v>1408</v>
      </c>
      <c r="D2439" s="177" t="n">
        <v>6</v>
      </c>
      <c r="E2439" s="178" t="inlineStr">
        <is>
          <t>1408/06/09</t>
        </is>
      </c>
      <c r="F2439" s="134" t="inlineStr">
        <is>
          <t>1408/06</t>
        </is>
      </c>
      <c r="G2439" s="61" t="inlineStr">
        <is>
          <t>شهریور</t>
        </is>
      </c>
      <c r="H2439" s="134" t="inlineStr">
        <is>
          <t>تابستان</t>
        </is>
      </c>
      <c r="I2439" s="134" t="inlineStr">
        <is>
          <t>پنجشنبه</t>
        </is>
      </c>
      <c r="J2439" s="134" t="inlineStr">
        <is>
          <t>بله</t>
        </is>
      </c>
    </row>
    <row r="2440">
      <c r="A2440" s="173" t="n">
        <v>47361</v>
      </c>
      <c r="B2440" s="174" t="n">
        <v>47361</v>
      </c>
      <c r="C2440" s="174" t="n">
        <v>1408</v>
      </c>
      <c r="D2440" s="174" t="n">
        <v>6</v>
      </c>
      <c r="E2440" s="175" t="inlineStr">
        <is>
          <t>1408/06/10</t>
        </is>
      </c>
      <c r="F2440" s="128" t="inlineStr">
        <is>
          <t>1408/06</t>
        </is>
      </c>
      <c r="G2440" s="58" t="inlineStr">
        <is>
          <t>شهریور</t>
        </is>
      </c>
      <c r="H2440" s="128" t="inlineStr">
        <is>
          <t>تابستان</t>
        </is>
      </c>
      <c r="I2440" s="128" t="inlineStr">
        <is>
          <t>جمعه</t>
        </is>
      </c>
      <c r="J2440" s="128" t="inlineStr">
        <is>
          <t>بله</t>
        </is>
      </c>
    </row>
    <row r="2441">
      <c r="A2441" s="176" t="n">
        <v>47362</v>
      </c>
      <c r="B2441" s="177" t="n">
        <v>47362</v>
      </c>
      <c r="C2441" s="177" t="n">
        <v>1408</v>
      </c>
      <c r="D2441" s="177" t="n">
        <v>6</v>
      </c>
      <c r="E2441" s="178" t="inlineStr">
        <is>
          <t>1408/06/11</t>
        </is>
      </c>
      <c r="F2441" s="134" t="inlineStr">
        <is>
          <t>1408/06</t>
        </is>
      </c>
      <c r="G2441" s="61" t="inlineStr">
        <is>
          <t>شهریور</t>
        </is>
      </c>
      <c r="H2441" s="134" t="inlineStr">
        <is>
          <t>تابستان</t>
        </is>
      </c>
      <c r="I2441" s="134" t="inlineStr">
        <is>
          <t>شنبه</t>
        </is>
      </c>
      <c r="J2441" s="134" t="inlineStr">
        <is>
          <t>خیر</t>
        </is>
      </c>
    </row>
    <row r="2442">
      <c r="A2442" s="173" t="n">
        <v>47363</v>
      </c>
      <c r="B2442" s="174" t="n">
        <v>47363</v>
      </c>
      <c r="C2442" s="174" t="n">
        <v>1408</v>
      </c>
      <c r="D2442" s="174" t="n">
        <v>6</v>
      </c>
      <c r="E2442" s="175" t="inlineStr">
        <is>
          <t>1408/06/12</t>
        </is>
      </c>
      <c r="F2442" s="128" t="inlineStr">
        <is>
          <t>1408/06</t>
        </is>
      </c>
      <c r="G2442" s="58" t="inlineStr">
        <is>
          <t>شهریور</t>
        </is>
      </c>
      <c r="H2442" s="128" t="inlineStr">
        <is>
          <t>تابستان</t>
        </is>
      </c>
      <c r="I2442" s="128" t="inlineStr">
        <is>
          <t>یکشنبه</t>
        </is>
      </c>
      <c r="J2442" s="128" t="inlineStr">
        <is>
          <t>خیر</t>
        </is>
      </c>
    </row>
    <row r="2443">
      <c r="A2443" s="176" t="n">
        <v>47364</v>
      </c>
      <c r="B2443" s="177" t="n">
        <v>47364</v>
      </c>
      <c r="C2443" s="177" t="n">
        <v>1408</v>
      </c>
      <c r="D2443" s="177" t="n">
        <v>6</v>
      </c>
      <c r="E2443" s="178" t="inlineStr">
        <is>
          <t>1408/06/13</t>
        </is>
      </c>
      <c r="F2443" s="134" t="inlineStr">
        <is>
          <t>1408/06</t>
        </is>
      </c>
      <c r="G2443" s="61" t="inlineStr">
        <is>
          <t>شهریور</t>
        </is>
      </c>
      <c r="H2443" s="134" t="inlineStr">
        <is>
          <t>تابستان</t>
        </is>
      </c>
      <c r="I2443" s="134" t="inlineStr">
        <is>
          <t>دوشنبه</t>
        </is>
      </c>
      <c r="J2443" s="134" t="inlineStr">
        <is>
          <t>بله</t>
        </is>
      </c>
    </row>
    <row r="2444">
      <c r="A2444" s="173" t="n">
        <v>47365</v>
      </c>
      <c r="B2444" s="174" t="n">
        <v>47365</v>
      </c>
      <c r="C2444" s="174" t="n">
        <v>1408</v>
      </c>
      <c r="D2444" s="174" t="n">
        <v>6</v>
      </c>
      <c r="E2444" s="175" t="inlineStr">
        <is>
          <t>1408/06/14</t>
        </is>
      </c>
      <c r="F2444" s="128" t="inlineStr">
        <is>
          <t>1408/06</t>
        </is>
      </c>
      <c r="G2444" s="58" t="inlineStr">
        <is>
          <t>شهریور</t>
        </is>
      </c>
      <c r="H2444" s="128" t="inlineStr">
        <is>
          <t>تابستان</t>
        </is>
      </c>
      <c r="I2444" s="128" t="inlineStr">
        <is>
          <t>سه‌شنبه</t>
        </is>
      </c>
      <c r="J2444" s="128" t="inlineStr">
        <is>
          <t>بله</t>
        </is>
      </c>
    </row>
    <row r="2445">
      <c r="A2445" s="176" t="n">
        <v>47366</v>
      </c>
      <c r="B2445" s="177" t="n">
        <v>47366</v>
      </c>
      <c r="C2445" s="177" t="n">
        <v>1408</v>
      </c>
      <c r="D2445" s="177" t="n">
        <v>6</v>
      </c>
      <c r="E2445" s="178" t="inlineStr">
        <is>
          <t>1408/06/15</t>
        </is>
      </c>
      <c r="F2445" s="134" t="inlineStr">
        <is>
          <t>1408/06</t>
        </is>
      </c>
      <c r="G2445" s="61" t="inlineStr">
        <is>
          <t>شهریور</t>
        </is>
      </c>
      <c r="H2445" s="134" t="inlineStr">
        <is>
          <t>تابستان</t>
        </is>
      </c>
      <c r="I2445" s="134" t="inlineStr">
        <is>
          <t>چهارشنبه</t>
        </is>
      </c>
      <c r="J2445" s="134" t="inlineStr">
        <is>
          <t>بله</t>
        </is>
      </c>
    </row>
    <row r="2446">
      <c r="A2446" s="173" t="n">
        <v>47367</v>
      </c>
      <c r="B2446" s="174" t="n">
        <v>47367</v>
      </c>
      <c r="C2446" s="174" t="n">
        <v>1408</v>
      </c>
      <c r="D2446" s="174" t="n">
        <v>6</v>
      </c>
      <c r="E2446" s="175" t="inlineStr">
        <is>
          <t>1408/06/16</t>
        </is>
      </c>
      <c r="F2446" s="128" t="inlineStr">
        <is>
          <t>1408/06</t>
        </is>
      </c>
      <c r="G2446" s="58" t="inlineStr">
        <is>
          <t>شهریور</t>
        </is>
      </c>
      <c r="H2446" s="128" t="inlineStr">
        <is>
          <t>تابستان</t>
        </is>
      </c>
      <c r="I2446" s="128" t="inlineStr">
        <is>
          <t>پنجشنبه</t>
        </is>
      </c>
      <c r="J2446" s="128" t="inlineStr">
        <is>
          <t>بله</t>
        </is>
      </c>
    </row>
    <row r="2447">
      <c r="A2447" s="176" t="n">
        <v>47368</v>
      </c>
      <c r="B2447" s="177" t="n">
        <v>47368</v>
      </c>
      <c r="C2447" s="177" t="n">
        <v>1408</v>
      </c>
      <c r="D2447" s="177" t="n">
        <v>6</v>
      </c>
      <c r="E2447" s="178" t="inlineStr">
        <is>
          <t>1408/06/17</t>
        </is>
      </c>
      <c r="F2447" s="134" t="inlineStr">
        <is>
          <t>1408/06</t>
        </is>
      </c>
      <c r="G2447" s="61" t="inlineStr">
        <is>
          <t>شهریور</t>
        </is>
      </c>
      <c r="H2447" s="134" t="inlineStr">
        <is>
          <t>تابستان</t>
        </is>
      </c>
      <c r="I2447" s="134" t="inlineStr">
        <is>
          <t>جمعه</t>
        </is>
      </c>
      <c r="J2447" s="134" t="inlineStr">
        <is>
          <t>بله</t>
        </is>
      </c>
    </row>
    <row r="2448">
      <c r="A2448" s="173" t="n">
        <v>47369</v>
      </c>
      <c r="B2448" s="174" t="n">
        <v>47369</v>
      </c>
      <c r="C2448" s="174" t="n">
        <v>1408</v>
      </c>
      <c r="D2448" s="174" t="n">
        <v>6</v>
      </c>
      <c r="E2448" s="175" t="inlineStr">
        <is>
          <t>1408/06/18</t>
        </is>
      </c>
      <c r="F2448" s="128" t="inlineStr">
        <is>
          <t>1408/06</t>
        </is>
      </c>
      <c r="G2448" s="58" t="inlineStr">
        <is>
          <t>شهریور</t>
        </is>
      </c>
      <c r="H2448" s="128" t="inlineStr">
        <is>
          <t>تابستان</t>
        </is>
      </c>
      <c r="I2448" s="128" t="inlineStr">
        <is>
          <t>شنبه</t>
        </is>
      </c>
      <c r="J2448" s="128" t="inlineStr">
        <is>
          <t>خیر</t>
        </is>
      </c>
    </row>
    <row r="2449">
      <c r="A2449" s="176" t="n">
        <v>47370</v>
      </c>
      <c r="B2449" s="177" t="n">
        <v>47370</v>
      </c>
      <c r="C2449" s="177" t="n">
        <v>1408</v>
      </c>
      <c r="D2449" s="177" t="n">
        <v>6</v>
      </c>
      <c r="E2449" s="178" t="inlineStr">
        <is>
          <t>1408/06/19</t>
        </is>
      </c>
      <c r="F2449" s="134" t="inlineStr">
        <is>
          <t>1408/06</t>
        </is>
      </c>
      <c r="G2449" s="61" t="inlineStr">
        <is>
          <t>شهریور</t>
        </is>
      </c>
      <c r="H2449" s="134" t="inlineStr">
        <is>
          <t>تابستان</t>
        </is>
      </c>
      <c r="I2449" s="134" t="inlineStr">
        <is>
          <t>یکشنبه</t>
        </is>
      </c>
      <c r="J2449" s="134" t="inlineStr">
        <is>
          <t>خیر</t>
        </is>
      </c>
    </row>
    <row r="2450">
      <c r="A2450" s="173" t="n">
        <v>47371</v>
      </c>
      <c r="B2450" s="174" t="n">
        <v>47371</v>
      </c>
      <c r="C2450" s="174" t="n">
        <v>1408</v>
      </c>
      <c r="D2450" s="174" t="n">
        <v>6</v>
      </c>
      <c r="E2450" s="175" t="inlineStr">
        <is>
          <t>1408/06/20</t>
        </is>
      </c>
      <c r="F2450" s="128" t="inlineStr">
        <is>
          <t>1408/06</t>
        </is>
      </c>
      <c r="G2450" s="58" t="inlineStr">
        <is>
          <t>شهریور</t>
        </is>
      </c>
      <c r="H2450" s="128" t="inlineStr">
        <is>
          <t>تابستان</t>
        </is>
      </c>
      <c r="I2450" s="128" t="inlineStr">
        <is>
          <t>دوشنبه</t>
        </is>
      </c>
      <c r="J2450" s="128" t="inlineStr">
        <is>
          <t>بله</t>
        </is>
      </c>
    </row>
    <row r="2451">
      <c r="A2451" s="176" t="n">
        <v>47372</v>
      </c>
      <c r="B2451" s="177" t="n">
        <v>47372</v>
      </c>
      <c r="C2451" s="177" t="n">
        <v>1408</v>
      </c>
      <c r="D2451" s="177" t="n">
        <v>6</v>
      </c>
      <c r="E2451" s="178" t="inlineStr">
        <is>
          <t>1408/06/21</t>
        </is>
      </c>
      <c r="F2451" s="134" t="inlineStr">
        <is>
          <t>1408/06</t>
        </is>
      </c>
      <c r="G2451" s="61" t="inlineStr">
        <is>
          <t>شهریور</t>
        </is>
      </c>
      <c r="H2451" s="134" t="inlineStr">
        <is>
          <t>تابستان</t>
        </is>
      </c>
      <c r="I2451" s="134" t="inlineStr">
        <is>
          <t>سه‌شنبه</t>
        </is>
      </c>
      <c r="J2451" s="134" t="inlineStr">
        <is>
          <t>بله</t>
        </is>
      </c>
    </row>
    <row r="2452">
      <c r="A2452" s="173" t="n">
        <v>47373</v>
      </c>
      <c r="B2452" s="174" t="n">
        <v>47373</v>
      </c>
      <c r="C2452" s="174" t="n">
        <v>1408</v>
      </c>
      <c r="D2452" s="174" t="n">
        <v>6</v>
      </c>
      <c r="E2452" s="175" t="inlineStr">
        <is>
          <t>1408/06/22</t>
        </is>
      </c>
      <c r="F2452" s="128" t="inlineStr">
        <is>
          <t>1408/06</t>
        </is>
      </c>
      <c r="G2452" s="58" t="inlineStr">
        <is>
          <t>شهریور</t>
        </is>
      </c>
      <c r="H2452" s="128" t="inlineStr">
        <is>
          <t>تابستان</t>
        </is>
      </c>
      <c r="I2452" s="128" t="inlineStr">
        <is>
          <t>چهارشنبه</t>
        </is>
      </c>
      <c r="J2452" s="128" t="inlineStr">
        <is>
          <t>بله</t>
        </is>
      </c>
    </row>
    <row r="2453">
      <c r="A2453" s="176" t="n">
        <v>47374</v>
      </c>
      <c r="B2453" s="177" t="n">
        <v>47374</v>
      </c>
      <c r="C2453" s="177" t="n">
        <v>1408</v>
      </c>
      <c r="D2453" s="177" t="n">
        <v>6</v>
      </c>
      <c r="E2453" s="178" t="inlineStr">
        <is>
          <t>1408/06/23</t>
        </is>
      </c>
      <c r="F2453" s="134" t="inlineStr">
        <is>
          <t>1408/06</t>
        </is>
      </c>
      <c r="G2453" s="61" t="inlineStr">
        <is>
          <t>شهریور</t>
        </is>
      </c>
      <c r="H2453" s="134" t="inlineStr">
        <is>
          <t>تابستان</t>
        </is>
      </c>
      <c r="I2453" s="134" t="inlineStr">
        <is>
          <t>پنجشنبه</t>
        </is>
      </c>
      <c r="J2453" s="134" t="inlineStr">
        <is>
          <t>بله</t>
        </is>
      </c>
    </row>
    <row r="2454">
      <c r="A2454" s="173" t="n">
        <v>47375</v>
      </c>
      <c r="B2454" s="174" t="n">
        <v>47375</v>
      </c>
      <c r="C2454" s="174" t="n">
        <v>1408</v>
      </c>
      <c r="D2454" s="174" t="n">
        <v>6</v>
      </c>
      <c r="E2454" s="175" t="inlineStr">
        <is>
          <t>1408/06/24</t>
        </is>
      </c>
      <c r="F2454" s="128" t="inlineStr">
        <is>
          <t>1408/06</t>
        </is>
      </c>
      <c r="G2454" s="58" t="inlineStr">
        <is>
          <t>شهریور</t>
        </is>
      </c>
      <c r="H2454" s="128" t="inlineStr">
        <is>
          <t>تابستان</t>
        </is>
      </c>
      <c r="I2454" s="128" t="inlineStr">
        <is>
          <t>جمعه</t>
        </is>
      </c>
      <c r="J2454" s="128" t="inlineStr">
        <is>
          <t>بله</t>
        </is>
      </c>
    </row>
    <row r="2455">
      <c r="A2455" s="176" t="n">
        <v>47376</v>
      </c>
      <c r="B2455" s="177" t="n">
        <v>47376</v>
      </c>
      <c r="C2455" s="177" t="n">
        <v>1408</v>
      </c>
      <c r="D2455" s="177" t="n">
        <v>6</v>
      </c>
      <c r="E2455" s="178" t="inlineStr">
        <is>
          <t>1408/06/25</t>
        </is>
      </c>
      <c r="F2455" s="134" t="inlineStr">
        <is>
          <t>1408/06</t>
        </is>
      </c>
      <c r="G2455" s="61" t="inlineStr">
        <is>
          <t>شهریور</t>
        </is>
      </c>
      <c r="H2455" s="134" t="inlineStr">
        <is>
          <t>تابستان</t>
        </is>
      </c>
      <c r="I2455" s="134" t="inlineStr">
        <is>
          <t>شنبه</t>
        </is>
      </c>
      <c r="J2455" s="134" t="inlineStr">
        <is>
          <t>خیر</t>
        </is>
      </c>
    </row>
    <row r="2456">
      <c r="A2456" s="173" t="n">
        <v>47377</v>
      </c>
      <c r="B2456" s="174" t="n">
        <v>47377</v>
      </c>
      <c r="C2456" s="174" t="n">
        <v>1408</v>
      </c>
      <c r="D2456" s="174" t="n">
        <v>6</v>
      </c>
      <c r="E2456" s="175" t="inlineStr">
        <is>
          <t>1408/06/26</t>
        </is>
      </c>
      <c r="F2456" s="128" t="inlineStr">
        <is>
          <t>1408/06</t>
        </is>
      </c>
      <c r="G2456" s="58" t="inlineStr">
        <is>
          <t>شهریور</t>
        </is>
      </c>
      <c r="H2456" s="128" t="inlineStr">
        <is>
          <t>تابستان</t>
        </is>
      </c>
      <c r="I2456" s="128" t="inlineStr">
        <is>
          <t>یکشنبه</t>
        </is>
      </c>
      <c r="J2456" s="128" t="inlineStr">
        <is>
          <t>خیر</t>
        </is>
      </c>
    </row>
    <row r="2457">
      <c r="A2457" s="176" t="n">
        <v>47378</v>
      </c>
      <c r="B2457" s="177" t="n">
        <v>47378</v>
      </c>
      <c r="C2457" s="177" t="n">
        <v>1408</v>
      </c>
      <c r="D2457" s="177" t="n">
        <v>6</v>
      </c>
      <c r="E2457" s="178" t="inlineStr">
        <is>
          <t>1408/06/27</t>
        </is>
      </c>
      <c r="F2457" s="134" t="inlineStr">
        <is>
          <t>1408/06</t>
        </is>
      </c>
      <c r="G2457" s="61" t="inlineStr">
        <is>
          <t>شهریور</t>
        </is>
      </c>
      <c r="H2457" s="134" t="inlineStr">
        <is>
          <t>تابستان</t>
        </is>
      </c>
      <c r="I2457" s="134" t="inlineStr">
        <is>
          <t>دوشنبه</t>
        </is>
      </c>
      <c r="J2457" s="134" t="inlineStr">
        <is>
          <t>بله</t>
        </is>
      </c>
    </row>
    <row r="2458">
      <c r="A2458" s="173" t="n">
        <v>47379</v>
      </c>
      <c r="B2458" s="174" t="n">
        <v>47379</v>
      </c>
      <c r="C2458" s="174" t="n">
        <v>1408</v>
      </c>
      <c r="D2458" s="174" t="n">
        <v>6</v>
      </c>
      <c r="E2458" s="175" t="inlineStr">
        <is>
          <t>1408/06/28</t>
        </is>
      </c>
      <c r="F2458" s="128" t="inlineStr">
        <is>
          <t>1408/06</t>
        </is>
      </c>
      <c r="G2458" s="58" t="inlineStr">
        <is>
          <t>شهریور</t>
        </is>
      </c>
      <c r="H2458" s="128" t="inlineStr">
        <is>
          <t>تابستان</t>
        </is>
      </c>
      <c r="I2458" s="128" t="inlineStr">
        <is>
          <t>سه‌شنبه</t>
        </is>
      </c>
      <c r="J2458" s="128" t="inlineStr">
        <is>
          <t>بله</t>
        </is>
      </c>
    </row>
    <row r="2459">
      <c r="A2459" s="176" t="n">
        <v>47380</v>
      </c>
      <c r="B2459" s="177" t="n">
        <v>47380</v>
      </c>
      <c r="C2459" s="177" t="n">
        <v>1408</v>
      </c>
      <c r="D2459" s="177" t="n">
        <v>6</v>
      </c>
      <c r="E2459" s="178" t="inlineStr">
        <is>
          <t>1408/06/29</t>
        </is>
      </c>
      <c r="F2459" s="134" t="inlineStr">
        <is>
          <t>1408/06</t>
        </is>
      </c>
      <c r="G2459" s="61" t="inlineStr">
        <is>
          <t>شهریور</t>
        </is>
      </c>
      <c r="H2459" s="134" t="inlineStr">
        <is>
          <t>تابستان</t>
        </is>
      </c>
      <c r="I2459" s="134" t="inlineStr">
        <is>
          <t>چهارشنبه</t>
        </is>
      </c>
      <c r="J2459" s="134" t="inlineStr">
        <is>
          <t>بله</t>
        </is>
      </c>
    </row>
    <row r="2460">
      <c r="A2460" s="173" t="n">
        <v>47381</v>
      </c>
      <c r="B2460" s="174" t="n">
        <v>47381</v>
      </c>
      <c r="C2460" s="174" t="n">
        <v>1408</v>
      </c>
      <c r="D2460" s="174" t="n">
        <v>6</v>
      </c>
      <c r="E2460" s="175" t="inlineStr">
        <is>
          <t>1408/06/30</t>
        </is>
      </c>
      <c r="F2460" s="128" t="inlineStr">
        <is>
          <t>1408/06</t>
        </is>
      </c>
      <c r="G2460" s="58" t="inlineStr">
        <is>
          <t>شهریور</t>
        </is>
      </c>
      <c r="H2460" s="128" t="inlineStr">
        <is>
          <t>تابستان</t>
        </is>
      </c>
      <c r="I2460" s="128" t="inlineStr">
        <is>
          <t>پنجشنبه</t>
        </is>
      </c>
      <c r="J2460" s="128" t="inlineStr">
        <is>
          <t>بله</t>
        </is>
      </c>
    </row>
    <row r="2461">
      <c r="A2461" s="176" t="n">
        <v>47382</v>
      </c>
      <c r="B2461" s="177" t="n">
        <v>47382</v>
      </c>
      <c r="C2461" s="177" t="n">
        <v>1408</v>
      </c>
      <c r="D2461" s="177" t="n">
        <v>6</v>
      </c>
      <c r="E2461" s="178" t="inlineStr">
        <is>
          <t>1408/06/31</t>
        </is>
      </c>
      <c r="F2461" s="134" t="inlineStr">
        <is>
          <t>1408/06</t>
        </is>
      </c>
      <c r="G2461" s="61" t="inlineStr">
        <is>
          <t>شهریور</t>
        </is>
      </c>
      <c r="H2461" s="134" t="inlineStr">
        <is>
          <t>تابستان</t>
        </is>
      </c>
      <c r="I2461" s="134" t="inlineStr">
        <is>
          <t>جمعه</t>
        </is>
      </c>
      <c r="J2461" s="134" t="inlineStr">
        <is>
          <t>بله</t>
        </is>
      </c>
    </row>
    <row r="2462">
      <c r="A2462" s="173" t="n">
        <v>47383</v>
      </c>
      <c r="B2462" s="174" t="n">
        <v>47383</v>
      </c>
      <c r="C2462" s="174" t="n">
        <v>1408</v>
      </c>
      <c r="D2462" s="174" t="n">
        <v>7</v>
      </c>
      <c r="E2462" s="175" t="inlineStr">
        <is>
          <t>1408/07/01</t>
        </is>
      </c>
      <c r="F2462" s="128" t="inlineStr">
        <is>
          <t>1408/07</t>
        </is>
      </c>
      <c r="G2462" s="58" t="inlineStr">
        <is>
          <t>مهر</t>
        </is>
      </c>
      <c r="H2462" s="128" t="inlineStr">
        <is>
          <t>پاییز</t>
        </is>
      </c>
      <c r="I2462" s="128" t="inlineStr">
        <is>
          <t>شنبه</t>
        </is>
      </c>
      <c r="J2462" s="128" t="inlineStr">
        <is>
          <t>خیر</t>
        </is>
      </c>
    </row>
    <row r="2463">
      <c r="A2463" s="176" t="n">
        <v>47384</v>
      </c>
      <c r="B2463" s="177" t="n">
        <v>47384</v>
      </c>
      <c r="C2463" s="177" t="n">
        <v>1408</v>
      </c>
      <c r="D2463" s="177" t="n">
        <v>7</v>
      </c>
      <c r="E2463" s="178" t="inlineStr">
        <is>
          <t>1408/07/02</t>
        </is>
      </c>
      <c r="F2463" s="134" t="inlineStr">
        <is>
          <t>1408/07</t>
        </is>
      </c>
      <c r="G2463" s="61" t="inlineStr">
        <is>
          <t>مهر</t>
        </is>
      </c>
      <c r="H2463" s="134" t="inlineStr">
        <is>
          <t>پاییز</t>
        </is>
      </c>
      <c r="I2463" s="134" t="inlineStr">
        <is>
          <t>یکشنبه</t>
        </is>
      </c>
      <c r="J2463" s="134" t="inlineStr">
        <is>
          <t>خیر</t>
        </is>
      </c>
    </row>
    <row r="2464">
      <c r="A2464" s="173" t="n">
        <v>47385</v>
      </c>
      <c r="B2464" s="174" t="n">
        <v>47385</v>
      </c>
      <c r="C2464" s="174" t="n">
        <v>1408</v>
      </c>
      <c r="D2464" s="174" t="n">
        <v>7</v>
      </c>
      <c r="E2464" s="175" t="inlineStr">
        <is>
          <t>1408/07/03</t>
        </is>
      </c>
      <c r="F2464" s="128" t="inlineStr">
        <is>
          <t>1408/07</t>
        </is>
      </c>
      <c r="G2464" s="58" t="inlineStr">
        <is>
          <t>مهر</t>
        </is>
      </c>
      <c r="H2464" s="128" t="inlineStr">
        <is>
          <t>پاییز</t>
        </is>
      </c>
      <c r="I2464" s="128" t="inlineStr">
        <is>
          <t>دوشنبه</t>
        </is>
      </c>
      <c r="J2464" s="128" t="inlineStr">
        <is>
          <t>بله</t>
        </is>
      </c>
    </row>
    <row r="2465">
      <c r="A2465" s="176" t="n">
        <v>47386</v>
      </c>
      <c r="B2465" s="177" t="n">
        <v>47386</v>
      </c>
      <c r="C2465" s="177" t="n">
        <v>1408</v>
      </c>
      <c r="D2465" s="177" t="n">
        <v>7</v>
      </c>
      <c r="E2465" s="178" t="inlineStr">
        <is>
          <t>1408/07/04</t>
        </is>
      </c>
      <c r="F2465" s="134" t="inlineStr">
        <is>
          <t>1408/07</t>
        </is>
      </c>
      <c r="G2465" s="61" t="inlineStr">
        <is>
          <t>مهر</t>
        </is>
      </c>
      <c r="H2465" s="134" t="inlineStr">
        <is>
          <t>پاییز</t>
        </is>
      </c>
      <c r="I2465" s="134" t="inlineStr">
        <is>
          <t>سه‌شنبه</t>
        </is>
      </c>
      <c r="J2465" s="134" t="inlineStr">
        <is>
          <t>بله</t>
        </is>
      </c>
    </row>
    <row r="2466">
      <c r="A2466" s="173" t="n">
        <v>47387</v>
      </c>
      <c r="B2466" s="174" t="n">
        <v>47387</v>
      </c>
      <c r="C2466" s="174" t="n">
        <v>1408</v>
      </c>
      <c r="D2466" s="174" t="n">
        <v>7</v>
      </c>
      <c r="E2466" s="175" t="inlineStr">
        <is>
          <t>1408/07/05</t>
        </is>
      </c>
      <c r="F2466" s="128" t="inlineStr">
        <is>
          <t>1408/07</t>
        </is>
      </c>
      <c r="G2466" s="58" t="inlineStr">
        <is>
          <t>مهر</t>
        </is>
      </c>
      <c r="H2466" s="128" t="inlineStr">
        <is>
          <t>پاییز</t>
        </is>
      </c>
      <c r="I2466" s="128" t="inlineStr">
        <is>
          <t>چهارشنبه</t>
        </is>
      </c>
      <c r="J2466" s="128" t="inlineStr">
        <is>
          <t>بله</t>
        </is>
      </c>
    </row>
    <row r="2467">
      <c r="A2467" s="176" t="n">
        <v>47388</v>
      </c>
      <c r="B2467" s="177" t="n">
        <v>47388</v>
      </c>
      <c r="C2467" s="177" t="n">
        <v>1408</v>
      </c>
      <c r="D2467" s="177" t="n">
        <v>7</v>
      </c>
      <c r="E2467" s="178" t="inlineStr">
        <is>
          <t>1408/07/06</t>
        </is>
      </c>
      <c r="F2467" s="134" t="inlineStr">
        <is>
          <t>1408/07</t>
        </is>
      </c>
      <c r="G2467" s="61" t="inlineStr">
        <is>
          <t>مهر</t>
        </is>
      </c>
      <c r="H2467" s="134" t="inlineStr">
        <is>
          <t>پاییز</t>
        </is>
      </c>
      <c r="I2467" s="134" t="inlineStr">
        <is>
          <t>پنجشنبه</t>
        </is>
      </c>
      <c r="J2467" s="134" t="inlineStr">
        <is>
          <t>بله</t>
        </is>
      </c>
    </row>
    <row r="2468">
      <c r="A2468" s="173" t="n">
        <v>47389</v>
      </c>
      <c r="B2468" s="174" t="n">
        <v>47389</v>
      </c>
      <c r="C2468" s="174" t="n">
        <v>1408</v>
      </c>
      <c r="D2468" s="174" t="n">
        <v>7</v>
      </c>
      <c r="E2468" s="175" t="inlineStr">
        <is>
          <t>1408/07/07</t>
        </is>
      </c>
      <c r="F2468" s="128" t="inlineStr">
        <is>
          <t>1408/07</t>
        </is>
      </c>
      <c r="G2468" s="58" t="inlineStr">
        <is>
          <t>مهر</t>
        </is>
      </c>
      <c r="H2468" s="128" t="inlineStr">
        <is>
          <t>پاییز</t>
        </is>
      </c>
      <c r="I2468" s="128" t="inlineStr">
        <is>
          <t>جمعه</t>
        </is>
      </c>
      <c r="J2468" s="128" t="inlineStr">
        <is>
          <t>بله</t>
        </is>
      </c>
    </row>
    <row r="2469">
      <c r="A2469" s="176" t="n">
        <v>47390</v>
      </c>
      <c r="B2469" s="177" t="n">
        <v>47390</v>
      </c>
      <c r="C2469" s="177" t="n">
        <v>1408</v>
      </c>
      <c r="D2469" s="177" t="n">
        <v>7</v>
      </c>
      <c r="E2469" s="178" t="inlineStr">
        <is>
          <t>1408/07/08</t>
        </is>
      </c>
      <c r="F2469" s="134" t="inlineStr">
        <is>
          <t>1408/07</t>
        </is>
      </c>
      <c r="G2469" s="61" t="inlineStr">
        <is>
          <t>مهر</t>
        </is>
      </c>
      <c r="H2469" s="134" t="inlineStr">
        <is>
          <t>پاییز</t>
        </is>
      </c>
      <c r="I2469" s="134" t="inlineStr">
        <is>
          <t>شنبه</t>
        </is>
      </c>
      <c r="J2469" s="134" t="inlineStr">
        <is>
          <t>خیر</t>
        </is>
      </c>
    </row>
    <row r="2470">
      <c r="A2470" s="173" t="n">
        <v>47391</v>
      </c>
      <c r="B2470" s="174" t="n">
        <v>47391</v>
      </c>
      <c r="C2470" s="174" t="n">
        <v>1408</v>
      </c>
      <c r="D2470" s="174" t="n">
        <v>7</v>
      </c>
      <c r="E2470" s="175" t="inlineStr">
        <is>
          <t>1408/07/09</t>
        </is>
      </c>
      <c r="F2470" s="128" t="inlineStr">
        <is>
          <t>1408/07</t>
        </is>
      </c>
      <c r="G2470" s="58" t="inlineStr">
        <is>
          <t>مهر</t>
        </is>
      </c>
      <c r="H2470" s="128" t="inlineStr">
        <is>
          <t>پاییز</t>
        </is>
      </c>
      <c r="I2470" s="128" t="inlineStr">
        <is>
          <t>یکشنبه</t>
        </is>
      </c>
      <c r="J2470" s="128" t="inlineStr">
        <is>
          <t>خیر</t>
        </is>
      </c>
    </row>
    <row r="2471">
      <c r="A2471" s="176" t="n">
        <v>47392</v>
      </c>
      <c r="B2471" s="177" t="n">
        <v>47392</v>
      </c>
      <c r="C2471" s="177" t="n">
        <v>1408</v>
      </c>
      <c r="D2471" s="177" t="n">
        <v>7</v>
      </c>
      <c r="E2471" s="178" t="inlineStr">
        <is>
          <t>1408/07/10</t>
        </is>
      </c>
      <c r="F2471" s="134" t="inlineStr">
        <is>
          <t>1408/07</t>
        </is>
      </c>
      <c r="G2471" s="61" t="inlineStr">
        <is>
          <t>مهر</t>
        </is>
      </c>
      <c r="H2471" s="134" t="inlineStr">
        <is>
          <t>پاییز</t>
        </is>
      </c>
      <c r="I2471" s="134" t="inlineStr">
        <is>
          <t>دوشنبه</t>
        </is>
      </c>
      <c r="J2471" s="134" t="inlineStr">
        <is>
          <t>بله</t>
        </is>
      </c>
    </row>
    <row r="2472">
      <c r="A2472" s="173" t="n">
        <v>47393</v>
      </c>
      <c r="B2472" s="174" t="n">
        <v>47393</v>
      </c>
      <c r="C2472" s="174" t="n">
        <v>1408</v>
      </c>
      <c r="D2472" s="174" t="n">
        <v>7</v>
      </c>
      <c r="E2472" s="175" t="inlineStr">
        <is>
          <t>1408/07/11</t>
        </is>
      </c>
      <c r="F2472" s="128" t="inlineStr">
        <is>
          <t>1408/07</t>
        </is>
      </c>
      <c r="G2472" s="58" t="inlineStr">
        <is>
          <t>مهر</t>
        </is>
      </c>
      <c r="H2472" s="128" t="inlineStr">
        <is>
          <t>پاییز</t>
        </is>
      </c>
      <c r="I2472" s="128" t="inlineStr">
        <is>
          <t>سه‌شنبه</t>
        </is>
      </c>
      <c r="J2472" s="128" t="inlineStr">
        <is>
          <t>بله</t>
        </is>
      </c>
    </row>
    <row r="2473">
      <c r="A2473" s="176" t="n">
        <v>47394</v>
      </c>
      <c r="B2473" s="177" t="n">
        <v>47394</v>
      </c>
      <c r="C2473" s="177" t="n">
        <v>1408</v>
      </c>
      <c r="D2473" s="177" t="n">
        <v>7</v>
      </c>
      <c r="E2473" s="178" t="inlineStr">
        <is>
          <t>1408/07/12</t>
        </is>
      </c>
      <c r="F2473" s="134" t="inlineStr">
        <is>
          <t>1408/07</t>
        </is>
      </c>
      <c r="G2473" s="61" t="inlineStr">
        <is>
          <t>مهر</t>
        </is>
      </c>
      <c r="H2473" s="134" t="inlineStr">
        <is>
          <t>پاییز</t>
        </is>
      </c>
      <c r="I2473" s="134" t="inlineStr">
        <is>
          <t>چهارشنبه</t>
        </is>
      </c>
      <c r="J2473" s="134" t="inlineStr">
        <is>
          <t>بله</t>
        </is>
      </c>
    </row>
    <row r="2474">
      <c r="A2474" s="173" t="n">
        <v>47395</v>
      </c>
      <c r="B2474" s="174" t="n">
        <v>47395</v>
      </c>
      <c r="C2474" s="174" t="n">
        <v>1408</v>
      </c>
      <c r="D2474" s="174" t="n">
        <v>7</v>
      </c>
      <c r="E2474" s="175" t="inlineStr">
        <is>
          <t>1408/07/13</t>
        </is>
      </c>
      <c r="F2474" s="128" t="inlineStr">
        <is>
          <t>1408/07</t>
        </is>
      </c>
      <c r="G2474" s="58" t="inlineStr">
        <is>
          <t>مهر</t>
        </is>
      </c>
      <c r="H2474" s="128" t="inlineStr">
        <is>
          <t>پاییز</t>
        </is>
      </c>
      <c r="I2474" s="128" t="inlineStr">
        <is>
          <t>پنجشنبه</t>
        </is>
      </c>
      <c r="J2474" s="128" t="inlineStr">
        <is>
          <t>بله</t>
        </is>
      </c>
    </row>
    <row r="2475">
      <c r="A2475" s="176" t="n">
        <v>47396</v>
      </c>
      <c r="B2475" s="177" t="n">
        <v>47396</v>
      </c>
      <c r="C2475" s="177" t="n">
        <v>1408</v>
      </c>
      <c r="D2475" s="177" t="n">
        <v>7</v>
      </c>
      <c r="E2475" s="178" t="inlineStr">
        <is>
          <t>1408/07/14</t>
        </is>
      </c>
      <c r="F2475" s="134" t="inlineStr">
        <is>
          <t>1408/07</t>
        </is>
      </c>
      <c r="G2475" s="61" t="inlineStr">
        <is>
          <t>مهر</t>
        </is>
      </c>
      <c r="H2475" s="134" t="inlineStr">
        <is>
          <t>پاییز</t>
        </is>
      </c>
      <c r="I2475" s="134" t="inlineStr">
        <is>
          <t>جمعه</t>
        </is>
      </c>
      <c r="J2475" s="134" t="inlineStr">
        <is>
          <t>بله</t>
        </is>
      </c>
    </row>
    <row r="2476">
      <c r="A2476" s="173" t="n">
        <v>47397</v>
      </c>
      <c r="B2476" s="174" t="n">
        <v>47397</v>
      </c>
      <c r="C2476" s="174" t="n">
        <v>1408</v>
      </c>
      <c r="D2476" s="174" t="n">
        <v>7</v>
      </c>
      <c r="E2476" s="175" t="inlineStr">
        <is>
          <t>1408/07/15</t>
        </is>
      </c>
      <c r="F2476" s="128" t="inlineStr">
        <is>
          <t>1408/07</t>
        </is>
      </c>
      <c r="G2476" s="58" t="inlineStr">
        <is>
          <t>مهر</t>
        </is>
      </c>
      <c r="H2476" s="128" t="inlineStr">
        <is>
          <t>پاییز</t>
        </is>
      </c>
      <c r="I2476" s="128" t="inlineStr">
        <is>
          <t>شنبه</t>
        </is>
      </c>
      <c r="J2476" s="128" t="inlineStr">
        <is>
          <t>خیر</t>
        </is>
      </c>
    </row>
    <row r="2477">
      <c r="A2477" s="176" t="n">
        <v>47398</v>
      </c>
      <c r="B2477" s="177" t="n">
        <v>47398</v>
      </c>
      <c r="C2477" s="177" t="n">
        <v>1408</v>
      </c>
      <c r="D2477" s="177" t="n">
        <v>7</v>
      </c>
      <c r="E2477" s="178" t="inlineStr">
        <is>
          <t>1408/07/16</t>
        </is>
      </c>
      <c r="F2477" s="134" t="inlineStr">
        <is>
          <t>1408/07</t>
        </is>
      </c>
      <c r="G2477" s="61" t="inlineStr">
        <is>
          <t>مهر</t>
        </is>
      </c>
      <c r="H2477" s="134" t="inlineStr">
        <is>
          <t>پاییز</t>
        </is>
      </c>
      <c r="I2477" s="134" t="inlineStr">
        <is>
          <t>یکشنبه</t>
        </is>
      </c>
      <c r="J2477" s="134" t="inlineStr">
        <is>
          <t>خیر</t>
        </is>
      </c>
    </row>
    <row r="2478">
      <c r="A2478" s="173" t="n">
        <v>47399</v>
      </c>
      <c r="B2478" s="174" t="n">
        <v>47399</v>
      </c>
      <c r="C2478" s="174" t="n">
        <v>1408</v>
      </c>
      <c r="D2478" s="174" t="n">
        <v>7</v>
      </c>
      <c r="E2478" s="175" t="inlineStr">
        <is>
          <t>1408/07/17</t>
        </is>
      </c>
      <c r="F2478" s="128" t="inlineStr">
        <is>
          <t>1408/07</t>
        </is>
      </c>
      <c r="G2478" s="58" t="inlineStr">
        <is>
          <t>مهر</t>
        </is>
      </c>
      <c r="H2478" s="128" t="inlineStr">
        <is>
          <t>پاییز</t>
        </is>
      </c>
      <c r="I2478" s="128" t="inlineStr">
        <is>
          <t>دوشنبه</t>
        </is>
      </c>
      <c r="J2478" s="128" t="inlineStr">
        <is>
          <t>بله</t>
        </is>
      </c>
    </row>
    <row r="2479">
      <c r="A2479" s="176" t="n">
        <v>47400</v>
      </c>
      <c r="B2479" s="177" t="n">
        <v>47400</v>
      </c>
      <c r="C2479" s="177" t="n">
        <v>1408</v>
      </c>
      <c r="D2479" s="177" t="n">
        <v>7</v>
      </c>
      <c r="E2479" s="178" t="inlineStr">
        <is>
          <t>1408/07/18</t>
        </is>
      </c>
      <c r="F2479" s="134" t="inlineStr">
        <is>
          <t>1408/07</t>
        </is>
      </c>
      <c r="G2479" s="61" t="inlineStr">
        <is>
          <t>مهر</t>
        </is>
      </c>
      <c r="H2479" s="134" t="inlineStr">
        <is>
          <t>پاییز</t>
        </is>
      </c>
      <c r="I2479" s="134" t="inlineStr">
        <is>
          <t>سه‌شنبه</t>
        </is>
      </c>
      <c r="J2479" s="134" t="inlineStr">
        <is>
          <t>بله</t>
        </is>
      </c>
    </row>
    <row r="2480">
      <c r="A2480" s="173" t="n">
        <v>47401</v>
      </c>
      <c r="B2480" s="174" t="n">
        <v>47401</v>
      </c>
      <c r="C2480" s="174" t="n">
        <v>1408</v>
      </c>
      <c r="D2480" s="174" t="n">
        <v>7</v>
      </c>
      <c r="E2480" s="175" t="inlineStr">
        <is>
          <t>1408/07/19</t>
        </is>
      </c>
      <c r="F2480" s="128" t="inlineStr">
        <is>
          <t>1408/07</t>
        </is>
      </c>
      <c r="G2480" s="58" t="inlineStr">
        <is>
          <t>مهر</t>
        </is>
      </c>
      <c r="H2480" s="128" t="inlineStr">
        <is>
          <t>پاییز</t>
        </is>
      </c>
      <c r="I2480" s="128" t="inlineStr">
        <is>
          <t>چهارشنبه</t>
        </is>
      </c>
      <c r="J2480" s="128" t="inlineStr">
        <is>
          <t>بله</t>
        </is>
      </c>
    </row>
    <row r="2481">
      <c r="A2481" s="176" t="n">
        <v>47402</v>
      </c>
      <c r="B2481" s="177" t="n">
        <v>47402</v>
      </c>
      <c r="C2481" s="177" t="n">
        <v>1408</v>
      </c>
      <c r="D2481" s="177" t="n">
        <v>7</v>
      </c>
      <c r="E2481" s="178" t="inlineStr">
        <is>
          <t>1408/07/20</t>
        </is>
      </c>
      <c r="F2481" s="134" t="inlineStr">
        <is>
          <t>1408/07</t>
        </is>
      </c>
      <c r="G2481" s="61" t="inlineStr">
        <is>
          <t>مهر</t>
        </is>
      </c>
      <c r="H2481" s="134" t="inlineStr">
        <is>
          <t>پاییز</t>
        </is>
      </c>
      <c r="I2481" s="134" t="inlineStr">
        <is>
          <t>پنجشنبه</t>
        </is>
      </c>
      <c r="J2481" s="134" t="inlineStr">
        <is>
          <t>بله</t>
        </is>
      </c>
    </row>
    <row r="2482">
      <c r="A2482" s="173" t="n">
        <v>47403</v>
      </c>
      <c r="B2482" s="174" t="n">
        <v>47403</v>
      </c>
      <c r="C2482" s="174" t="n">
        <v>1408</v>
      </c>
      <c r="D2482" s="174" t="n">
        <v>7</v>
      </c>
      <c r="E2482" s="175" t="inlineStr">
        <is>
          <t>1408/07/21</t>
        </is>
      </c>
      <c r="F2482" s="128" t="inlineStr">
        <is>
          <t>1408/07</t>
        </is>
      </c>
      <c r="G2482" s="58" t="inlineStr">
        <is>
          <t>مهر</t>
        </is>
      </c>
      <c r="H2482" s="128" t="inlineStr">
        <is>
          <t>پاییز</t>
        </is>
      </c>
      <c r="I2482" s="128" t="inlineStr">
        <is>
          <t>جمعه</t>
        </is>
      </c>
      <c r="J2482" s="128" t="inlineStr">
        <is>
          <t>بله</t>
        </is>
      </c>
    </row>
    <row r="2483">
      <c r="A2483" s="176" t="n">
        <v>47404</v>
      </c>
      <c r="B2483" s="177" t="n">
        <v>47404</v>
      </c>
      <c r="C2483" s="177" t="n">
        <v>1408</v>
      </c>
      <c r="D2483" s="177" t="n">
        <v>7</v>
      </c>
      <c r="E2483" s="178" t="inlineStr">
        <is>
          <t>1408/07/22</t>
        </is>
      </c>
      <c r="F2483" s="134" t="inlineStr">
        <is>
          <t>1408/07</t>
        </is>
      </c>
      <c r="G2483" s="61" t="inlineStr">
        <is>
          <t>مهر</t>
        </is>
      </c>
      <c r="H2483" s="134" t="inlineStr">
        <is>
          <t>پاییز</t>
        </is>
      </c>
      <c r="I2483" s="134" t="inlineStr">
        <is>
          <t>شنبه</t>
        </is>
      </c>
      <c r="J2483" s="134" t="inlineStr">
        <is>
          <t>خیر</t>
        </is>
      </c>
    </row>
    <row r="2484">
      <c r="A2484" s="173" t="n">
        <v>47405</v>
      </c>
      <c r="B2484" s="174" t="n">
        <v>47405</v>
      </c>
      <c r="C2484" s="174" t="n">
        <v>1408</v>
      </c>
      <c r="D2484" s="174" t="n">
        <v>7</v>
      </c>
      <c r="E2484" s="175" t="inlineStr">
        <is>
          <t>1408/07/23</t>
        </is>
      </c>
      <c r="F2484" s="128" t="inlineStr">
        <is>
          <t>1408/07</t>
        </is>
      </c>
      <c r="G2484" s="58" t="inlineStr">
        <is>
          <t>مهر</t>
        </is>
      </c>
      <c r="H2484" s="128" t="inlineStr">
        <is>
          <t>پاییز</t>
        </is>
      </c>
      <c r="I2484" s="128" t="inlineStr">
        <is>
          <t>یکشنبه</t>
        </is>
      </c>
      <c r="J2484" s="128" t="inlineStr">
        <is>
          <t>خیر</t>
        </is>
      </c>
    </row>
    <row r="2485">
      <c r="A2485" s="176" t="n">
        <v>47406</v>
      </c>
      <c r="B2485" s="177" t="n">
        <v>47406</v>
      </c>
      <c r="C2485" s="177" t="n">
        <v>1408</v>
      </c>
      <c r="D2485" s="177" t="n">
        <v>7</v>
      </c>
      <c r="E2485" s="178" t="inlineStr">
        <is>
          <t>1408/07/24</t>
        </is>
      </c>
      <c r="F2485" s="134" t="inlineStr">
        <is>
          <t>1408/07</t>
        </is>
      </c>
      <c r="G2485" s="61" t="inlineStr">
        <is>
          <t>مهر</t>
        </is>
      </c>
      <c r="H2485" s="134" t="inlineStr">
        <is>
          <t>پاییز</t>
        </is>
      </c>
      <c r="I2485" s="134" t="inlineStr">
        <is>
          <t>دوشنبه</t>
        </is>
      </c>
      <c r="J2485" s="134" t="inlineStr">
        <is>
          <t>بله</t>
        </is>
      </c>
    </row>
    <row r="2486">
      <c r="A2486" s="173" t="n">
        <v>47407</v>
      </c>
      <c r="B2486" s="174" t="n">
        <v>47407</v>
      </c>
      <c r="C2486" s="174" t="n">
        <v>1408</v>
      </c>
      <c r="D2486" s="174" t="n">
        <v>7</v>
      </c>
      <c r="E2486" s="175" t="inlineStr">
        <is>
          <t>1408/07/25</t>
        </is>
      </c>
      <c r="F2486" s="128" t="inlineStr">
        <is>
          <t>1408/07</t>
        </is>
      </c>
      <c r="G2486" s="58" t="inlineStr">
        <is>
          <t>مهر</t>
        </is>
      </c>
      <c r="H2486" s="128" t="inlineStr">
        <is>
          <t>پاییز</t>
        </is>
      </c>
      <c r="I2486" s="128" t="inlineStr">
        <is>
          <t>سه‌شنبه</t>
        </is>
      </c>
      <c r="J2486" s="128" t="inlineStr">
        <is>
          <t>بله</t>
        </is>
      </c>
    </row>
    <row r="2487">
      <c r="A2487" s="176" t="n">
        <v>47408</v>
      </c>
      <c r="B2487" s="177" t="n">
        <v>47408</v>
      </c>
      <c r="C2487" s="177" t="n">
        <v>1408</v>
      </c>
      <c r="D2487" s="177" t="n">
        <v>7</v>
      </c>
      <c r="E2487" s="178" t="inlineStr">
        <is>
          <t>1408/07/26</t>
        </is>
      </c>
      <c r="F2487" s="134" t="inlineStr">
        <is>
          <t>1408/07</t>
        </is>
      </c>
      <c r="G2487" s="61" t="inlineStr">
        <is>
          <t>مهر</t>
        </is>
      </c>
      <c r="H2487" s="134" t="inlineStr">
        <is>
          <t>پاییز</t>
        </is>
      </c>
      <c r="I2487" s="134" t="inlineStr">
        <is>
          <t>چهارشنبه</t>
        </is>
      </c>
      <c r="J2487" s="134" t="inlineStr">
        <is>
          <t>بله</t>
        </is>
      </c>
    </row>
    <row r="2488">
      <c r="A2488" s="173" t="n">
        <v>47409</v>
      </c>
      <c r="B2488" s="174" t="n">
        <v>47409</v>
      </c>
      <c r="C2488" s="174" t="n">
        <v>1408</v>
      </c>
      <c r="D2488" s="174" t="n">
        <v>7</v>
      </c>
      <c r="E2488" s="175" t="inlineStr">
        <is>
          <t>1408/07/27</t>
        </is>
      </c>
      <c r="F2488" s="128" t="inlineStr">
        <is>
          <t>1408/07</t>
        </is>
      </c>
      <c r="G2488" s="58" t="inlineStr">
        <is>
          <t>مهر</t>
        </is>
      </c>
      <c r="H2488" s="128" t="inlineStr">
        <is>
          <t>پاییز</t>
        </is>
      </c>
      <c r="I2488" s="128" t="inlineStr">
        <is>
          <t>پنجشنبه</t>
        </is>
      </c>
      <c r="J2488" s="128" t="inlineStr">
        <is>
          <t>بله</t>
        </is>
      </c>
    </row>
    <row r="2489">
      <c r="A2489" s="176" t="n">
        <v>47410</v>
      </c>
      <c r="B2489" s="177" t="n">
        <v>47410</v>
      </c>
      <c r="C2489" s="177" t="n">
        <v>1408</v>
      </c>
      <c r="D2489" s="177" t="n">
        <v>7</v>
      </c>
      <c r="E2489" s="178" t="inlineStr">
        <is>
          <t>1408/07/28</t>
        </is>
      </c>
      <c r="F2489" s="134" t="inlineStr">
        <is>
          <t>1408/07</t>
        </is>
      </c>
      <c r="G2489" s="61" t="inlineStr">
        <is>
          <t>مهر</t>
        </is>
      </c>
      <c r="H2489" s="134" t="inlineStr">
        <is>
          <t>پاییز</t>
        </is>
      </c>
      <c r="I2489" s="134" t="inlineStr">
        <is>
          <t>جمعه</t>
        </is>
      </c>
      <c r="J2489" s="134" t="inlineStr">
        <is>
          <t>بله</t>
        </is>
      </c>
    </row>
    <row r="2490">
      <c r="A2490" s="173" t="n">
        <v>47411</v>
      </c>
      <c r="B2490" s="174" t="n">
        <v>47411</v>
      </c>
      <c r="C2490" s="174" t="n">
        <v>1408</v>
      </c>
      <c r="D2490" s="174" t="n">
        <v>7</v>
      </c>
      <c r="E2490" s="175" t="inlineStr">
        <is>
          <t>1408/07/29</t>
        </is>
      </c>
      <c r="F2490" s="128" t="inlineStr">
        <is>
          <t>1408/07</t>
        </is>
      </c>
      <c r="G2490" s="58" t="inlineStr">
        <is>
          <t>مهر</t>
        </is>
      </c>
      <c r="H2490" s="128" t="inlineStr">
        <is>
          <t>پاییز</t>
        </is>
      </c>
      <c r="I2490" s="128" t="inlineStr">
        <is>
          <t>شنبه</t>
        </is>
      </c>
      <c r="J2490" s="128" t="inlineStr">
        <is>
          <t>خیر</t>
        </is>
      </c>
    </row>
    <row r="2491">
      <c r="A2491" s="176" t="n">
        <v>47412</v>
      </c>
      <c r="B2491" s="177" t="n">
        <v>47412</v>
      </c>
      <c r="C2491" s="177" t="n">
        <v>1408</v>
      </c>
      <c r="D2491" s="177" t="n">
        <v>7</v>
      </c>
      <c r="E2491" s="178" t="inlineStr">
        <is>
          <t>1408/07/30</t>
        </is>
      </c>
      <c r="F2491" s="134" t="inlineStr">
        <is>
          <t>1408/07</t>
        </is>
      </c>
      <c r="G2491" s="61" t="inlineStr">
        <is>
          <t>مهر</t>
        </is>
      </c>
      <c r="H2491" s="134" t="inlineStr">
        <is>
          <t>پاییز</t>
        </is>
      </c>
      <c r="I2491" s="134" t="inlineStr">
        <is>
          <t>یکشنبه</t>
        </is>
      </c>
      <c r="J2491" s="134" t="inlineStr">
        <is>
          <t>خیر</t>
        </is>
      </c>
    </row>
    <row r="2492">
      <c r="A2492" s="173" t="n">
        <v>47413</v>
      </c>
      <c r="B2492" s="174" t="n">
        <v>47413</v>
      </c>
      <c r="C2492" s="174" t="n">
        <v>1408</v>
      </c>
      <c r="D2492" s="174" t="n">
        <v>8</v>
      </c>
      <c r="E2492" s="175" t="inlineStr">
        <is>
          <t>1408/08/01</t>
        </is>
      </c>
      <c r="F2492" s="128" t="inlineStr">
        <is>
          <t>1408/08</t>
        </is>
      </c>
      <c r="G2492" s="58" t="inlineStr">
        <is>
          <t>آبان</t>
        </is>
      </c>
      <c r="H2492" s="128" t="inlineStr">
        <is>
          <t>پاییز</t>
        </is>
      </c>
      <c r="I2492" s="128" t="inlineStr">
        <is>
          <t>دوشنبه</t>
        </is>
      </c>
      <c r="J2492" s="128" t="inlineStr">
        <is>
          <t>بله</t>
        </is>
      </c>
    </row>
    <row r="2493">
      <c r="A2493" s="176" t="n">
        <v>47414</v>
      </c>
      <c r="B2493" s="177" t="n">
        <v>47414</v>
      </c>
      <c r="C2493" s="177" t="n">
        <v>1408</v>
      </c>
      <c r="D2493" s="177" t="n">
        <v>8</v>
      </c>
      <c r="E2493" s="178" t="inlineStr">
        <is>
          <t>1408/08/02</t>
        </is>
      </c>
      <c r="F2493" s="134" t="inlineStr">
        <is>
          <t>1408/08</t>
        </is>
      </c>
      <c r="G2493" s="61" t="inlineStr">
        <is>
          <t>آبان</t>
        </is>
      </c>
      <c r="H2493" s="134" t="inlineStr">
        <is>
          <t>پاییز</t>
        </is>
      </c>
      <c r="I2493" s="134" t="inlineStr">
        <is>
          <t>سه‌شنبه</t>
        </is>
      </c>
      <c r="J2493" s="134" t="inlineStr">
        <is>
          <t>بله</t>
        </is>
      </c>
    </row>
    <row r="2494">
      <c r="A2494" s="173" t="n">
        <v>47415</v>
      </c>
      <c r="B2494" s="174" t="n">
        <v>47415</v>
      </c>
      <c r="C2494" s="174" t="n">
        <v>1408</v>
      </c>
      <c r="D2494" s="174" t="n">
        <v>8</v>
      </c>
      <c r="E2494" s="175" t="inlineStr">
        <is>
          <t>1408/08/03</t>
        </is>
      </c>
      <c r="F2494" s="128" t="inlineStr">
        <is>
          <t>1408/08</t>
        </is>
      </c>
      <c r="G2494" s="58" t="inlineStr">
        <is>
          <t>آبان</t>
        </is>
      </c>
      <c r="H2494" s="128" t="inlineStr">
        <is>
          <t>پاییز</t>
        </is>
      </c>
      <c r="I2494" s="128" t="inlineStr">
        <is>
          <t>چهارشنبه</t>
        </is>
      </c>
      <c r="J2494" s="128" t="inlineStr">
        <is>
          <t>بله</t>
        </is>
      </c>
    </row>
    <row r="2495">
      <c r="A2495" s="176" t="n">
        <v>47416</v>
      </c>
      <c r="B2495" s="177" t="n">
        <v>47416</v>
      </c>
      <c r="C2495" s="177" t="n">
        <v>1408</v>
      </c>
      <c r="D2495" s="177" t="n">
        <v>8</v>
      </c>
      <c r="E2495" s="178" t="inlineStr">
        <is>
          <t>1408/08/04</t>
        </is>
      </c>
      <c r="F2495" s="134" t="inlineStr">
        <is>
          <t>1408/08</t>
        </is>
      </c>
      <c r="G2495" s="61" t="inlineStr">
        <is>
          <t>آبان</t>
        </is>
      </c>
      <c r="H2495" s="134" t="inlineStr">
        <is>
          <t>پاییز</t>
        </is>
      </c>
      <c r="I2495" s="134" t="inlineStr">
        <is>
          <t>پنجشنبه</t>
        </is>
      </c>
      <c r="J2495" s="134" t="inlineStr">
        <is>
          <t>بله</t>
        </is>
      </c>
    </row>
    <row r="2496">
      <c r="A2496" s="173" t="n">
        <v>47417</v>
      </c>
      <c r="B2496" s="174" t="n">
        <v>47417</v>
      </c>
      <c r="C2496" s="174" t="n">
        <v>1408</v>
      </c>
      <c r="D2496" s="174" t="n">
        <v>8</v>
      </c>
      <c r="E2496" s="175" t="inlineStr">
        <is>
          <t>1408/08/05</t>
        </is>
      </c>
      <c r="F2496" s="128" t="inlineStr">
        <is>
          <t>1408/08</t>
        </is>
      </c>
      <c r="G2496" s="58" t="inlineStr">
        <is>
          <t>آبان</t>
        </is>
      </c>
      <c r="H2496" s="128" t="inlineStr">
        <is>
          <t>پاییز</t>
        </is>
      </c>
      <c r="I2496" s="128" t="inlineStr">
        <is>
          <t>جمعه</t>
        </is>
      </c>
      <c r="J2496" s="128" t="inlineStr">
        <is>
          <t>بله</t>
        </is>
      </c>
    </row>
    <row r="2497">
      <c r="A2497" s="176" t="n">
        <v>47418</v>
      </c>
      <c r="B2497" s="177" t="n">
        <v>47418</v>
      </c>
      <c r="C2497" s="177" t="n">
        <v>1408</v>
      </c>
      <c r="D2497" s="177" t="n">
        <v>8</v>
      </c>
      <c r="E2497" s="178" t="inlineStr">
        <is>
          <t>1408/08/06</t>
        </is>
      </c>
      <c r="F2497" s="134" t="inlineStr">
        <is>
          <t>1408/08</t>
        </is>
      </c>
      <c r="G2497" s="61" t="inlineStr">
        <is>
          <t>آبان</t>
        </is>
      </c>
      <c r="H2497" s="134" t="inlineStr">
        <is>
          <t>پاییز</t>
        </is>
      </c>
      <c r="I2497" s="134" t="inlineStr">
        <is>
          <t>شنبه</t>
        </is>
      </c>
      <c r="J2497" s="134" t="inlineStr">
        <is>
          <t>خیر</t>
        </is>
      </c>
    </row>
    <row r="2498">
      <c r="A2498" s="173" t="n">
        <v>47419</v>
      </c>
      <c r="B2498" s="174" t="n">
        <v>47419</v>
      </c>
      <c r="C2498" s="174" t="n">
        <v>1408</v>
      </c>
      <c r="D2498" s="174" t="n">
        <v>8</v>
      </c>
      <c r="E2498" s="175" t="inlineStr">
        <is>
          <t>1408/08/07</t>
        </is>
      </c>
      <c r="F2498" s="128" t="inlineStr">
        <is>
          <t>1408/08</t>
        </is>
      </c>
      <c r="G2498" s="58" t="inlineStr">
        <is>
          <t>آبان</t>
        </is>
      </c>
      <c r="H2498" s="128" t="inlineStr">
        <is>
          <t>پاییز</t>
        </is>
      </c>
      <c r="I2498" s="128" t="inlineStr">
        <is>
          <t>یکشنبه</t>
        </is>
      </c>
      <c r="J2498" s="128" t="inlineStr">
        <is>
          <t>خیر</t>
        </is>
      </c>
    </row>
    <row r="2499">
      <c r="A2499" s="176" t="n">
        <v>47420</v>
      </c>
      <c r="B2499" s="177" t="n">
        <v>47420</v>
      </c>
      <c r="C2499" s="177" t="n">
        <v>1408</v>
      </c>
      <c r="D2499" s="177" t="n">
        <v>8</v>
      </c>
      <c r="E2499" s="178" t="inlineStr">
        <is>
          <t>1408/08/08</t>
        </is>
      </c>
      <c r="F2499" s="134" t="inlineStr">
        <is>
          <t>1408/08</t>
        </is>
      </c>
      <c r="G2499" s="61" t="inlineStr">
        <is>
          <t>آبان</t>
        </is>
      </c>
      <c r="H2499" s="134" t="inlineStr">
        <is>
          <t>پاییز</t>
        </is>
      </c>
      <c r="I2499" s="134" t="inlineStr">
        <is>
          <t>دوشنبه</t>
        </is>
      </c>
      <c r="J2499" s="134" t="inlineStr">
        <is>
          <t>بله</t>
        </is>
      </c>
    </row>
    <row r="2500">
      <c r="A2500" s="173" t="n">
        <v>47421</v>
      </c>
      <c r="B2500" s="174" t="n">
        <v>47421</v>
      </c>
      <c r="C2500" s="174" t="n">
        <v>1408</v>
      </c>
      <c r="D2500" s="174" t="n">
        <v>8</v>
      </c>
      <c r="E2500" s="175" t="inlineStr">
        <is>
          <t>1408/08/09</t>
        </is>
      </c>
      <c r="F2500" s="128" t="inlineStr">
        <is>
          <t>1408/08</t>
        </is>
      </c>
      <c r="G2500" s="58" t="inlineStr">
        <is>
          <t>آبان</t>
        </is>
      </c>
      <c r="H2500" s="128" t="inlineStr">
        <is>
          <t>پاییز</t>
        </is>
      </c>
      <c r="I2500" s="128" t="inlineStr">
        <is>
          <t>سه‌شنبه</t>
        </is>
      </c>
      <c r="J2500" s="128" t="inlineStr">
        <is>
          <t>بله</t>
        </is>
      </c>
    </row>
    <row r="2501">
      <c r="A2501" s="176" t="n">
        <v>47422</v>
      </c>
      <c r="B2501" s="177" t="n">
        <v>47422</v>
      </c>
      <c r="C2501" s="177" t="n">
        <v>1408</v>
      </c>
      <c r="D2501" s="177" t="n">
        <v>8</v>
      </c>
      <c r="E2501" s="178" t="inlineStr">
        <is>
          <t>1408/08/10</t>
        </is>
      </c>
      <c r="F2501" s="134" t="inlineStr">
        <is>
          <t>1408/08</t>
        </is>
      </c>
      <c r="G2501" s="61" t="inlineStr">
        <is>
          <t>آبان</t>
        </is>
      </c>
      <c r="H2501" s="134" t="inlineStr">
        <is>
          <t>پاییز</t>
        </is>
      </c>
      <c r="I2501" s="134" t="inlineStr">
        <is>
          <t>چهارشنبه</t>
        </is>
      </c>
      <c r="J2501" s="134" t="inlineStr">
        <is>
          <t>بله</t>
        </is>
      </c>
    </row>
    <row r="2502">
      <c r="A2502" s="173" t="n">
        <v>47423</v>
      </c>
      <c r="B2502" s="174" t="n">
        <v>47423</v>
      </c>
      <c r="C2502" s="174" t="n">
        <v>1408</v>
      </c>
      <c r="D2502" s="174" t="n">
        <v>8</v>
      </c>
      <c r="E2502" s="175" t="inlineStr">
        <is>
          <t>1408/08/11</t>
        </is>
      </c>
      <c r="F2502" s="128" t="inlineStr">
        <is>
          <t>1408/08</t>
        </is>
      </c>
      <c r="G2502" s="58" t="inlineStr">
        <is>
          <t>آبان</t>
        </is>
      </c>
      <c r="H2502" s="128" t="inlineStr">
        <is>
          <t>پاییز</t>
        </is>
      </c>
      <c r="I2502" s="128" t="inlineStr">
        <is>
          <t>پنجشنبه</t>
        </is>
      </c>
      <c r="J2502" s="128" t="inlineStr">
        <is>
          <t>بله</t>
        </is>
      </c>
    </row>
    <row r="2503">
      <c r="A2503" s="176" t="n">
        <v>47424</v>
      </c>
      <c r="B2503" s="177" t="n">
        <v>47424</v>
      </c>
      <c r="C2503" s="177" t="n">
        <v>1408</v>
      </c>
      <c r="D2503" s="177" t="n">
        <v>8</v>
      </c>
      <c r="E2503" s="178" t="inlineStr">
        <is>
          <t>1408/08/12</t>
        </is>
      </c>
      <c r="F2503" s="134" t="inlineStr">
        <is>
          <t>1408/08</t>
        </is>
      </c>
      <c r="G2503" s="61" t="inlineStr">
        <is>
          <t>آبان</t>
        </is>
      </c>
      <c r="H2503" s="134" t="inlineStr">
        <is>
          <t>پاییز</t>
        </is>
      </c>
      <c r="I2503" s="134" t="inlineStr">
        <is>
          <t>جمعه</t>
        </is>
      </c>
      <c r="J2503" s="134" t="inlineStr">
        <is>
          <t>بله</t>
        </is>
      </c>
    </row>
    <row r="2504">
      <c r="A2504" s="173" t="n">
        <v>47425</v>
      </c>
      <c r="B2504" s="174" t="n">
        <v>47425</v>
      </c>
      <c r="C2504" s="174" t="n">
        <v>1408</v>
      </c>
      <c r="D2504" s="174" t="n">
        <v>8</v>
      </c>
      <c r="E2504" s="175" t="inlineStr">
        <is>
          <t>1408/08/13</t>
        </is>
      </c>
      <c r="F2504" s="128" t="inlineStr">
        <is>
          <t>1408/08</t>
        </is>
      </c>
      <c r="G2504" s="58" t="inlineStr">
        <is>
          <t>آبان</t>
        </is>
      </c>
      <c r="H2504" s="128" t="inlineStr">
        <is>
          <t>پاییز</t>
        </is>
      </c>
      <c r="I2504" s="128" t="inlineStr">
        <is>
          <t>شنبه</t>
        </is>
      </c>
      <c r="J2504" s="128" t="inlineStr">
        <is>
          <t>خیر</t>
        </is>
      </c>
    </row>
    <row r="2505">
      <c r="A2505" s="176" t="n">
        <v>47426</v>
      </c>
      <c r="B2505" s="177" t="n">
        <v>47426</v>
      </c>
      <c r="C2505" s="177" t="n">
        <v>1408</v>
      </c>
      <c r="D2505" s="177" t="n">
        <v>8</v>
      </c>
      <c r="E2505" s="178" t="inlineStr">
        <is>
          <t>1408/08/14</t>
        </is>
      </c>
      <c r="F2505" s="134" t="inlineStr">
        <is>
          <t>1408/08</t>
        </is>
      </c>
      <c r="G2505" s="61" t="inlineStr">
        <is>
          <t>آبان</t>
        </is>
      </c>
      <c r="H2505" s="134" t="inlineStr">
        <is>
          <t>پاییز</t>
        </is>
      </c>
      <c r="I2505" s="134" t="inlineStr">
        <is>
          <t>یکشنبه</t>
        </is>
      </c>
      <c r="J2505" s="134" t="inlineStr">
        <is>
          <t>خیر</t>
        </is>
      </c>
    </row>
    <row r="2506">
      <c r="A2506" s="173" t="n">
        <v>47427</v>
      </c>
      <c r="B2506" s="174" t="n">
        <v>47427</v>
      </c>
      <c r="C2506" s="174" t="n">
        <v>1408</v>
      </c>
      <c r="D2506" s="174" t="n">
        <v>8</v>
      </c>
      <c r="E2506" s="175" t="inlineStr">
        <is>
          <t>1408/08/15</t>
        </is>
      </c>
      <c r="F2506" s="128" t="inlineStr">
        <is>
          <t>1408/08</t>
        </is>
      </c>
      <c r="G2506" s="58" t="inlineStr">
        <is>
          <t>آبان</t>
        </is>
      </c>
      <c r="H2506" s="128" t="inlineStr">
        <is>
          <t>پاییز</t>
        </is>
      </c>
      <c r="I2506" s="128" t="inlineStr">
        <is>
          <t>دوشنبه</t>
        </is>
      </c>
      <c r="J2506" s="128" t="inlineStr">
        <is>
          <t>بله</t>
        </is>
      </c>
    </row>
    <row r="2507">
      <c r="A2507" s="176" t="n">
        <v>47428</v>
      </c>
      <c r="B2507" s="177" t="n">
        <v>47428</v>
      </c>
      <c r="C2507" s="177" t="n">
        <v>1408</v>
      </c>
      <c r="D2507" s="177" t="n">
        <v>8</v>
      </c>
      <c r="E2507" s="178" t="inlineStr">
        <is>
          <t>1408/08/16</t>
        </is>
      </c>
      <c r="F2507" s="134" t="inlineStr">
        <is>
          <t>1408/08</t>
        </is>
      </c>
      <c r="G2507" s="61" t="inlineStr">
        <is>
          <t>آبان</t>
        </is>
      </c>
      <c r="H2507" s="134" t="inlineStr">
        <is>
          <t>پاییز</t>
        </is>
      </c>
      <c r="I2507" s="134" t="inlineStr">
        <is>
          <t>سه‌شنبه</t>
        </is>
      </c>
      <c r="J2507" s="134" t="inlineStr">
        <is>
          <t>بله</t>
        </is>
      </c>
    </row>
    <row r="2508">
      <c r="A2508" s="173" t="n">
        <v>47429</v>
      </c>
      <c r="B2508" s="174" t="n">
        <v>47429</v>
      </c>
      <c r="C2508" s="174" t="n">
        <v>1408</v>
      </c>
      <c r="D2508" s="174" t="n">
        <v>8</v>
      </c>
      <c r="E2508" s="175" t="inlineStr">
        <is>
          <t>1408/08/17</t>
        </is>
      </c>
      <c r="F2508" s="128" t="inlineStr">
        <is>
          <t>1408/08</t>
        </is>
      </c>
      <c r="G2508" s="58" t="inlineStr">
        <is>
          <t>آبان</t>
        </is>
      </c>
      <c r="H2508" s="128" t="inlineStr">
        <is>
          <t>پاییز</t>
        </is>
      </c>
      <c r="I2508" s="128" t="inlineStr">
        <is>
          <t>چهارشنبه</t>
        </is>
      </c>
      <c r="J2508" s="128" t="inlineStr">
        <is>
          <t>بله</t>
        </is>
      </c>
    </row>
    <row r="2509">
      <c r="A2509" s="176" t="n">
        <v>47430</v>
      </c>
      <c r="B2509" s="177" t="n">
        <v>47430</v>
      </c>
      <c r="C2509" s="177" t="n">
        <v>1408</v>
      </c>
      <c r="D2509" s="177" t="n">
        <v>8</v>
      </c>
      <c r="E2509" s="178" t="inlineStr">
        <is>
          <t>1408/08/18</t>
        </is>
      </c>
      <c r="F2509" s="134" t="inlineStr">
        <is>
          <t>1408/08</t>
        </is>
      </c>
      <c r="G2509" s="61" t="inlineStr">
        <is>
          <t>آبان</t>
        </is>
      </c>
      <c r="H2509" s="134" t="inlineStr">
        <is>
          <t>پاییز</t>
        </is>
      </c>
      <c r="I2509" s="134" t="inlineStr">
        <is>
          <t>پنجشنبه</t>
        </is>
      </c>
      <c r="J2509" s="134" t="inlineStr">
        <is>
          <t>بله</t>
        </is>
      </c>
    </row>
    <row r="2510">
      <c r="A2510" s="173" t="n">
        <v>47431</v>
      </c>
      <c r="B2510" s="174" t="n">
        <v>47431</v>
      </c>
      <c r="C2510" s="174" t="n">
        <v>1408</v>
      </c>
      <c r="D2510" s="174" t="n">
        <v>8</v>
      </c>
      <c r="E2510" s="175" t="inlineStr">
        <is>
          <t>1408/08/19</t>
        </is>
      </c>
      <c r="F2510" s="128" t="inlineStr">
        <is>
          <t>1408/08</t>
        </is>
      </c>
      <c r="G2510" s="58" t="inlineStr">
        <is>
          <t>آبان</t>
        </is>
      </c>
      <c r="H2510" s="128" t="inlineStr">
        <is>
          <t>پاییز</t>
        </is>
      </c>
      <c r="I2510" s="128" t="inlineStr">
        <is>
          <t>جمعه</t>
        </is>
      </c>
      <c r="J2510" s="128" t="inlineStr">
        <is>
          <t>بله</t>
        </is>
      </c>
    </row>
    <row r="2511">
      <c r="A2511" s="176" t="n">
        <v>47432</v>
      </c>
      <c r="B2511" s="177" t="n">
        <v>47432</v>
      </c>
      <c r="C2511" s="177" t="n">
        <v>1408</v>
      </c>
      <c r="D2511" s="177" t="n">
        <v>8</v>
      </c>
      <c r="E2511" s="178" t="inlineStr">
        <is>
          <t>1408/08/20</t>
        </is>
      </c>
      <c r="F2511" s="134" t="inlineStr">
        <is>
          <t>1408/08</t>
        </is>
      </c>
      <c r="G2511" s="61" t="inlineStr">
        <is>
          <t>آبان</t>
        </is>
      </c>
      <c r="H2511" s="134" t="inlineStr">
        <is>
          <t>پاییز</t>
        </is>
      </c>
      <c r="I2511" s="134" t="inlineStr">
        <is>
          <t>شنبه</t>
        </is>
      </c>
      <c r="J2511" s="134" t="inlineStr">
        <is>
          <t>خیر</t>
        </is>
      </c>
    </row>
    <row r="2512">
      <c r="A2512" s="173" t="n">
        <v>47433</v>
      </c>
      <c r="B2512" s="174" t="n">
        <v>47433</v>
      </c>
      <c r="C2512" s="174" t="n">
        <v>1408</v>
      </c>
      <c r="D2512" s="174" t="n">
        <v>8</v>
      </c>
      <c r="E2512" s="175" t="inlineStr">
        <is>
          <t>1408/08/21</t>
        </is>
      </c>
      <c r="F2512" s="128" t="inlineStr">
        <is>
          <t>1408/08</t>
        </is>
      </c>
      <c r="G2512" s="58" t="inlineStr">
        <is>
          <t>آبان</t>
        </is>
      </c>
      <c r="H2512" s="128" t="inlineStr">
        <is>
          <t>پاییز</t>
        </is>
      </c>
      <c r="I2512" s="128" t="inlineStr">
        <is>
          <t>یکشنبه</t>
        </is>
      </c>
      <c r="J2512" s="128" t="inlineStr">
        <is>
          <t>خیر</t>
        </is>
      </c>
    </row>
    <row r="2513">
      <c r="A2513" s="176" t="n">
        <v>47434</v>
      </c>
      <c r="B2513" s="177" t="n">
        <v>47434</v>
      </c>
      <c r="C2513" s="177" t="n">
        <v>1408</v>
      </c>
      <c r="D2513" s="177" t="n">
        <v>8</v>
      </c>
      <c r="E2513" s="178" t="inlineStr">
        <is>
          <t>1408/08/22</t>
        </is>
      </c>
      <c r="F2513" s="134" t="inlineStr">
        <is>
          <t>1408/08</t>
        </is>
      </c>
      <c r="G2513" s="61" t="inlineStr">
        <is>
          <t>آبان</t>
        </is>
      </c>
      <c r="H2513" s="134" t="inlineStr">
        <is>
          <t>پاییز</t>
        </is>
      </c>
      <c r="I2513" s="134" t="inlineStr">
        <is>
          <t>دوشنبه</t>
        </is>
      </c>
      <c r="J2513" s="134" t="inlineStr">
        <is>
          <t>بله</t>
        </is>
      </c>
    </row>
    <row r="2514">
      <c r="A2514" s="173" t="n">
        <v>47435</v>
      </c>
      <c r="B2514" s="174" t="n">
        <v>47435</v>
      </c>
      <c r="C2514" s="174" t="n">
        <v>1408</v>
      </c>
      <c r="D2514" s="174" t="n">
        <v>8</v>
      </c>
      <c r="E2514" s="175" t="inlineStr">
        <is>
          <t>1408/08/23</t>
        </is>
      </c>
      <c r="F2514" s="128" t="inlineStr">
        <is>
          <t>1408/08</t>
        </is>
      </c>
      <c r="G2514" s="58" t="inlineStr">
        <is>
          <t>آبان</t>
        </is>
      </c>
      <c r="H2514" s="128" t="inlineStr">
        <is>
          <t>پاییز</t>
        </is>
      </c>
      <c r="I2514" s="128" t="inlineStr">
        <is>
          <t>سه‌شنبه</t>
        </is>
      </c>
      <c r="J2514" s="128" t="inlineStr">
        <is>
          <t>بله</t>
        </is>
      </c>
    </row>
    <row r="2515">
      <c r="A2515" s="176" t="n">
        <v>47436</v>
      </c>
      <c r="B2515" s="177" t="n">
        <v>47436</v>
      </c>
      <c r="C2515" s="177" t="n">
        <v>1408</v>
      </c>
      <c r="D2515" s="177" t="n">
        <v>8</v>
      </c>
      <c r="E2515" s="178" t="inlineStr">
        <is>
          <t>1408/08/24</t>
        </is>
      </c>
      <c r="F2515" s="134" t="inlineStr">
        <is>
          <t>1408/08</t>
        </is>
      </c>
      <c r="G2515" s="61" t="inlineStr">
        <is>
          <t>آبان</t>
        </is>
      </c>
      <c r="H2515" s="134" t="inlineStr">
        <is>
          <t>پاییز</t>
        </is>
      </c>
      <c r="I2515" s="134" t="inlineStr">
        <is>
          <t>چهارشنبه</t>
        </is>
      </c>
      <c r="J2515" s="134" t="inlineStr">
        <is>
          <t>بله</t>
        </is>
      </c>
    </row>
    <row r="2516">
      <c r="A2516" s="173" t="n">
        <v>47437</v>
      </c>
      <c r="B2516" s="174" t="n">
        <v>47437</v>
      </c>
      <c r="C2516" s="174" t="n">
        <v>1408</v>
      </c>
      <c r="D2516" s="174" t="n">
        <v>8</v>
      </c>
      <c r="E2516" s="175" t="inlineStr">
        <is>
          <t>1408/08/25</t>
        </is>
      </c>
      <c r="F2516" s="128" t="inlineStr">
        <is>
          <t>1408/08</t>
        </is>
      </c>
      <c r="G2516" s="58" t="inlineStr">
        <is>
          <t>آبان</t>
        </is>
      </c>
      <c r="H2516" s="128" t="inlineStr">
        <is>
          <t>پاییز</t>
        </is>
      </c>
      <c r="I2516" s="128" t="inlineStr">
        <is>
          <t>پنجشنبه</t>
        </is>
      </c>
      <c r="J2516" s="128" t="inlineStr">
        <is>
          <t>بله</t>
        </is>
      </c>
    </row>
    <row r="2517">
      <c r="A2517" s="176" t="n">
        <v>47438</v>
      </c>
      <c r="B2517" s="177" t="n">
        <v>47438</v>
      </c>
      <c r="C2517" s="177" t="n">
        <v>1408</v>
      </c>
      <c r="D2517" s="177" t="n">
        <v>8</v>
      </c>
      <c r="E2517" s="178" t="inlineStr">
        <is>
          <t>1408/08/26</t>
        </is>
      </c>
      <c r="F2517" s="134" t="inlineStr">
        <is>
          <t>1408/08</t>
        </is>
      </c>
      <c r="G2517" s="61" t="inlineStr">
        <is>
          <t>آبان</t>
        </is>
      </c>
      <c r="H2517" s="134" t="inlineStr">
        <is>
          <t>پاییز</t>
        </is>
      </c>
      <c r="I2517" s="134" t="inlineStr">
        <is>
          <t>جمعه</t>
        </is>
      </c>
      <c r="J2517" s="134" t="inlineStr">
        <is>
          <t>بله</t>
        </is>
      </c>
    </row>
    <row r="2518">
      <c r="A2518" s="173" t="n">
        <v>47439</v>
      </c>
      <c r="B2518" s="174" t="n">
        <v>47439</v>
      </c>
      <c r="C2518" s="174" t="n">
        <v>1408</v>
      </c>
      <c r="D2518" s="174" t="n">
        <v>8</v>
      </c>
      <c r="E2518" s="175" t="inlineStr">
        <is>
          <t>1408/08/27</t>
        </is>
      </c>
      <c r="F2518" s="128" t="inlineStr">
        <is>
          <t>1408/08</t>
        </is>
      </c>
      <c r="G2518" s="58" t="inlineStr">
        <is>
          <t>آبان</t>
        </is>
      </c>
      <c r="H2518" s="128" t="inlineStr">
        <is>
          <t>پاییز</t>
        </is>
      </c>
      <c r="I2518" s="128" t="inlineStr">
        <is>
          <t>شنبه</t>
        </is>
      </c>
      <c r="J2518" s="128" t="inlineStr">
        <is>
          <t>خیر</t>
        </is>
      </c>
    </row>
    <row r="2519">
      <c r="A2519" s="176" t="n">
        <v>47440</v>
      </c>
      <c r="B2519" s="177" t="n">
        <v>47440</v>
      </c>
      <c r="C2519" s="177" t="n">
        <v>1408</v>
      </c>
      <c r="D2519" s="177" t="n">
        <v>8</v>
      </c>
      <c r="E2519" s="178" t="inlineStr">
        <is>
          <t>1408/08/28</t>
        </is>
      </c>
      <c r="F2519" s="134" t="inlineStr">
        <is>
          <t>1408/08</t>
        </is>
      </c>
      <c r="G2519" s="61" t="inlineStr">
        <is>
          <t>آبان</t>
        </is>
      </c>
      <c r="H2519" s="134" t="inlineStr">
        <is>
          <t>پاییز</t>
        </is>
      </c>
      <c r="I2519" s="134" t="inlineStr">
        <is>
          <t>یکشنبه</t>
        </is>
      </c>
      <c r="J2519" s="134" t="inlineStr">
        <is>
          <t>خیر</t>
        </is>
      </c>
    </row>
    <row r="2520">
      <c r="A2520" s="173" t="n">
        <v>47441</v>
      </c>
      <c r="B2520" s="174" t="n">
        <v>47441</v>
      </c>
      <c r="C2520" s="174" t="n">
        <v>1408</v>
      </c>
      <c r="D2520" s="174" t="n">
        <v>8</v>
      </c>
      <c r="E2520" s="175" t="inlineStr">
        <is>
          <t>1408/08/29</t>
        </is>
      </c>
      <c r="F2520" s="128" t="inlineStr">
        <is>
          <t>1408/08</t>
        </is>
      </c>
      <c r="G2520" s="58" t="inlineStr">
        <is>
          <t>آبان</t>
        </is>
      </c>
      <c r="H2520" s="128" t="inlineStr">
        <is>
          <t>پاییز</t>
        </is>
      </c>
      <c r="I2520" s="128" t="inlineStr">
        <is>
          <t>دوشنبه</t>
        </is>
      </c>
      <c r="J2520" s="128" t="inlineStr">
        <is>
          <t>بله</t>
        </is>
      </c>
    </row>
    <row r="2521">
      <c r="A2521" s="176" t="n">
        <v>47442</v>
      </c>
      <c r="B2521" s="177" t="n">
        <v>47442</v>
      </c>
      <c r="C2521" s="177" t="n">
        <v>1408</v>
      </c>
      <c r="D2521" s="177" t="n">
        <v>8</v>
      </c>
      <c r="E2521" s="178" t="inlineStr">
        <is>
          <t>1408/08/30</t>
        </is>
      </c>
      <c r="F2521" s="134" t="inlineStr">
        <is>
          <t>1408/08</t>
        </is>
      </c>
      <c r="G2521" s="61" t="inlineStr">
        <is>
          <t>آبان</t>
        </is>
      </c>
      <c r="H2521" s="134" t="inlineStr">
        <is>
          <t>پاییز</t>
        </is>
      </c>
      <c r="I2521" s="134" t="inlineStr">
        <is>
          <t>سه‌شنبه</t>
        </is>
      </c>
      <c r="J2521" s="134" t="inlineStr">
        <is>
          <t>بله</t>
        </is>
      </c>
    </row>
    <row r="2522">
      <c r="A2522" s="173" t="n">
        <v>47443</v>
      </c>
      <c r="B2522" s="174" t="n">
        <v>47443</v>
      </c>
      <c r="C2522" s="174" t="n">
        <v>1408</v>
      </c>
      <c r="D2522" s="174" t="n">
        <v>9</v>
      </c>
      <c r="E2522" s="175" t="inlineStr">
        <is>
          <t>1408/09/01</t>
        </is>
      </c>
      <c r="F2522" s="128" t="inlineStr">
        <is>
          <t>1408/09</t>
        </is>
      </c>
      <c r="G2522" s="58" t="inlineStr">
        <is>
          <t>آذر</t>
        </is>
      </c>
      <c r="H2522" s="128" t="inlineStr">
        <is>
          <t>پاییز</t>
        </is>
      </c>
      <c r="I2522" s="128" t="inlineStr">
        <is>
          <t>چهارشنبه</t>
        </is>
      </c>
      <c r="J2522" s="128" t="inlineStr">
        <is>
          <t>بله</t>
        </is>
      </c>
    </row>
    <row r="2523">
      <c r="A2523" s="176" t="n">
        <v>47444</v>
      </c>
      <c r="B2523" s="177" t="n">
        <v>47444</v>
      </c>
      <c r="C2523" s="177" t="n">
        <v>1408</v>
      </c>
      <c r="D2523" s="177" t="n">
        <v>9</v>
      </c>
      <c r="E2523" s="178" t="inlineStr">
        <is>
          <t>1408/09/02</t>
        </is>
      </c>
      <c r="F2523" s="134" t="inlineStr">
        <is>
          <t>1408/09</t>
        </is>
      </c>
      <c r="G2523" s="61" t="inlineStr">
        <is>
          <t>آذر</t>
        </is>
      </c>
      <c r="H2523" s="134" t="inlineStr">
        <is>
          <t>پاییز</t>
        </is>
      </c>
      <c r="I2523" s="134" t="inlineStr">
        <is>
          <t>پنجشنبه</t>
        </is>
      </c>
      <c r="J2523" s="134" t="inlineStr">
        <is>
          <t>بله</t>
        </is>
      </c>
    </row>
    <row r="2524">
      <c r="A2524" s="173" t="n">
        <v>47445</v>
      </c>
      <c r="B2524" s="174" t="n">
        <v>47445</v>
      </c>
      <c r="C2524" s="174" t="n">
        <v>1408</v>
      </c>
      <c r="D2524" s="174" t="n">
        <v>9</v>
      </c>
      <c r="E2524" s="175" t="inlineStr">
        <is>
          <t>1408/09/03</t>
        </is>
      </c>
      <c r="F2524" s="128" t="inlineStr">
        <is>
          <t>1408/09</t>
        </is>
      </c>
      <c r="G2524" s="58" t="inlineStr">
        <is>
          <t>آذر</t>
        </is>
      </c>
      <c r="H2524" s="128" t="inlineStr">
        <is>
          <t>پاییز</t>
        </is>
      </c>
      <c r="I2524" s="128" t="inlineStr">
        <is>
          <t>جمعه</t>
        </is>
      </c>
      <c r="J2524" s="128" t="inlineStr">
        <is>
          <t>بله</t>
        </is>
      </c>
    </row>
    <row r="2525">
      <c r="A2525" s="176" t="n">
        <v>47446</v>
      </c>
      <c r="B2525" s="177" t="n">
        <v>47446</v>
      </c>
      <c r="C2525" s="177" t="n">
        <v>1408</v>
      </c>
      <c r="D2525" s="177" t="n">
        <v>9</v>
      </c>
      <c r="E2525" s="178" t="inlineStr">
        <is>
          <t>1408/09/04</t>
        </is>
      </c>
      <c r="F2525" s="134" t="inlineStr">
        <is>
          <t>1408/09</t>
        </is>
      </c>
      <c r="G2525" s="61" t="inlineStr">
        <is>
          <t>آذر</t>
        </is>
      </c>
      <c r="H2525" s="134" t="inlineStr">
        <is>
          <t>پاییز</t>
        </is>
      </c>
      <c r="I2525" s="134" t="inlineStr">
        <is>
          <t>شنبه</t>
        </is>
      </c>
      <c r="J2525" s="134" t="inlineStr">
        <is>
          <t>خیر</t>
        </is>
      </c>
    </row>
    <row r="2526">
      <c r="A2526" s="173" t="n">
        <v>47447</v>
      </c>
      <c r="B2526" s="174" t="n">
        <v>47447</v>
      </c>
      <c r="C2526" s="174" t="n">
        <v>1408</v>
      </c>
      <c r="D2526" s="174" t="n">
        <v>9</v>
      </c>
      <c r="E2526" s="175" t="inlineStr">
        <is>
          <t>1408/09/05</t>
        </is>
      </c>
      <c r="F2526" s="128" t="inlineStr">
        <is>
          <t>1408/09</t>
        </is>
      </c>
      <c r="G2526" s="58" t="inlineStr">
        <is>
          <t>آذر</t>
        </is>
      </c>
      <c r="H2526" s="128" t="inlineStr">
        <is>
          <t>پاییز</t>
        </is>
      </c>
      <c r="I2526" s="128" t="inlineStr">
        <is>
          <t>یکشنبه</t>
        </is>
      </c>
      <c r="J2526" s="128" t="inlineStr">
        <is>
          <t>خیر</t>
        </is>
      </c>
    </row>
    <row r="2527">
      <c r="A2527" s="176" t="n">
        <v>47448</v>
      </c>
      <c r="B2527" s="177" t="n">
        <v>47448</v>
      </c>
      <c r="C2527" s="177" t="n">
        <v>1408</v>
      </c>
      <c r="D2527" s="177" t="n">
        <v>9</v>
      </c>
      <c r="E2527" s="178" t="inlineStr">
        <is>
          <t>1408/09/06</t>
        </is>
      </c>
      <c r="F2527" s="134" t="inlineStr">
        <is>
          <t>1408/09</t>
        </is>
      </c>
      <c r="G2527" s="61" t="inlineStr">
        <is>
          <t>آذر</t>
        </is>
      </c>
      <c r="H2527" s="134" t="inlineStr">
        <is>
          <t>پاییز</t>
        </is>
      </c>
      <c r="I2527" s="134" t="inlineStr">
        <is>
          <t>دوشنبه</t>
        </is>
      </c>
      <c r="J2527" s="134" t="inlineStr">
        <is>
          <t>بله</t>
        </is>
      </c>
    </row>
    <row r="2528">
      <c r="A2528" s="173" t="n">
        <v>47449</v>
      </c>
      <c r="B2528" s="174" t="n">
        <v>47449</v>
      </c>
      <c r="C2528" s="174" t="n">
        <v>1408</v>
      </c>
      <c r="D2528" s="174" t="n">
        <v>9</v>
      </c>
      <c r="E2528" s="175" t="inlineStr">
        <is>
          <t>1408/09/07</t>
        </is>
      </c>
      <c r="F2528" s="128" t="inlineStr">
        <is>
          <t>1408/09</t>
        </is>
      </c>
      <c r="G2528" s="58" t="inlineStr">
        <is>
          <t>آذر</t>
        </is>
      </c>
      <c r="H2528" s="128" t="inlineStr">
        <is>
          <t>پاییز</t>
        </is>
      </c>
      <c r="I2528" s="128" t="inlineStr">
        <is>
          <t>سه‌شنبه</t>
        </is>
      </c>
      <c r="J2528" s="128" t="inlineStr">
        <is>
          <t>بله</t>
        </is>
      </c>
    </row>
    <row r="2529">
      <c r="A2529" s="176" t="n">
        <v>47450</v>
      </c>
      <c r="B2529" s="177" t="n">
        <v>47450</v>
      </c>
      <c r="C2529" s="177" t="n">
        <v>1408</v>
      </c>
      <c r="D2529" s="177" t="n">
        <v>9</v>
      </c>
      <c r="E2529" s="178" t="inlineStr">
        <is>
          <t>1408/09/08</t>
        </is>
      </c>
      <c r="F2529" s="134" t="inlineStr">
        <is>
          <t>1408/09</t>
        </is>
      </c>
      <c r="G2529" s="61" t="inlineStr">
        <is>
          <t>آذر</t>
        </is>
      </c>
      <c r="H2529" s="134" t="inlineStr">
        <is>
          <t>پاییز</t>
        </is>
      </c>
      <c r="I2529" s="134" t="inlineStr">
        <is>
          <t>چهارشنبه</t>
        </is>
      </c>
      <c r="J2529" s="134" t="inlineStr">
        <is>
          <t>بله</t>
        </is>
      </c>
    </row>
    <row r="2530">
      <c r="A2530" s="173" t="n">
        <v>47451</v>
      </c>
      <c r="B2530" s="174" t="n">
        <v>47451</v>
      </c>
      <c r="C2530" s="174" t="n">
        <v>1408</v>
      </c>
      <c r="D2530" s="174" t="n">
        <v>9</v>
      </c>
      <c r="E2530" s="175" t="inlineStr">
        <is>
          <t>1408/09/09</t>
        </is>
      </c>
      <c r="F2530" s="128" t="inlineStr">
        <is>
          <t>1408/09</t>
        </is>
      </c>
      <c r="G2530" s="58" t="inlineStr">
        <is>
          <t>آذر</t>
        </is>
      </c>
      <c r="H2530" s="128" t="inlineStr">
        <is>
          <t>پاییز</t>
        </is>
      </c>
      <c r="I2530" s="128" t="inlineStr">
        <is>
          <t>پنجشنبه</t>
        </is>
      </c>
      <c r="J2530" s="128" t="inlineStr">
        <is>
          <t>بله</t>
        </is>
      </c>
    </row>
    <row r="2531">
      <c r="A2531" s="176" t="n">
        <v>47452</v>
      </c>
      <c r="B2531" s="177" t="n">
        <v>47452</v>
      </c>
      <c r="C2531" s="177" t="n">
        <v>1408</v>
      </c>
      <c r="D2531" s="177" t="n">
        <v>9</v>
      </c>
      <c r="E2531" s="178" t="inlineStr">
        <is>
          <t>1408/09/10</t>
        </is>
      </c>
      <c r="F2531" s="134" t="inlineStr">
        <is>
          <t>1408/09</t>
        </is>
      </c>
      <c r="G2531" s="61" t="inlineStr">
        <is>
          <t>آذر</t>
        </is>
      </c>
      <c r="H2531" s="134" t="inlineStr">
        <is>
          <t>پاییز</t>
        </is>
      </c>
      <c r="I2531" s="134" t="inlineStr">
        <is>
          <t>جمعه</t>
        </is>
      </c>
      <c r="J2531" s="134" t="inlineStr">
        <is>
          <t>بله</t>
        </is>
      </c>
    </row>
    <row r="2532">
      <c r="A2532" s="173" t="n">
        <v>47453</v>
      </c>
      <c r="B2532" s="174" t="n">
        <v>47453</v>
      </c>
      <c r="C2532" s="174" t="n">
        <v>1408</v>
      </c>
      <c r="D2532" s="174" t="n">
        <v>9</v>
      </c>
      <c r="E2532" s="175" t="inlineStr">
        <is>
          <t>1408/09/11</t>
        </is>
      </c>
      <c r="F2532" s="128" t="inlineStr">
        <is>
          <t>1408/09</t>
        </is>
      </c>
      <c r="G2532" s="58" t="inlineStr">
        <is>
          <t>آذر</t>
        </is>
      </c>
      <c r="H2532" s="128" t="inlineStr">
        <is>
          <t>پاییز</t>
        </is>
      </c>
      <c r="I2532" s="128" t="inlineStr">
        <is>
          <t>شنبه</t>
        </is>
      </c>
      <c r="J2532" s="128" t="inlineStr">
        <is>
          <t>خیر</t>
        </is>
      </c>
    </row>
    <row r="2533">
      <c r="A2533" s="176" t="n">
        <v>47454</v>
      </c>
      <c r="B2533" s="177" t="n">
        <v>47454</v>
      </c>
      <c r="C2533" s="177" t="n">
        <v>1408</v>
      </c>
      <c r="D2533" s="177" t="n">
        <v>9</v>
      </c>
      <c r="E2533" s="178" t="inlineStr">
        <is>
          <t>1408/09/12</t>
        </is>
      </c>
      <c r="F2533" s="134" t="inlineStr">
        <is>
          <t>1408/09</t>
        </is>
      </c>
      <c r="G2533" s="61" t="inlineStr">
        <is>
          <t>آذر</t>
        </is>
      </c>
      <c r="H2533" s="134" t="inlineStr">
        <is>
          <t>پاییز</t>
        </is>
      </c>
      <c r="I2533" s="134" t="inlineStr">
        <is>
          <t>یکشنبه</t>
        </is>
      </c>
      <c r="J2533" s="134" t="inlineStr">
        <is>
          <t>خیر</t>
        </is>
      </c>
    </row>
    <row r="2534">
      <c r="A2534" s="173" t="n">
        <v>47455</v>
      </c>
      <c r="B2534" s="174" t="n">
        <v>47455</v>
      </c>
      <c r="C2534" s="174" t="n">
        <v>1408</v>
      </c>
      <c r="D2534" s="174" t="n">
        <v>9</v>
      </c>
      <c r="E2534" s="175" t="inlineStr">
        <is>
          <t>1408/09/13</t>
        </is>
      </c>
      <c r="F2534" s="128" t="inlineStr">
        <is>
          <t>1408/09</t>
        </is>
      </c>
      <c r="G2534" s="58" t="inlineStr">
        <is>
          <t>آذر</t>
        </is>
      </c>
      <c r="H2534" s="128" t="inlineStr">
        <is>
          <t>پاییز</t>
        </is>
      </c>
      <c r="I2534" s="128" t="inlineStr">
        <is>
          <t>دوشنبه</t>
        </is>
      </c>
      <c r="J2534" s="128" t="inlineStr">
        <is>
          <t>بله</t>
        </is>
      </c>
    </row>
    <row r="2535">
      <c r="A2535" s="176" t="n">
        <v>47456</v>
      </c>
      <c r="B2535" s="177" t="n">
        <v>47456</v>
      </c>
      <c r="C2535" s="177" t="n">
        <v>1408</v>
      </c>
      <c r="D2535" s="177" t="n">
        <v>9</v>
      </c>
      <c r="E2535" s="178" t="inlineStr">
        <is>
          <t>1408/09/14</t>
        </is>
      </c>
      <c r="F2535" s="134" t="inlineStr">
        <is>
          <t>1408/09</t>
        </is>
      </c>
      <c r="G2535" s="61" t="inlineStr">
        <is>
          <t>آذر</t>
        </is>
      </c>
      <c r="H2535" s="134" t="inlineStr">
        <is>
          <t>پاییز</t>
        </is>
      </c>
      <c r="I2535" s="134" t="inlineStr">
        <is>
          <t>سه‌شنبه</t>
        </is>
      </c>
      <c r="J2535" s="134" t="inlineStr">
        <is>
          <t>بله</t>
        </is>
      </c>
    </row>
    <row r="2536">
      <c r="A2536" s="173" t="n">
        <v>47457</v>
      </c>
      <c r="B2536" s="174" t="n">
        <v>47457</v>
      </c>
      <c r="C2536" s="174" t="n">
        <v>1408</v>
      </c>
      <c r="D2536" s="174" t="n">
        <v>9</v>
      </c>
      <c r="E2536" s="175" t="inlineStr">
        <is>
          <t>1408/09/15</t>
        </is>
      </c>
      <c r="F2536" s="128" t="inlineStr">
        <is>
          <t>1408/09</t>
        </is>
      </c>
      <c r="G2536" s="58" t="inlineStr">
        <is>
          <t>آذر</t>
        </is>
      </c>
      <c r="H2536" s="128" t="inlineStr">
        <is>
          <t>پاییز</t>
        </is>
      </c>
      <c r="I2536" s="128" t="inlineStr">
        <is>
          <t>چهارشنبه</t>
        </is>
      </c>
      <c r="J2536" s="128" t="inlineStr">
        <is>
          <t>بله</t>
        </is>
      </c>
    </row>
    <row r="2537">
      <c r="A2537" s="176" t="n">
        <v>47458</v>
      </c>
      <c r="B2537" s="177" t="n">
        <v>47458</v>
      </c>
      <c r="C2537" s="177" t="n">
        <v>1408</v>
      </c>
      <c r="D2537" s="177" t="n">
        <v>9</v>
      </c>
      <c r="E2537" s="178" t="inlineStr">
        <is>
          <t>1408/09/16</t>
        </is>
      </c>
      <c r="F2537" s="134" t="inlineStr">
        <is>
          <t>1408/09</t>
        </is>
      </c>
      <c r="G2537" s="61" t="inlineStr">
        <is>
          <t>آذر</t>
        </is>
      </c>
      <c r="H2537" s="134" t="inlineStr">
        <is>
          <t>پاییز</t>
        </is>
      </c>
      <c r="I2537" s="134" t="inlineStr">
        <is>
          <t>پنجشنبه</t>
        </is>
      </c>
      <c r="J2537" s="134" t="inlineStr">
        <is>
          <t>بله</t>
        </is>
      </c>
    </row>
    <row r="2538">
      <c r="A2538" s="173" t="n">
        <v>47459</v>
      </c>
      <c r="B2538" s="174" t="n">
        <v>47459</v>
      </c>
      <c r="C2538" s="174" t="n">
        <v>1408</v>
      </c>
      <c r="D2538" s="174" t="n">
        <v>9</v>
      </c>
      <c r="E2538" s="175" t="inlineStr">
        <is>
          <t>1408/09/17</t>
        </is>
      </c>
      <c r="F2538" s="128" t="inlineStr">
        <is>
          <t>1408/09</t>
        </is>
      </c>
      <c r="G2538" s="58" t="inlineStr">
        <is>
          <t>آذر</t>
        </is>
      </c>
      <c r="H2538" s="128" t="inlineStr">
        <is>
          <t>پاییز</t>
        </is>
      </c>
      <c r="I2538" s="128" t="inlineStr">
        <is>
          <t>جمعه</t>
        </is>
      </c>
      <c r="J2538" s="128" t="inlineStr">
        <is>
          <t>بله</t>
        </is>
      </c>
    </row>
    <row r="2539">
      <c r="A2539" s="176" t="n">
        <v>47460</v>
      </c>
      <c r="B2539" s="177" t="n">
        <v>47460</v>
      </c>
      <c r="C2539" s="177" t="n">
        <v>1408</v>
      </c>
      <c r="D2539" s="177" t="n">
        <v>9</v>
      </c>
      <c r="E2539" s="178" t="inlineStr">
        <is>
          <t>1408/09/18</t>
        </is>
      </c>
      <c r="F2539" s="134" t="inlineStr">
        <is>
          <t>1408/09</t>
        </is>
      </c>
      <c r="G2539" s="61" t="inlineStr">
        <is>
          <t>آذر</t>
        </is>
      </c>
      <c r="H2539" s="134" t="inlineStr">
        <is>
          <t>پاییز</t>
        </is>
      </c>
      <c r="I2539" s="134" t="inlineStr">
        <is>
          <t>شنبه</t>
        </is>
      </c>
      <c r="J2539" s="134" t="inlineStr">
        <is>
          <t>خیر</t>
        </is>
      </c>
    </row>
    <row r="2540">
      <c r="A2540" s="173" t="n">
        <v>47461</v>
      </c>
      <c r="B2540" s="174" t="n">
        <v>47461</v>
      </c>
      <c r="C2540" s="174" t="n">
        <v>1408</v>
      </c>
      <c r="D2540" s="174" t="n">
        <v>9</v>
      </c>
      <c r="E2540" s="175" t="inlineStr">
        <is>
          <t>1408/09/19</t>
        </is>
      </c>
      <c r="F2540" s="128" t="inlineStr">
        <is>
          <t>1408/09</t>
        </is>
      </c>
      <c r="G2540" s="58" t="inlineStr">
        <is>
          <t>آذر</t>
        </is>
      </c>
      <c r="H2540" s="128" t="inlineStr">
        <is>
          <t>پاییز</t>
        </is>
      </c>
      <c r="I2540" s="128" t="inlineStr">
        <is>
          <t>یکشنبه</t>
        </is>
      </c>
      <c r="J2540" s="128" t="inlineStr">
        <is>
          <t>خیر</t>
        </is>
      </c>
    </row>
    <row r="2541">
      <c r="A2541" s="176" t="n">
        <v>47462</v>
      </c>
      <c r="B2541" s="177" t="n">
        <v>47462</v>
      </c>
      <c r="C2541" s="177" t="n">
        <v>1408</v>
      </c>
      <c r="D2541" s="177" t="n">
        <v>9</v>
      </c>
      <c r="E2541" s="178" t="inlineStr">
        <is>
          <t>1408/09/20</t>
        </is>
      </c>
      <c r="F2541" s="134" t="inlineStr">
        <is>
          <t>1408/09</t>
        </is>
      </c>
      <c r="G2541" s="61" t="inlineStr">
        <is>
          <t>آذر</t>
        </is>
      </c>
      <c r="H2541" s="134" t="inlineStr">
        <is>
          <t>پاییز</t>
        </is>
      </c>
      <c r="I2541" s="134" t="inlineStr">
        <is>
          <t>دوشنبه</t>
        </is>
      </c>
      <c r="J2541" s="134" t="inlineStr">
        <is>
          <t>بله</t>
        </is>
      </c>
    </row>
    <row r="2542">
      <c r="A2542" s="173" t="n">
        <v>47463</v>
      </c>
      <c r="B2542" s="174" t="n">
        <v>47463</v>
      </c>
      <c r="C2542" s="174" t="n">
        <v>1408</v>
      </c>
      <c r="D2542" s="174" t="n">
        <v>9</v>
      </c>
      <c r="E2542" s="175" t="inlineStr">
        <is>
          <t>1408/09/21</t>
        </is>
      </c>
      <c r="F2542" s="128" t="inlineStr">
        <is>
          <t>1408/09</t>
        </is>
      </c>
      <c r="G2542" s="58" t="inlineStr">
        <is>
          <t>آذر</t>
        </is>
      </c>
      <c r="H2542" s="128" t="inlineStr">
        <is>
          <t>پاییز</t>
        </is>
      </c>
      <c r="I2542" s="128" t="inlineStr">
        <is>
          <t>سه‌شنبه</t>
        </is>
      </c>
      <c r="J2542" s="128" t="inlineStr">
        <is>
          <t>بله</t>
        </is>
      </c>
    </row>
    <row r="2543">
      <c r="A2543" s="176" t="n">
        <v>47464</v>
      </c>
      <c r="B2543" s="177" t="n">
        <v>47464</v>
      </c>
      <c r="C2543" s="177" t="n">
        <v>1408</v>
      </c>
      <c r="D2543" s="177" t="n">
        <v>9</v>
      </c>
      <c r="E2543" s="178" t="inlineStr">
        <is>
          <t>1408/09/22</t>
        </is>
      </c>
      <c r="F2543" s="134" t="inlineStr">
        <is>
          <t>1408/09</t>
        </is>
      </c>
      <c r="G2543" s="61" t="inlineStr">
        <is>
          <t>آذر</t>
        </is>
      </c>
      <c r="H2543" s="134" t="inlineStr">
        <is>
          <t>پاییز</t>
        </is>
      </c>
      <c r="I2543" s="134" t="inlineStr">
        <is>
          <t>چهارشنبه</t>
        </is>
      </c>
      <c r="J2543" s="134" t="inlineStr">
        <is>
          <t>بله</t>
        </is>
      </c>
    </row>
    <row r="2544">
      <c r="A2544" s="173" t="n">
        <v>47465</v>
      </c>
      <c r="B2544" s="174" t="n">
        <v>47465</v>
      </c>
      <c r="C2544" s="174" t="n">
        <v>1408</v>
      </c>
      <c r="D2544" s="174" t="n">
        <v>9</v>
      </c>
      <c r="E2544" s="175" t="inlineStr">
        <is>
          <t>1408/09/23</t>
        </is>
      </c>
      <c r="F2544" s="128" t="inlineStr">
        <is>
          <t>1408/09</t>
        </is>
      </c>
      <c r="G2544" s="58" t="inlineStr">
        <is>
          <t>آذر</t>
        </is>
      </c>
      <c r="H2544" s="128" t="inlineStr">
        <is>
          <t>پاییز</t>
        </is>
      </c>
      <c r="I2544" s="128" t="inlineStr">
        <is>
          <t>پنجشنبه</t>
        </is>
      </c>
      <c r="J2544" s="128" t="inlineStr">
        <is>
          <t>بله</t>
        </is>
      </c>
    </row>
    <row r="2545">
      <c r="A2545" s="176" t="n">
        <v>47466</v>
      </c>
      <c r="B2545" s="177" t="n">
        <v>47466</v>
      </c>
      <c r="C2545" s="177" t="n">
        <v>1408</v>
      </c>
      <c r="D2545" s="177" t="n">
        <v>9</v>
      </c>
      <c r="E2545" s="178" t="inlineStr">
        <is>
          <t>1408/09/24</t>
        </is>
      </c>
      <c r="F2545" s="134" t="inlineStr">
        <is>
          <t>1408/09</t>
        </is>
      </c>
      <c r="G2545" s="61" t="inlineStr">
        <is>
          <t>آذر</t>
        </is>
      </c>
      <c r="H2545" s="134" t="inlineStr">
        <is>
          <t>پاییز</t>
        </is>
      </c>
      <c r="I2545" s="134" t="inlineStr">
        <is>
          <t>جمعه</t>
        </is>
      </c>
      <c r="J2545" s="134" t="inlineStr">
        <is>
          <t>بله</t>
        </is>
      </c>
    </row>
    <row r="2546">
      <c r="A2546" s="173" t="n">
        <v>47467</v>
      </c>
      <c r="B2546" s="174" t="n">
        <v>47467</v>
      </c>
      <c r="C2546" s="174" t="n">
        <v>1408</v>
      </c>
      <c r="D2546" s="174" t="n">
        <v>9</v>
      </c>
      <c r="E2546" s="175" t="inlineStr">
        <is>
          <t>1408/09/25</t>
        </is>
      </c>
      <c r="F2546" s="128" t="inlineStr">
        <is>
          <t>1408/09</t>
        </is>
      </c>
      <c r="G2546" s="58" t="inlineStr">
        <is>
          <t>آذر</t>
        </is>
      </c>
      <c r="H2546" s="128" t="inlineStr">
        <is>
          <t>پاییز</t>
        </is>
      </c>
      <c r="I2546" s="128" t="inlineStr">
        <is>
          <t>شنبه</t>
        </is>
      </c>
      <c r="J2546" s="128" t="inlineStr">
        <is>
          <t>خیر</t>
        </is>
      </c>
    </row>
    <row r="2547">
      <c r="A2547" s="176" t="n">
        <v>47468</v>
      </c>
      <c r="B2547" s="177" t="n">
        <v>47468</v>
      </c>
      <c r="C2547" s="177" t="n">
        <v>1408</v>
      </c>
      <c r="D2547" s="177" t="n">
        <v>9</v>
      </c>
      <c r="E2547" s="178" t="inlineStr">
        <is>
          <t>1408/09/26</t>
        </is>
      </c>
      <c r="F2547" s="134" t="inlineStr">
        <is>
          <t>1408/09</t>
        </is>
      </c>
      <c r="G2547" s="61" t="inlineStr">
        <is>
          <t>آذر</t>
        </is>
      </c>
      <c r="H2547" s="134" t="inlineStr">
        <is>
          <t>پاییز</t>
        </is>
      </c>
      <c r="I2547" s="134" t="inlineStr">
        <is>
          <t>یکشنبه</t>
        </is>
      </c>
      <c r="J2547" s="134" t="inlineStr">
        <is>
          <t>خیر</t>
        </is>
      </c>
    </row>
    <row r="2548">
      <c r="A2548" s="173" t="n">
        <v>47469</v>
      </c>
      <c r="B2548" s="174" t="n">
        <v>47469</v>
      </c>
      <c r="C2548" s="174" t="n">
        <v>1408</v>
      </c>
      <c r="D2548" s="174" t="n">
        <v>9</v>
      </c>
      <c r="E2548" s="175" t="inlineStr">
        <is>
          <t>1408/09/27</t>
        </is>
      </c>
      <c r="F2548" s="128" t="inlineStr">
        <is>
          <t>1408/09</t>
        </is>
      </c>
      <c r="G2548" s="58" t="inlineStr">
        <is>
          <t>آذر</t>
        </is>
      </c>
      <c r="H2548" s="128" t="inlineStr">
        <is>
          <t>پاییز</t>
        </is>
      </c>
      <c r="I2548" s="128" t="inlineStr">
        <is>
          <t>دوشنبه</t>
        </is>
      </c>
      <c r="J2548" s="128" t="inlineStr">
        <is>
          <t>بله</t>
        </is>
      </c>
    </row>
    <row r="2549">
      <c r="A2549" s="176" t="n">
        <v>47470</v>
      </c>
      <c r="B2549" s="177" t="n">
        <v>47470</v>
      </c>
      <c r="C2549" s="177" t="n">
        <v>1408</v>
      </c>
      <c r="D2549" s="177" t="n">
        <v>9</v>
      </c>
      <c r="E2549" s="178" t="inlineStr">
        <is>
          <t>1408/09/28</t>
        </is>
      </c>
      <c r="F2549" s="134" t="inlineStr">
        <is>
          <t>1408/09</t>
        </is>
      </c>
      <c r="G2549" s="61" t="inlineStr">
        <is>
          <t>آذر</t>
        </is>
      </c>
      <c r="H2549" s="134" t="inlineStr">
        <is>
          <t>پاییز</t>
        </is>
      </c>
      <c r="I2549" s="134" t="inlineStr">
        <is>
          <t>سه‌شنبه</t>
        </is>
      </c>
      <c r="J2549" s="134" t="inlineStr">
        <is>
          <t>بله</t>
        </is>
      </c>
    </row>
    <row r="2550">
      <c r="A2550" s="173" t="n">
        <v>47471</v>
      </c>
      <c r="B2550" s="174" t="n">
        <v>47471</v>
      </c>
      <c r="C2550" s="174" t="n">
        <v>1408</v>
      </c>
      <c r="D2550" s="174" t="n">
        <v>9</v>
      </c>
      <c r="E2550" s="175" t="inlineStr">
        <is>
          <t>1408/09/29</t>
        </is>
      </c>
      <c r="F2550" s="128" t="inlineStr">
        <is>
          <t>1408/09</t>
        </is>
      </c>
      <c r="G2550" s="58" t="inlineStr">
        <is>
          <t>آذر</t>
        </is>
      </c>
      <c r="H2550" s="128" t="inlineStr">
        <is>
          <t>پاییز</t>
        </is>
      </c>
      <c r="I2550" s="128" t="inlineStr">
        <is>
          <t>چهارشنبه</t>
        </is>
      </c>
      <c r="J2550" s="128" t="inlineStr">
        <is>
          <t>بله</t>
        </is>
      </c>
    </row>
    <row r="2551">
      <c r="A2551" s="176" t="n">
        <v>47472</v>
      </c>
      <c r="B2551" s="177" t="n">
        <v>47472</v>
      </c>
      <c r="C2551" s="177" t="n">
        <v>1408</v>
      </c>
      <c r="D2551" s="177" t="n">
        <v>9</v>
      </c>
      <c r="E2551" s="178" t="inlineStr">
        <is>
          <t>1408/09/30</t>
        </is>
      </c>
      <c r="F2551" s="134" t="inlineStr">
        <is>
          <t>1408/09</t>
        </is>
      </c>
      <c r="G2551" s="61" t="inlineStr">
        <is>
          <t>آذر</t>
        </is>
      </c>
      <c r="H2551" s="134" t="inlineStr">
        <is>
          <t>پاییز</t>
        </is>
      </c>
      <c r="I2551" s="134" t="inlineStr">
        <is>
          <t>پنجشنبه</t>
        </is>
      </c>
      <c r="J2551" s="134" t="inlineStr">
        <is>
          <t>بله</t>
        </is>
      </c>
    </row>
    <row r="2552">
      <c r="A2552" s="173" t="n">
        <v>47473</v>
      </c>
      <c r="B2552" s="174" t="n">
        <v>47473</v>
      </c>
      <c r="C2552" s="174" t="n">
        <v>1408</v>
      </c>
      <c r="D2552" s="174" t="n">
        <v>10</v>
      </c>
      <c r="E2552" s="175" t="inlineStr">
        <is>
          <t>1408/10/01</t>
        </is>
      </c>
      <c r="F2552" s="128" t="inlineStr">
        <is>
          <t>1408/10</t>
        </is>
      </c>
      <c r="G2552" s="58" t="inlineStr">
        <is>
          <t>دی</t>
        </is>
      </c>
      <c r="H2552" s="128" t="inlineStr">
        <is>
          <t>زمستان</t>
        </is>
      </c>
      <c r="I2552" s="128" t="inlineStr">
        <is>
          <t>جمعه</t>
        </is>
      </c>
      <c r="J2552" s="128" t="inlineStr">
        <is>
          <t>بله</t>
        </is>
      </c>
    </row>
    <row r="2553">
      <c r="A2553" s="176" t="n">
        <v>47474</v>
      </c>
      <c r="B2553" s="177" t="n">
        <v>47474</v>
      </c>
      <c r="C2553" s="177" t="n">
        <v>1408</v>
      </c>
      <c r="D2553" s="177" t="n">
        <v>10</v>
      </c>
      <c r="E2553" s="178" t="inlineStr">
        <is>
          <t>1408/10/02</t>
        </is>
      </c>
      <c r="F2553" s="134" t="inlineStr">
        <is>
          <t>1408/10</t>
        </is>
      </c>
      <c r="G2553" s="61" t="inlineStr">
        <is>
          <t>دی</t>
        </is>
      </c>
      <c r="H2553" s="134" t="inlineStr">
        <is>
          <t>زمستان</t>
        </is>
      </c>
      <c r="I2553" s="134" t="inlineStr">
        <is>
          <t>شنبه</t>
        </is>
      </c>
      <c r="J2553" s="134" t="inlineStr">
        <is>
          <t>خیر</t>
        </is>
      </c>
    </row>
    <row r="2554">
      <c r="A2554" s="173" t="n">
        <v>47475</v>
      </c>
      <c r="B2554" s="174" t="n">
        <v>47475</v>
      </c>
      <c r="C2554" s="174" t="n">
        <v>1408</v>
      </c>
      <c r="D2554" s="174" t="n">
        <v>10</v>
      </c>
      <c r="E2554" s="175" t="inlineStr">
        <is>
          <t>1408/10/03</t>
        </is>
      </c>
      <c r="F2554" s="128" t="inlineStr">
        <is>
          <t>1408/10</t>
        </is>
      </c>
      <c r="G2554" s="58" t="inlineStr">
        <is>
          <t>دی</t>
        </is>
      </c>
      <c r="H2554" s="128" t="inlineStr">
        <is>
          <t>زمستان</t>
        </is>
      </c>
      <c r="I2554" s="128" t="inlineStr">
        <is>
          <t>یکشنبه</t>
        </is>
      </c>
      <c r="J2554" s="128" t="inlineStr">
        <is>
          <t>خیر</t>
        </is>
      </c>
    </row>
    <row r="2555">
      <c r="A2555" s="176" t="n">
        <v>47476</v>
      </c>
      <c r="B2555" s="177" t="n">
        <v>47476</v>
      </c>
      <c r="C2555" s="177" t="n">
        <v>1408</v>
      </c>
      <c r="D2555" s="177" t="n">
        <v>10</v>
      </c>
      <c r="E2555" s="178" t="inlineStr">
        <is>
          <t>1408/10/04</t>
        </is>
      </c>
      <c r="F2555" s="134" t="inlineStr">
        <is>
          <t>1408/10</t>
        </is>
      </c>
      <c r="G2555" s="61" t="inlineStr">
        <is>
          <t>دی</t>
        </is>
      </c>
      <c r="H2555" s="134" t="inlineStr">
        <is>
          <t>زمستان</t>
        </is>
      </c>
      <c r="I2555" s="134" t="inlineStr">
        <is>
          <t>دوشنبه</t>
        </is>
      </c>
      <c r="J2555" s="134" t="inlineStr">
        <is>
          <t>بله</t>
        </is>
      </c>
    </row>
    <row r="2556">
      <c r="A2556" s="173" t="n">
        <v>47477</v>
      </c>
      <c r="B2556" s="174" t="n">
        <v>47477</v>
      </c>
      <c r="C2556" s="174" t="n">
        <v>1408</v>
      </c>
      <c r="D2556" s="174" t="n">
        <v>10</v>
      </c>
      <c r="E2556" s="175" t="inlineStr">
        <is>
          <t>1408/10/05</t>
        </is>
      </c>
      <c r="F2556" s="128" t="inlineStr">
        <is>
          <t>1408/10</t>
        </is>
      </c>
      <c r="G2556" s="58" t="inlineStr">
        <is>
          <t>دی</t>
        </is>
      </c>
      <c r="H2556" s="128" t="inlineStr">
        <is>
          <t>زمستان</t>
        </is>
      </c>
      <c r="I2556" s="128" t="inlineStr">
        <is>
          <t>سه‌شنبه</t>
        </is>
      </c>
      <c r="J2556" s="128" t="inlineStr">
        <is>
          <t>بله</t>
        </is>
      </c>
    </row>
    <row r="2557">
      <c r="A2557" s="176" t="n">
        <v>47478</v>
      </c>
      <c r="B2557" s="177" t="n">
        <v>47478</v>
      </c>
      <c r="C2557" s="177" t="n">
        <v>1408</v>
      </c>
      <c r="D2557" s="177" t="n">
        <v>10</v>
      </c>
      <c r="E2557" s="178" t="inlineStr">
        <is>
          <t>1408/10/06</t>
        </is>
      </c>
      <c r="F2557" s="134" t="inlineStr">
        <is>
          <t>1408/10</t>
        </is>
      </c>
      <c r="G2557" s="61" t="inlineStr">
        <is>
          <t>دی</t>
        </is>
      </c>
      <c r="H2557" s="134" t="inlineStr">
        <is>
          <t>زمستان</t>
        </is>
      </c>
      <c r="I2557" s="134" t="inlineStr">
        <is>
          <t>چهارشنبه</t>
        </is>
      </c>
      <c r="J2557" s="134" t="inlineStr">
        <is>
          <t>بله</t>
        </is>
      </c>
    </row>
    <row r="2558">
      <c r="A2558" s="173" t="n">
        <v>47479</v>
      </c>
      <c r="B2558" s="174" t="n">
        <v>47479</v>
      </c>
      <c r="C2558" s="174" t="n">
        <v>1408</v>
      </c>
      <c r="D2558" s="174" t="n">
        <v>10</v>
      </c>
      <c r="E2558" s="175" t="inlineStr">
        <is>
          <t>1408/10/07</t>
        </is>
      </c>
      <c r="F2558" s="128" t="inlineStr">
        <is>
          <t>1408/10</t>
        </is>
      </c>
      <c r="G2558" s="58" t="inlineStr">
        <is>
          <t>دی</t>
        </is>
      </c>
      <c r="H2558" s="128" t="inlineStr">
        <is>
          <t>زمستان</t>
        </is>
      </c>
      <c r="I2558" s="128" t="inlineStr">
        <is>
          <t>پنجشنبه</t>
        </is>
      </c>
      <c r="J2558" s="128" t="inlineStr">
        <is>
          <t>بله</t>
        </is>
      </c>
    </row>
    <row r="2559">
      <c r="A2559" s="176" t="n">
        <v>47480</v>
      </c>
      <c r="B2559" s="177" t="n">
        <v>47480</v>
      </c>
      <c r="C2559" s="177" t="n">
        <v>1408</v>
      </c>
      <c r="D2559" s="177" t="n">
        <v>10</v>
      </c>
      <c r="E2559" s="178" t="inlineStr">
        <is>
          <t>1408/10/08</t>
        </is>
      </c>
      <c r="F2559" s="134" t="inlineStr">
        <is>
          <t>1408/10</t>
        </is>
      </c>
      <c r="G2559" s="61" t="inlineStr">
        <is>
          <t>دی</t>
        </is>
      </c>
      <c r="H2559" s="134" t="inlineStr">
        <is>
          <t>زمستان</t>
        </is>
      </c>
      <c r="I2559" s="134" t="inlineStr">
        <is>
          <t>جمعه</t>
        </is>
      </c>
      <c r="J2559" s="134" t="inlineStr">
        <is>
          <t>بله</t>
        </is>
      </c>
    </row>
    <row r="2560">
      <c r="A2560" s="173" t="n">
        <v>47481</v>
      </c>
      <c r="B2560" s="174" t="n">
        <v>47481</v>
      </c>
      <c r="C2560" s="174" t="n">
        <v>1408</v>
      </c>
      <c r="D2560" s="174" t="n">
        <v>10</v>
      </c>
      <c r="E2560" s="175" t="inlineStr">
        <is>
          <t>1408/10/09</t>
        </is>
      </c>
      <c r="F2560" s="128" t="inlineStr">
        <is>
          <t>1408/10</t>
        </is>
      </c>
      <c r="G2560" s="58" t="inlineStr">
        <is>
          <t>دی</t>
        </is>
      </c>
      <c r="H2560" s="128" t="inlineStr">
        <is>
          <t>زمستان</t>
        </is>
      </c>
      <c r="I2560" s="128" t="inlineStr">
        <is>
          <t>شنبه</t>
        </is>
      </c>
      <c r="J2560" s="128" t="inlineStr">
        <is>
          <t>خیر</t>
        </is>
      </c>
    </row>
    <row r="2561">
      <c r="A2561" s="176" t="n">
        <v>47482</v>
      </c>
      <c r="B2561" s="177" t="n">
        <v>47482</v>
      </c>
      <c r="C2561" s="177" t="n">
        <v>1408</v>
      </c>
      <c r="D2561" s="177" t="n">
        <v>10</v>
      </c>
      <c r="E2561" s="178" t="inlineStr">
        <is>
          <t>1408/10/10</t>
        </is>
      </c>
      <c r="F2561" s="134" t="inlineStr">
        <is>
          <t>1408/10</t>
        </is>
      </c>
      <c r="G2561" s="61" t="inlineStr">
        <is>
          <t>دی</t>
        </is>
      </c>
      <c r="H2561" s="134" t="inlineStr">
        <is>
          <t>زمستان</t>
        </is>
      </c>
      <c r="I2561" s="134" t="inlineStr">
        <is>
          <t>یکشنبه</t>
        </is>
      </c>
      <c r="J2561" s="134" t="inlineStr">
        <is>
          <t>خیر</t>
        </is>
      </c>
    </row>
    <row r="2562">
      <c r="A2562" s="173" t="n">
        <v>47483</v>
      </c>
      <c r="B2562" s="174" t="n">
        <v>47483</v>
      </c>
      <c r="C2562" s="174" t="n">
        <v>1408</v>
      </c>
      <c r="D2562" s="174" t="n">
        <v>10</v>
      </c>
      <c r="E2562" s="175" t="inlineStr">
        <is>
          <t>1408/10/11</t>
        </is>
      </c>
      <c r="F2562" s="128" t="inlineStr">
        <is>
          <t>1408/10</t>
        </is>
      </c>
      <c r="G2562" s="58" t="inlineStr">
        <is>
          <t>دی</t>
        </is>
      </c>
      <c r="H2562" s="128" t="inlineStr">
        <is>
          <t>زمستان</t>
        </is>
      </c>
      <c r="I2562" s="128" t="inlineStr">
        <is>
          <t>دوشنبه</t>
        </is>
      </c>
      <c r="J2562" s="128" t="inlineStr">
        <is>
          <t>بله</t>
        </is>
      </c>
    </row>
    <row r="2563">
      <c r="A2563" s="176" t="n">
        <v>47484</v>
      </c>
      <c r="B2563" s="177" t="n">
        <v>47484</v>
      </c>
      <c r="C2563" s="177" t="n">
        <v>1408</v>
      </c>
      <c r="D2563" s="177" t="n">
        <v>10</v>
      </c>
      <c r="E2563" s="178" t="inlineStr">
        <is>
          <t>1408/10/12</t>
        </is>
      </c>
      <c r="F2563" s="134" t="inlineStr">
        <is>
          <t>1408/10</t>
        </is>
      </c>
      <c r="G2563" s="61" t="inlineStr">
        <is>
          <t>دی</t>
        </is>
      </c>
      <c r="H2563" s="134" t="inlineStr">
        <is>
          <t>زمستان</t>
        </is>
      </c>
      <c r="I2563" s="134" t="inlineStr">
        <is>
          <t>سه‌شنبه</t>
        </is>
      </c>
      <c r="J2563" s="134" t="inlineStr">
        <is>
          <t>بله</t>
        </is>
      </c>
    </row>
    <row r="2564">
      <c r="A2564" s="173" t="n">
        <v>47485</v>
      </c>
      <c r="B2564" s="174" t="n">
        <v>47485</v>
      </c>
      <c r="C2564" s="174" t="n">
        <v>1408</v>
      </c>
      <c r="D2564" s="174" t="n">
        <v>10</v>
      </c>
      <c r="E2564" s="175" t="inlineStr">
        <is>
          <t>1408/10/13</t>
        </is>
      </c>
      <c r="F2564" s="128" t="inlineStr">
        <is>
          <t>1408/10</t>
        </is>
      </c>
      <c r="G2564" s="58" t="inlineStr">
        <is>
          <t>دی</t>
        </is>
      </c>
      <c r="H2564" s="128" t="inlineStr">
        <is>
          <t>زمستان</t>
        </is>
      </c>
      <c r="I2564" s="128" t="inlineStr">
        <is>
          <t>چهارشنبه</t>
        </is>
      </c>
      <c r="J2564" s="128" t="inlineStr">
        <is>
          <t>بله</t>
        </is>
      </c>
    </row>
    <row r="2565">
      <c r="A2565" s="176" t="n">
        <v>47486</v>
      </c>
      <c r="B2565" s="177" t="n">
        <v>47486</v>
      </c>
      <c r="C2565" s="177" t="n">
        <v>1408</v>
      </c>
      <c r="D2565" s="177" t="n">
        <v>10</v>
      </c>
      <c r="E2565" s="178" t="inlineStr">
        <is>
          <t>1408/10/14</t>
        </is>
      </c>
      <c r="F2565" s="134" t="inlineStr">
        <is>
          <t>1408/10</t>
        </is>
      </c>
      <c r="G2565" s="61" t="inlineStr">
        <is>
          <t>دی</t>
        </is>
      </c>
      <c r="H2565" s="134" t="inlineStr">
        <is>
          <t>زمستان</t>
        </is>
      </c>
      <c r="I2565" s="134" t="inlineStr">
        <is>
          <t>پنجشنبه</t>
        </is>
      </c>
      <c r="J2565" s="134" t="inlineStr">
        <is>
          <t>بله</t>
        </is>
      </c>
    </row>
    <row r="2566">
      <c r="A2566" s="173" t="n">
        <v>47487</v>
      </c>
      <c r="B2566" s="174" t="n">
        <v>47487</v>
      </c>
      <c r="C2566" s="174" t="n">
        <v>1408</v>
      </c>
      <c r="D2566" s="174" t="n">
        <v>10</v>
      </c>
      <c r="E2566" s="175" t="inlineStr">
        <is>
          <t>1408/10/15</t>
        </is>
      </c>
      <c r="F2566" s="128" t="inlineStr">
        <is>
          <t>1408/10</t>
        </is>
      </c>
      <c r="G2566" s="58" t="inlineStr">
        <is>
          <t>دی</t>
        </is>
      </c>
      <c r="H2566" s="128" t="inlineStr">
        <is>
          <t>زمستان</t>
        </is>
      </c>
      <c r="I2566" s="128" t="inlineStr">
        <is>
          <t>جمعه</t>
        </is>
      </c>
      <c r="J2566" s="128" t="inlineStr">
        <is>
          <t>بله</t>
        </is>
      </c>
    </row>
    <row r="2567">
      <c r="A2567" s="176" t="n">
        <v>47488</v>
      </c>
      <c r="B2567" s="177" t="n">
        <v>47488</v>
      </c>
      <c r="C2567" s="177" t="n">
        <v>1408</v>
      </c>
      <c r="D2567" s="177" t="n">
        <v>10</v>
      </c>
      <c r="E2567" s="178" t="inlineStr">
        <is>
          <t>1408/10/16</t>
        </is>
      </c>
      <c r="F2567" s="134" t="inlineStr">
        <is>
          <t>1408/10</t>
        </is>
      </c>
      <c r="G2567" s="61" t="inlineStr">
        <is>
          <t>دی</t>
        </is>
      </c>
      <c r="H2567" s="134" t="inlineStr">
        <is>
          <t>زمستان</t>
        </is>
      </c>
      <c r="I2567" s="134" t="inlineStr">
        <is>
          <t>شنبه</t>
        </is>
      </c>
      <c r="J2567" s="134" t="inlineStr">
        <is>
          <t>خیر</t>
        </is>
      </c>
    </row>
    <row r="2568">
      <c r="A2568" s="173" t="n">
        <v>47489</v>
      </c>
      <c r="B2568" s="174" t="n">
        <v>47489</v>
      </c>
      <c r="C2568" s="174" t="n">
        <v>1408</v>
      </c>
      <c r="D2568" s="174" t="n">
        <v>10</v>
      </c>
      <c r="E2568" s="175" t="inlineStr">
        <is>
          <t>1408/10/17</t>
        </is>
      </c>
      <c r="F2568" s="128" t="inlineStr">
        <is>
          <t>1408/10</t>
        </is>
      </c>
      <c r="G2568" s="58" t="inlineStr">
        <is>
          <t>دی</t>
        </is>
      </c>
      <c r="H2568" s="128" t="inlineStr">
        <is>
          <t>زمستان</t>
        </is>
      </c>
      <c r="I2568" s="128" t="inlineStr">
        <is>
          <t>یکشنبه</t>
        </is>
      </c>
      <c r="J2568" s="128" t="inlineStr">
        <is>
          <t>خیر</t>
        </is>
      </c>
    </row>
    <row r="2569">
      <c r="A2569" s="176" t="n">
        <v>47490</v>
      </c>
      <c r="B2569" s="177" t="n">
        <v>47490</v>
      </c>
      <c r="C2569" s="177" t="n">
        <v>1408</v>
      </c>
      <c r="D2569" s="177" t="n">
        <v>10</v>
      </c>
      <c r="E2569" s="178" t="inlineStr">
        <is>
          <t>1408/10/18</t>
        </is>
      </c>
      <c r="F2569" s="134" t="inlineStr">
        <is>
          <t>1408/10</t>
        </is>
      </c>
      <c r="G2569" s="61" t="inlineStr">
        <is>
          <t>دی</t>
        </is>
      </c>
      <c r="H2569" s="134" t="inlineStr">
        <is>
          <t>زمستان</t>
        </is>
      </c>
      <c r="I2569" s="134" t="inlineStr">
        <is>
          <t>دوشنبه</t>
        </is>
      </c>
      <c r="J2569" s="134" t="inlineStr">
        <is>
          <t>بله</t>
        </is>
      </c>
    </row>
    <row r="2570">
      <c r="A2570" s="173" t="n">
        <v>47491</v>
      </c>
      <c r="B2570" s="174" t="n">
        <v>47491</v>
      </c>
      <c r="C2570" s="174" t="n">
        <v>1408</v>
      </c>
      <c r="D2570" s="174" t="n">
        <v>10</v>
      </c>
      <c r="E2570" s="175" t="inlineStr">
        <is>
          <t>1408/10/19</t>
        </is>
      </c>
      <c r="F2570" s="128" t="inlineStr">
        <is>
          <t>1408/10</t>
        </is>
      </c>
      <c r="G2570" s="58" t="inlineStr">
        <is>
          <t>دی</t>
        </is>
      </c>
      <c r="H2570" s="128" t="inlineStr">
        <is>
          <t>زمستان</t>
        </is>
      </c>
      <c r="I2570" s="128" t="inlineStr">
        <is>
          <t>سه‌شنبه</t>
        </is>
      </c>
      <c r="J2570" s="128" t="inlineStr">
        <is>
          <t>بله</t>
        </is>
      </c>
    </row>
    <row r="2571">
      <c r="A2571" s="176" t="n">
        <v>47492</v>
      </c>
      <c r="B2571" s="177" t="n">
        <v>47492</v>
      </c>
      <c r="C2571" s="177" t="n">
        <v>1408</v>
      </c>
      <c r="D2571" s="177" t="n">
        <v>10</v>
      </c>
      <c r="E2571" s="178" t="inlineStr">
        <is>
          <t>1408/10/20</t>
        </is>
      </c>
      <c r="F2571" s="134" t="inlineStr">
        <is>
          <t>1408/10</t>
        </is>
      </c>
      <c r="G2571" s="61" t="inlineStr">
        <is>
          <t>دی</t>
        </is>
      </c>
      <c r="H2571" s="134" t="inlineStr">
        <is>
          <t>زمستان</t>
        </is>
      </c>
      <c r="I2571" s="134" t="inlineStr">
        <is>
          <t>چهارشنبه</t>
        </is>
      </c>
      <c r="J2571" s="134" t="inlineStr">
        <is>
          <t>بله</t>
        </is>
      </c>
    </row>
    <row r="2572">
      <c r="A2572" s="173" t="n">
        <v>47493</v>
      </c>
      <c r="B2572" s="174" t="n">
        <v>47493</v>
      </c>
      <c r="C2572" s="174" t="n">
        <v>1408</v>
      </c>
      <c r="D2572" s="174" t="n">
        <v>10</v>
      </c>
      <c r="E2572" s="175" t="inlineStr">
        <is>
          <t>1408/10/21</t>
        </is>
      </c>
      <c r="F2572" s="128" t="inlineStr">
        <is>
          <t>1408/10</t>
        </is>
      </c>
      <c r="G2572" s="58" t="inlineStr">
        <is>
          <t>دی</t>
        </is>
      </c>
      <c r="H2572" s="128" t="inlineStr">
        <is>
          <t>زمستان</t>
        </is>
      </c>
      <c r="I2572" s="128" t="inlineStr">
        <is>
          <t>پنجشنبه</t>
        </is>
      </c>
      <c r="J2572" s="128" t="inlineStr">
        <is>
          <t>بله</t>
        </is>
      </c>
    </row>
    <row r="2573">
      <c r="A2573" s="176" t="n">
        <v>47494</v>
      </c>
      <c r="B2573" s="177" t="n">
        <v>47494</v>
      </c>
      <c r="C2573" s="177" t="n">
        <v>1408</v>
      </c>
      <c r="D2573" s="177" t="n">
        <v>10</v>
      </c>
      <c r="E2573" s="178" t="inlineStr">
        <is>
          <t>1408/10/22</t>
        </is>
      </c>
      <c r="F2573" s="134" t="inlineStr">
        <is>
          <t>1408/10</t>
        </is>
      </c>
      <c r="G2573" s="61" t="inlineStr">
        <is>
          <t>دی</t>
        </is>
      </c>
      <c r="H2573" s="134" t="inlineStr">
        <is>
          <t>زمستان</t>
        </is>
      </c>
      <c r="I2573" s="134" t="inlineStr">
        <is>
          <t>جمعه</t>
        </is>
      </c>
      <c r="J2573" s="134" t="inlineStr">
        <is>
          <t>بله</t>
        </is>
      </c>
    </row>
    <row r="2574">
      <c r="A2574" s="173" t="n">
        <v>47495</v>
      </c>
      <c r="B2574" s="174" t="n">
        <v>47495</v>
      </c>
      <c r="C2574" s="174" t="n">
        <v>1408</v>
      </c>
      <c r="D2574" s="174" t="n">
        <v>10</v>
      </c>
      <c r="E2574" s="175" t="inlineStr">
        <is>
          <t>1408/10/23</t>
        </is>
      </c>
      <c r="F2574" s="128" t="inlineStr">
        <is>
          <t>1408/10</t>
        </is>
      </c>
      <c r="G2574" s="58" t="inlineStr">
        <is>
          <t>دی</t>
        </is>
      </c>
      <c r="H2574" s="128" t="inlineStr">
        <is>
          <t>زمستان</t>
        </is>
      </c>
      <c r="I2574" s="128" t="inlineStr">
        <is>
          <t>شنبه</t>
        </is>
      </c>
      <c r="J2574" s="128" t="inlineStr">
        <is>
          <t>خیر</t>
        </is>
      </c>
    </row>
    <row r="2575">
      <c r="A2575" s="176" t="n">
        <v>47496</v>
      </c>
      <c r="B2575" s="177" t="n">
        <v>47496</v>
      </c>
      <c r="C2575" s="177" t="n">
        <v>1408</v>
      </c>
      <c r="D2575" s="177" t="n">
        <v>10</v>
      </c>
      <c r="E2575" s="178" t="inlineStr">
        <is>
          <t>1408/10/24</t>
        </is>
      </c>
      <c r="F2575" s="134" t="inlineStr">
        <is>
          <t>1408/10</t>
        </is>
      </c>
      <c r="G2575" s="61" t="inlineStr">
        <is>
          <t>دی</t>
        </is>
      </c>
      <c r="H2575" s="134" t="inlineStr">
        <is>
          <t>زمستان</t>
        </is>
      </c>
      <c r="I2575" s="134" t="inlineStr">
        <is>
          <t>یکشنبه</t>
        </is>
      </c>
      <c r="J2575" s="134" t="inlineStr">
        <is>
          <t>خیر</t>
        </is>
      </c>
    </row>
    <row r="2576">
      <c r="A2576" s="173" t="n">
        <v>47497</v>
      </c>
      <c r="B2576" s="174" t="n">
        <v>47497</v>
      </c>
      <c r="C2576" s="174" t="n">
        <v>1408</v>
      </c>
      <c r="D2576" s="174" t="n">
        <v>10</v>
      </c>
      <c r="E2576" s="175" t="inlineStr">
        <is>
          <t>1408/10/25</t>
        </is>
      </c>
      <c r="F2576" s="128" t="inlineStr">
        <is>
          <t>1408/10</t>
        </is>
      </c>
      <c r="G2576" s="58" t="inlineStr">
        <is>
          <t>دی</t>
        </is>
      </c>
      <c r="H2576" s="128" t="inlineStr">
        <is>
          <t>زمستان</t>
        </is>
      </c>
      <c r="I2576" s="128" t="inlineStr">
        <is>
          <t>دوشنبه</t>
        </is>
      </c>
      <c r="J2576" s="128" t="inlineStr">
        <is>
          <t>بله</t>
        </is>
      </c>
    </row>
    <row r="2577">
      <c r="A2577" s="176" t="n">
        <v>47498</v>
      </c>
      <c r="B2577" s="177" t="n">
        <v>47498</v>
      </c>
      <c r="C2577" s="177" t="n">
        <v>1408</v>
      </c>
      <c r="D2577" s="177" t="n">
        <v>10</v>
      </c>
      <c r="E2577" s="178" t="inlineStr">
        <is>
          <t>1408/10/26</t>
        </is>
      </c>
      <c r="F2577" s="134" t="inlineStr">
        <is>
          <t>1408/10</t>
        </is>
      </c>
      <c r="G2577" s="61" t="inlineStr">
        <is>
          <t>دی</t>
        </is>
      </c>
      <c r="H2577" s="134" t="inlineStr">
        <is>
          <t>زمستان</t>
        </is>
      </c>
      <c r="I2577" s="134" t="inlineStr">
        <is>
          <t>سه‌شنبه</t>
        </is>
      </c>
      <c r="J2577" s="134" t="inlineStr">
        <is>
          <t>بله</t>
        </is>
      </c>
    </row>
    <row r="2578">
      <c r="A2578" s="173" t="n">
        <v>47499</v>
      </c>
      <c r="B2578" s="174" t="n">
        <v>47499</v>
      </c>
      <c r="C2578" s="174" t="n">
        <v>1408</v>
      </c>
      <c r="D2578" s="174" t="n">
        <v>10</v>
      </c>
      <c r="E2578" s="175" t="inlineStr">
        <is>
          <t>1408/10/27</t>
        </is>
      </c>
      <c r="F2578" s="128" t="inlineStr">
        <is>
          <t>1408/10</t>
        </is>
      </c>
      <c r="G2578" s="58" t="inlineStr">
        <is>
          <t>دی</t>
        </is>
      </c>
      <c r="H2578" s="128" t="inlineStr">
        <is>
          <t>زمستان</t>
        </is>
      </c>
      <c r="I2578" s="128" t="inlineStr">
        <is>
          <t>چهارشنبه</t>
        </is>
      </c>
      <c r="J2578" s="128" t="inlineStr">
        <is>
          <t>بله</t>
        </is>
      </c>
    </row>
    <row r="2579">
      <c r="A2579" s="176" t="n">
        <v>47500</v>
      </c>
      <c r="B2579" s="177" t="n">
        <v>47500</v>
      </c>
      <c r="C2579" s="177" t="n">
        <v>1408</v>
      </c>
      <c r="D2579" s="177" t="n">
        <v>10</v>
      </c>
      <c r="E2579" s="178" t="inlineStr">
        <is>
          <t>1408/10/28</t>
        </is>
      </c>
      <c r="F2579" s="134" t="inlineStr">
        <is>
          <t>1408/10</t>
        </is>
      </c>
      <c r="G2579" s="61" t="inlineStr">
        <is>
          <t>دی</t>
        </is>
      </c>
      <c r="H2579" s="134" t="inlineStr">
        <is>
          <t>زمستان</t>
        </is>
      </c>
      <c r="I2579" s="134" t="inlineStr">
        <is>
          <t>پنجشنبه</t>
        </is>
      </c>
      <c r="J2579" s="134" t="inlineStr">
        <is>
          <t>بله</t>
        </is>
      </c>
    </row>
    <row r="2580">
      <c r="A2580" s="173" t="n">
        <v>47501</v>
      </c>
      <c r="B2580" s="174" t="n">
        <v>47501</v>
      </c>
      <c r="C2580" s="174" t="n">
        <v>1408</v>
      </c>
      <c r="D2580" s="174" t="n">
        <v>10</v>
      </c>
      <c r="E2580" s="175" t="inlineStr">
        <is>
          <t>1408/10/29</t>
        </is>
      </c>
      <c r="F2580" s="128" t="inlineStr">
        <is>
          <t>1408/10</t>
        </is>
      </c>
      <c r="G2580" s="58" t="inlineStr">
        <is>
          <t>دی</t>
        </is>
      </c>
      <c r="H2580" s="128" t="inlineStr">
        <is>
          <t>زمستان</t>
        </is>
      </c>
      <c r="I2580" s="128" t="inlineStr">
        <is>
          <t>جمعه</t>
        </is>
      </c>
      <c r="J2580" s="128" t="inlineStr">
        <is>
          <t>بله</t>
        </is>
      </c>
    </row>
    <row r="2581">
      <c r="A2581" s="176" t="n">
        <v>47502</v>
      </c>
      <c r="B2581" s="177" t="n">
        <v>47502</v>
      </c>
      <c r="C2581" s="177" t="n">
        <v>1408</v>
      </c>
      <c r="D2581" s="177" t="n">
        <v>10</v>
      </c>
      <c r="E2581" s="178" t="inlineStr">
        <is>
          <t>1408/10/30</t>
        </is>
      </c>
      <c r="F2581" s="134" t="inlineStr">
        <is>
          <t>1408/10</t>
        </is>
      </c>
      <c r="G2581" s="61" t="inlineStr">
        <is>
          <t>دی</t>
        </is>
      </c>
      <c r="H2581" s="134" t="inlineStr">
        <is>
          <t>زمستان</t>
        </is>
      </c>
      <c r="I2581" s="134" t="inlineStr">
        <is>
          <t>شنبه</t>
        </is>
      </c>
      <c r="J2581" s="134" t="inlineStr">
        <is>
          <t>خیر</t>
        </is>
      </c>
    </row>
    <row r="2582">
      <c r="A2582" s="173" t="n">
        <v>47503</v>
      </c>
      <c r="B2582" s="174" t="n">
        <v>47503</v>
      </c>
      <c r="C2582" s="174" t="n">
        <v>1408</v>
      </c>
      <c r="D2582" s="174" t="n">
        <v>11</v>
      </c>
      <c r="E2582" s="175" t="inlineStr">
        <is>
          <t>1408/11/01</t>
        </is>
      </c>
      <c r="F2582" s="128" t="inlineStr">
        <is>
          <t>1408/11</t>
        </is>
      </c>
      <c r="G2582" s="58" t="inlineStr">
        <is>
          <t>بهمن</t>
        </is>
      </c>
      <c r="H2582" s="128" t="inlineStr">
        <is>
          <t>زمستان</t>
        </is>
      </c>
      <c r="I2582" s="128" t="inlineStr">
        <is>
          <t>یکشنبه</t>
        </is>
      </c>
      <c r="J2582" s="128" t="inlineStr">
        <is>
          <t>خیر</t>
        </is>
      </c>
    </row>
    <row r="2583">
      <c r="A2583" s="176" t="n">
        <v>47504</v>
      </c>
      <c r="B2583" s="177" t="n">
        <v>47504</v>
      </c>
      <c r="C2583" s="177" t="n">
        <v>1408</v>
      </c>
      <c r="D2583" s="177" t="n">
        <v>11</v>
      </c>
      <c r="E2583" s="178" t="inlineStr">
        <is>
          <t>1408/11/02</t>
        </is>
      </c>
      <c r="F2583" s="134" t="inlineStr">
        <is>
          <t>1408/11</t>
        </is>
      </c>
      <c r="G2583" s="61" t="inlineStr">
        <is>
          <t>بهمن</t>
        </is>
      </c>
      <c r="H2583" s="134" t="inlineStr">
        <is>
          <t>زمستان</t>
        </is>
      </c>
      <c r="I2583" s="134" t="inlineStr">
        <is>
          <t>دوشنبه</t>
        </is>
      </c>
      <c r="J2583" s="134" t="inlineStr">
        <is>
          <t>بله</t>
        </is>
      </c>
    </row>
    <row r="2584">
      <c r="A2584" s="173" t="n">
        <v>47505</v>
      </c>
      <c r="B2584" s="174" t="n">
        <v>47505</v>
      </c>
      <c r="C2584" s="174" t="n">
        <v>1408</v>
      </c>
      <c r="D2584" s="174" t="n">
        <v>11</v>
      </c>
      <c r="E2584" s="175" t="inlineStr">
        <is>
          <t>1408/11/03</t>
        </is>
      </c>
      <c r="F2584" s="128" t="inlineStr">
        <is>
          <t>1408/11</t>
        </is>
      </c>
      <c r="G2584" s="58" t="inlineStr">
        <is>
          <t>بهمن</t>
        </is>
      </c>
      <c r="H2584" s="128" t="inlineStr">
        <is>
          <t>زمستان</t>
        </is>
      </c>
      <c r="I2584" s="128" t="inlineStr">
        <is>
          <t>سه‌شنبه</t>
        </is>
      </c>
      <c r="J2584" s="128" t="inlineStr">
        <is>
          <t>بله</t>
        </is>
      </c>
    </row>
    <row r="2585">
      <c r="A2585" s="176" t="n">
        <v>47506</v>
      </c>
      <c r="B2585" s="177" t="n">
        <v>47506</v>
      </c>
      <c r="C2585" s="177" t="n">
        <v>1408</v>
      </c>
      <c r="D2585" s="177" t="n">
        <v>11</v>
      </c>
      <c r="E2585" s="178" t="inlineStr">
        <is>
          <t>1408/11/04</t>
        </is>
      </c>
      <c r="F2585" s="134" t="inlineStr">
        <is>
          <t>1408/11</t>
        </is>
      </c>
      <c r="G2585" s="61" t="inlineStr">
        <is>
          <t>بهمن</t>
        </is>
      </c>
      <c r="H2585" s="134" t="inlineStr">
        <is>
          <t>زمستان</t>
        </is>
      </c>
      <c r="I2585" s="134" t="inlineStr">
        <is>
          <t>چهارشنبه</t>
        </is>
      </c>
      <c r="J2585" s="134" t="inlineStr">
        <is>
          <t>بله</t>
        </is>
      </c>
    </row>
    <row r="2586">
      <c r="A2586" s="173" t="n">
        <v>47507</v>
      </c>
      <c r="B2586" s="174" t="n">
        <v>47507</v>
      </c>
      <c r="C2586" s="174" t="n">
        <v>1408</v>
      </c>
      <c r="D2586" s="174" t="n">
        <v>11</v>
      </c>
      <c r="E2586" s="175" t="inlineStr">
        <is>
          <t>1408/11/05</t>
        </is>
      </c>
      <c r="F2586" s="128" t="inlineStr">
        <is>
          <t>1408/11</t>
        </is>
      </c>
      <c r="G2586" s="58" t="inlineStr">
        <is>
          <t>بهمن</t>
        </is>
      </c>
      <c r="H2586" s="128" t="inlineStr">
        <is>
          <t>زمستان</t>
        </is>
      </c>
      <c r="I2586" s="128" t="inlineStr">
        <is>
          <t>پنجشنبه</t>
        </is>
      </c>
      <c r="J2586" s="128" t="inlineStr">
        <is>
          <t>بله</t>
        </is>
      </c>
    </row>
    <row r="2587">
      <c r="A2587" s="176" t="n">
        <v>47508</v>
      </c>
      <c r="B2587" s="177" t="n">
        <v>47508</v>
      </c>
      <c r="C2587" s="177" t="n">
        <v>1408</v>
      </c>
      <c r="D2587" s="177" t="n">
        <v>11</v>
      </c>
      <c r="E2587" s="178" t="inlineStr">
        <is>
          <t>1408/11/06</t>
        </is>
      </c>
      <c r="F2587" s="134" t="inlineStr">
        <is>
          <t>1408/11</t>
        </is>
      </c>
      <c r="G2587" s="61" t="inlineStr">
        <is>
          <t>بهمن</t>
        </is>
      </c>
      <c r="H2587" s="134" t="inlineStr">
        <is>
          <t>زمستان</t>
        </is>
      </c>
      <c r="I2587" s="134" t="inlineStr">
        <is>
          <t>جمعه</t>
        </is>
      </c>
      <c r="J2587" s="134" t="inlineStr">
        <is>
          <t>بله</t>
        </is>
      </c>
    </row>
    <row r="2588">
      <c r="A2588" s="173" t="n">
        <v>47509</v>
      </c>
      <c r="B2588" s="174" t="n">
        <v>47509</v>
      </c>
      <c r="C2588" s="174" t="n">
        <v>1408</v>
      </c>
      <c r="D2588" s="174" t="n">
        <v>11</v>
      </c>
      <c r="E2588" s="175" t="inlineStr">
        <is>
          <t>1408/11/07</t>
        </is>
      </c>
      <c r="F2588" s="128" t="inlineStr">
        <is>
          <t>1408/11</t>
        </is>
      </c>
      <c r="G2588" s="58" t="inlineStr">
        <is>
          <t>بهمن</t>
        </is>
      </c>
      <c r="H2588" s="128" t="inlineStr">
        <is>
          <t>زمستان</t>
        </is>
      </c>
      <c r="I2588" s="128" t="inlineStr">
        <is>
          <t>شنبه</t>
        </is>
      </c>
      <c r="J2588" s="128" t="inlineStr">
        <is>
          <t>خیر</t>
        </is>
      </c>
    </row>
    <row r="2589">
      <c r="A2589" s="176" t="n">
        <v>47510</v>
      </c>
      <c r="B2589" s="177" t="n">
        <v>47510</v>
      </c>
      <c r="C2589" s="177" t="n">
        <v>1408</v>
      </c>
      <c r="D2589" s="177" t="n">
        <v>11</v>
      </c>
      <c r="E2589" s="178" t="inlineStr">
        <is>
          <t>1408/11/08</t>
        </is>
      </c>
      <c r="F2589" s="134" t="inlineStr">
        <is>
          <t>1408/11</t>
        </is>
      </c>
      <c r="G2589" s="61" t="inlineStr">
        <is>
          <t>بهمن</t>
        </is>
      </c>
      <c r="H2589" s="134" t="inlineStr">
        <is>
          <t>زمستان</t>
        </is>
      </c>
      <c r="I2589" s="134" t="inlineStr">
        <is>
          <t>یکشنبه</t>
        </is>
      </c>
      <c r="J2589" s="134" t="inlineStr">
        <is>
          <t>خیر</t>
        </is>
      </c>
    </row>
    <row r="2590">
      <c r="A2590" s="173" t="n">
        <v>47511</v>
      </c>
      <c r="B2590" s="174" t="n">
        <v>47511</v>
      </c>
      <c r="C2590" s="174" t="n">
        <v>1408</v>
      </c>
      <c r="D2590" s="174" t="n">
        <v>11</v>
      </c>
      <c r="E2590" s="175" t="inlineStr">
        <is>
          <t>1408/11/09</t>
        </is>
      </c>
      <c r="F2590" s="128" t="inlineStr">
        <is>
          <t>1408/11</t>
        </is>
      </c>
      <c r="G2590" s="58" t="inlineStr">
        <is>
          <t>بهمن</t>
        </is>
      </c>
      <c r="H2590" s="128" t="inlineStr">
        <is>
          <t>زمستان</t>
        </is>
      </c>
      <c r="I2590" s="128" t="inlineStr">
        <is>
          <t>دوشنبه</t>
        </is>
      </c>
      <c r="J2590" s="128" t="inlineStr">
        <is>
          <t>بله</t>
        </is>
      </c>
    </row>
    <row r="2591">
      <c r="A2591" s="176" t="n">
        <v>47512</v>
      </c>
      <c r="B2591" s="177" t="n">
        <v>47512</v>
      </c>
      <c r="C2591" s="177" t="n">
        <v>1408</v>
      </c>
      <c r="D2591" s="177" t="n">
        <v>11</v>
      </c>
      <c r="E2591" s="178" t="inlineStr">
        <is>
          <t>1408/11/10</t>
        </is>
      </c>
      <c r="F2591" s="134" t="inlineStr">
        <is>
          <t>1408/11</t>
        </is>
      </c>
      <c r="G2591" s="61" t="inlineStr">
        <is>
          <t>بهمن</t>
        </is>
      </c>
      <c r="H2591" s="134" t="inlineStr">
        <is>
          <t>زمستان</t>
        </is>
      </c>
      <c r="I2591" s="134" t="inlineStr">
        <is>
          <t>سه‌شنبه</t>
        </is>
      </c>
      <c r="J2591" s="134" t="inlineStr">
        <is>
          <t>بله</t>
        </is>
      </c>
    </row>
    <row r="2592">
      <c r="A2592" s="173" t="n">
        <v>47513</v>
      </c>
      <c r="B2592" s="174" t="n">
        <v>47513</v>
      </c>
      <c r="C2592" s="174" t="n">
        <v>1408</v>
      </c>
      <c r="D2592" s="174" t="n">
        <v>11</v>
      </c>
      <c r="E2592" s="175" t="inlineStr">
        <is>
          <t>1408/11/11</t>
        </is>
      </c>
      <c r="F2592" s="128" t="inlineStr">
        <is>
          <t>1408/11</t>
        </is>
      </c>
      <c r="G2592" s="58" t="inlineStr">
        <is>
          <t>بهمن</t>
        </is>
      </c>
      <c r="H2592" s="128" t="inlineStr">
        <is>
          <t>زمستان</t>
        </is>
      </c>
      <c r="I2592" s="128" t="inlineStr">
        <is>
          <t>چهارشنبه</t>
        </is>
      </c>
      <c r="J2592" s="128" t="inlineStr">
        <is>
          <t>بله</t>
        </is>
      </c>
    </row>
    <row r="2593">
      <c r="A2593" s="176" t="n">
        <v>47514</v>
      </c>
      <c r="B2593" s="177" t="n">
        <v>47514</v>
      </c>
      <c r="C2593" s="177" t="n">
        <v>1408</v>
      </c>
      <c r="D2593" s="177" t="n">
        <v>11</v>
      </c>
      <c r="E2593" s="178" t="inlineStr">
        <is>
          <t>1408/11/12</t>
        </is>
      </c>
      <c r="F2593" s="134" t="inlineStr">
        <is>
          <t>1408/11</t>
        </is>
      </c>
      <c r="G2593" s="61" t="inlineStr">
        <is>
          <t>بهمن</t>
        </is>
      </c>
      <c r="H2593" s="134" t="inlineStr">
        <is>
          <t>زمستان</t>
        </is>
      </c>
      <c r="I2593" s="134" t="inlineStr">
        <is>
          <t>پنجشنبه</t>
        </is>
      </c>
      <c r="J2593" s="134" t="inlineStr">
        <is>
          <t>بله</t>
        </is>
      </c>
    </row>
    <row r="2594">
      <c r="A2594" s="173" t="n">
        <v>47515</v>
      </c>
      <c r="B2594" s="174" t="n">
        <v>47515</v>
      </c>
      <c r="C2594" s="174" t="n">
        <v>1408</v>
      </c>
      <c r="D2594" s="174" t="n">
        <v>11</v>
      </c>
      <c r="E2594" s="175" t="inlineStr">
        <is>
          <t>1408/11/13</t>
        </is>
      </c>
      <c r="F2594" s="128" t="inlineStr">
        <is>
          <t>1408/11</t>
        </is>
      </c>
      <c r="G2594" s="58" t="inlineStr">
        <is>
          <t>بهمن</t>
        </is>
      </c>
      <c r="H2594" s="128" t="inlineStr">
        <is>
          <t>زمستان</t>
        </is>
      </c>
      <c r="I2594" s="128" t="inlineStr">
        <is>
          <t>جمعه</t>
        </is>
      </c>
      <c r="J2594" s="128" t="inlineStr">
        <is>
          <t>بله</t>
        </is>
      </c>
    </row>
    <row r="2595">
      <c r="A2595" s="176" t="n">
        <v>47516</v>
      </c>
      <c r="B2595" s="177" t="n">
        <v>47516</v>
      </c>
      <c r="C2595" s="177" t="n">
        <v>1408</v>
      </c>
      <c r="D2595" s="177" t="n">
        <v>11</v>
      </c>
      <c r="E2595" s="178" t="inlineStr">
        <is>
          <t>1408/11/14</t>
        </is>
      </c>
      <c r="F2595" s="134" t="inlineStr">
        <is>
          <t>1408/11</t>
        </is>
      </c>
      <c r="G2595" s="61" t="inlineStr">
        <is>
          <t>بهمن</t>
        </is>
      </c>
      <c r="H2595" s="134" t="inlineStr">
        <is>
          <t>زمستان</t>
        </is>
      </c>
      <c r="I2595" s="134" t="inlineStr">
        <is>
          <t>شنبه</t>
        </is>
      </c>
      <c r="J2595" s="134" t="inlineStr">
        <is>
          <t>خیر</t>
        </is>
      </c>
    </row>
    <row r="2596">
      <c r="A2596" s="173" t="n">
        <v>47517</v>
      </c>
      <c r="B2596" s="174" t="n">
        <v>47517</v>
      </c>
      <c r="C2596" s="174" t="n">
        <v>1408</v>
      </c>
      <c r="D2596" s="174" t="n">
        <v>11</v>
      </c>
      <c r="E2596" s="175" t="inlineStr">
        <is>
          <t>1408/11/15</t>
        </is>
      </c>
      <c r="F2596" s="128" t="inlineStr">
        <is>
          <t>1408/11</t>
        </is>
      </c>
      <c r="G2596" s="58" t="inlineStr">
        <is>
          <t>بهمن</t>
        </is>
      </c>
      <c r="H2596" s="128" t="inlineStr">
        <is>
          <t>زمستان</t>
        </is>
      </c>
      <c r="I2596" s="128" t="inlineStr">
        <is>
          <t>یکشنبه</t>
        </is>
      </c>
      <c r="J2596" s="128" t="inlineStr">
        <is>
          <t>خیر</t>
        </is>
      </c>
    </row>
    <row r="2597">
      <c r="A2597" s="176" t="n">
        <v>47518</v>
      </c>
      <c r="B2597" s="177" t="n">
        <v>47518</v>
      </c>
      <c r="C2597" s="177" t="n">
        <v>1408</v>
      </c>
      <c r="D2597" s="177" t="n">
        <v>11</v>
      </c>
      <c r="E2597" s="178" t="inlineStr">
        <is>
          <t>1408/11/16</t>
        </is>
      </c>
      <c r="F2597" s="134" t="inlineStr">
        <is>
          <t>1408/11</t>
        </is>
      </c>
      <c r="G2597" s="61" t="inlineStr">
        <is>
          <t>بهمن</t>
        </is>
      </c>
      <c r="H2597" s="134" t="inlineStr">
        <is>
          <t>زمستان</t>
        </is>
      </c>
      <c r="I2597" s="134" t="inlineStr">
        <is>
          <t>دوشنبه</t>
        </is>
      </c>
      <c r="J2597" s="134" t="inlineStr">
        <is>
          <t>بله</t>
        </is>
      </c>
    </row>
    <row r="2598">
      <c r="A2598" s="173" t="n">
        <v>47519</v>
      </c>
      <c r="B2598" s="174" t="n">
        <v>47519</v>
      </c>
      <c r="C2598" s="174" t="n">
        <v>1408</v>
      </c>
      <c r="D2598" s="174" t="n">
        <v>11</v>
      </c>
      <c r="E2598" s="175" t="inlineStr">
        <is>
          <t>1408/11/17</t>
        </is>
      </c>
      <c r="F2598" s="128" t="inlineStr">
        <is>
          <t>1408/11</t>
        </is>
      </c>
      <c r="G2598" s="58" t="inlineStr">
        <is>
          <t>بهمن</t>
        </is>
      </c>
      <c r="H2598" s="128" t="inlineStr">
        <is>
          <t>زمستان</t>
        </is>
      </c>
      <c r="I2598" s="128" t="inlineStr">
        <is>
          <t>سه‌شنبه</t>
        </is>
      </c>
      <c r="J2598" s="128" t="inlineStr">
        <is>
          <t>بله</t>
        </is>
      </c>
    </row>
    <row r="2599">
      <c r="A2599" s="176" t="n">
        <v>47520</v>
      </c>
      <c r="B2599" s="177" t="n">
        <v>47520</v>
      </c>
      <c r="C2599" s="177" t="n">
        <v>1408</v>
      </c>
      <c r="D2599" s="177" t="n">
        <v>11</v>
      </c>
      <c r="E2599" s="178" t="inlineStr">
        <is>
          <t>1408/11/18</t>
        </is>
      </c>
      <c r="F2599" s="134" t="inlineStr">
        <is>
          <t>1408/11</t>
        </is>
      </c>
      <c r="G2599" s="61" t="inlineStr">
        <is>
          <t>بهمن</t>
        </is>
      </c>
      <c r="H2599" s="134" t="inlineStr">
        <is>
          <t>زمستان</t>
        </is>
      </c>
      <c r="I2599" s="134" t="inlineStr">
        <is>
          <t>چهارشنبه</t>
        </is>
      </c>
      <c r="J2599" s="134" t="inlineStr">
        <is>
          <t>بله</t>
        </is>
      </c>
    </row>
    <row r="2600">
      <c r="A2600" s="173" t="n">
        <v>47521</v>
      </c>
      <c r="B2600" s="174" t="n">
        <v>47521</v>
      </c>
      <c r="C2600" s="174" t="n">
        <v>1408</v>
      </c>
      <c r="D2600" s="174" t="n">
        <v>11</v>
      </c>
      <c r="E2600" s="175" t="inlineStr">
        <is>
          <t>1408/11/19</t>
        </is>
      </c>
      <c r="F2600" s="128" t="inlineStr">
        <is>
          <t>1408/11</t>
        </is>
      </c>
      <c r="G2600" s="58" t="inlineStr">
        <is>
          <t>بهمن</t>
        </is>
      </c>
      <c r="H2600" s="128" t="inlineStr">
        <is>
          <t>زمستان</t>
        </is>
      </c>
      <c r="I2600" s="128" t="inlineStr">
        <is>
          <t>پنجشنبه</t>
        </is>
      </c>
      <c r="J2600" s="128" t="inlineStr">
        <is>
          <t>بله</t>
        </is>
      </c>
    </row>
    <row r="2601">
      <c r="A2601" s="176" t="n">
        <v>47522</v>
      </c>
      <c r="B2601" s="177" t="n">
        <v>47522</v>
      </c>
      <c r="C2601" s="177" t="n">
        <v>1408</v>
      </c>
      <c r="D2601" s="177" t="n">
        <v>11</v>
      </c>
      <c r="E2601" s="178" t="inlineStr">
        <is>
          <t>1408/11/20</t>
        </is>
      </c>
      <c r="F2601" s="134" t="inlineStr">
        <is>
          <t>1408/11</t>
        </is>
      </c>
      <c r="G2601" s="61" t="inlineStr">
        <is>
          <t>بهمن</t>
        </is>
      </c>
      <c r="H2601" s="134" t="inlineStr">
        <is>
          <t>زمستان</t>
        </is>
      </c>
      <c r="I2601" s="134" t="inlineStr">
        <is>
          <t>جمعه</t>
        </is>
      </c>
      <c r="J2601" s="134" t="inlineStr">
        <is>
          <t>بله</t>
        </is>
      </c>
    </row>
    <row r="2602">
      <c r="A2602" s="173" t="n">
        <v>47523</v>
      </c>
      <c r="B2602" s="174" t="n">
        <v>47523</v>
      </c>
      <c r="C2602" s="174" t="n">
        <v>1408</v>
      </c>
      <c r="D2602" s="174" t="n">
        <v>11</v>
      </c>
      <c r="E2602" s="175" t="inlineStr">
        <is>
          <t>1408/11/21</t>
        </is>
      </c>
      <c r="F2602" s="128" t="inlineStr">
        <is>
          <t>1408/11</t>
        </is>
      </c>
      <c r="G2602" s="58" t="inlineStr">
        <is>
          <t>بهمن</t>
        </is>
      </c>
      <c r="H2602" s="128" t="inlineStr">
        <is>
          <t>زمستان</t>
        </is>
      </c>
      <c r="I2602" s="128" t="inlineStr">
        <is>
          <t>شنبه</t>
        </is>
      </c>
      <c r="J2602" s="128" t="inlineStr">
        <is>
          <t>خیر</t>
        </is>
      </c>
    </row>
    <row r="2603">
      <c r="A2603" s="176" t="n">
        <v>47524</v>
      </c>
      <c r="B2603" s="177" t="n">
        <v>47524</v>
      </c>
      <c r="C2603" s="177" t="n">
        <v>1408</v>
      </c>
      <c r="D2603" s="177" t="n">
        <v>11</v>
      </c>
      <c r="E2603" s="178" t="inlineStr">
        <is>
          <t>1408/11/22</t>
        </is>
      </c>
      <c r="F2603" s="134" t="inlineStr">
        <is>
          <t>1408/11</t>
        </is>
      </c>
      <c r="G2603" s="61" t="inlineStr">
        <is>
          <t>بهمن</t>
        </is>
      </c>
      <c r="H2603" s="134" t="inlineStr">
        <is>
          <t>زمستان</t>
        </is>
      </c>
      <c r="I2603" s="134" t="inlineStr">
        <is>
          <t>یکشنبه</t>
        </is>
      </c>
      <c r="J2603" s="134" t="inlineStr">
        <is>
          <t>خیر</t>
        </is>
      </c>
    </row>
    <row r="2604">
      <c r="A2604" s="173" t="n">
        <v>47525</v>
      </c>
      <c r="B2604" s="174" t="n">
        <v>47525</v>
      </c>
      <c r="C2604" s="174" t="n">
        <v>1408</v>
      </c>
      <c r="D2604" s="174" t="n">
        <v>11</v>
      </c>
      <c r="E2604" s="175" t="inlineStr">
        <is>
          <t>1408/11/23</t>
        </is>
      </c>
      <c r="F2604" s="128" t="inlineStr">
        <is>
          <t>1408/11</t>
        </is>
      </c>
      <c r="G2604" s="58" t="inlineStr">
        <is>
          <t>بهمن</t>
        </is>
      </c>
      <c r="H2604" s="128" t="inlineStr">
        <is>
          <t>زمستان</t>
        </is>
      </c>
      <c r="I2604" s="128" t="inlineStr">
        <is>
          <t>دوشنبه</t>
        </is>
      </c>
      <c r="J2604" s="128" t="inlineStr">
        <is>
          <t>بله</t>
        </is>
      </c>
    </row>
    <row r="2605">
      <c r="A2605" s="176" t="n">
        <v>47526</v>
      </c>
      <c r="B2605" s="177" t="n">
        <v>47526</v>
      </c>
      <c r="C2605" s="177" t="n">
        <v>1408</v>
      </c>
      <c r="D2605" s="177" t="n">
        <v>11</v>
      </c>
      <c r="E2605" s="178" t="inlineStr">
        <is>
          <t>1408/11/24</t>
        </is>
      </c>
      <c r="F2605" s="134" t="inlineStr">
        <is>
          <t>1408/11</t>
        </is>
      </c>
      <c r="G2605" s="61" t="inlineStr">
        <is>
          <t>بهمن</t>
        </is>
      </c>
      <c r="H2605" s="134" t="inlineStr">
        <is>
          <t>زمستان</t>
        </is>
      </c>
      <c r="I2605" s="134" t="inlineStr">
        <is>
          <t>سه‌شنبه</t>
        </is>
      </c>
      <c r="J2605" s="134" t="inlineStr">
        <is>
          <t>بله</t>
        </is>
      </c>
    </row>
    <row r="2606">
      <c r="A2606" s="173" t="n">
        <v>47527</v>
      </c>
      <c r="B2606" s="174" t="n">
        <v>47527</v>
      </c>
      <c r="C2606" s="174" t="n">
        <v>1408</v>
      </c>
      <c r="D2606" s="174" t="n">
        <v>11</v>
      </c>
      <c r="E2606" s="175" t="inlineStr">
        <is>
          <t>1408/11/25</t>
        </is>
      </c>
      <c r="F2606" s="128" t="inlineStr">
        <is>
          <t>1408/11</t>
        </is>
      </c>
      <c r="G2606" s="58" t="inlineStr">
        <is>
          <t>بهمن</t>
        </is>
      </c>
      <c r="H2606" s="128" t="inlineStr">
        <is>
          <t>زمستان</t>
        </is>
      </c>
      <c r="I2606" s="128" t="inlineStr">
        <is>
          <t>چهارشنبه</t>
        </is>
      </c>
      <c r="J2606" s="128" t="inlineStr">
        <is>
          <t>بله</t>
        </is>
      </c>
    </row>
    <row r="2607">
      <c r="A2607" s="176" t="n">
        <v>47528</v>
      </c>
      <c r="B2607" s="177" t="n">
        <v>47528</v>
      </c>
      <c r="C2607" s="177" t="n">
        <v>1408</v>
      </c>
      <c r="D2607" s="177" t="n">
        <v>11</v>
      </c>
      <c r="E2607" s="178" t="inlineStr">
        <is>
          <t>1408/11/26</t>
        </is>
      </c>
      <c r="F2607" s="134" t="inlineStr">
        <is>
          <t>1408/11</t>
        </is>
      </c>
      <c r="G2607" s="61" t="inlineStr">
        <is>
          <t>بهمن</t>
        </is>
      </c>
      <c r="H2607" s="134" t="inlineStr">
        <is>
          <t>زمستان</t>
        </is>
      </c>
      <c r="I2607" s="134" t="inlineStr">
        <is>
          <t>پنجشنبه</t>
        </is>
      </c>
      <c r="J2607" s="134" t="inlineStr">
        <is>
          <t>بله</t>
        </is>
      </c>
    </row>
    <row r="2608">
      <c r="A2608" s="173" t="n">
        <v>47529</v>
      </c>
      <c r="B2608" s="174" t="n">
        <v>47529</v>
      </c>
      <c r="C2608" s="174" t="n">
        <v>1408</v>
      </c>
      <c r="D2608" s="174" t="n">
        <v>11</v>
      </c>
      <c r="E2608" s="175" t="inlineStr">
        <is>
          <t>1408/11/27</t>
        </is>
      </c>
      <c r="F2608" s="128" t="inlineStr">
        <is>
          <t>1408/11</t>
        </is>
      </c>
      <c r="G2608" s="58" t="inlineStr">
        <is>
          <t>بهمن</t>
        </is>
      </c>
      <c r="H2608" s="128" t="inlineStr">
        <is>
          <t>زمستان</t>
        </is>
      </c>
      <c r="I2608" s="128" t="inlineStr">
        <is>
          <t>جمعه</t>
        </is>
      </c>
      <c r="J2608" s="128" t="inlineStr">
        <is>
          <t>بله</t>
        </is>
      </c>
    </row>
    <row r="2609">
      <c r="A2609" s="176" t="n">
        <v>47530</v>
      </c>
      <c r="B2609" s="177" t="n">
        <v>47530</v>
      </c>
      <c r="C2609" s="177" t="n">
        <v>1408</v>
      </c>
      <c r="D2609" s="177" t="n">
        <v>11</v>
      </c>
      <c r="E2609" s="178" t="inlineStr">
        <is>
          <t>1408/11/28</t>
        </is>
      </c>
      <c r="F2609" s="134" t="inlineStr">
        <is>
          <t>1408/11</t>
        </is>
      </c>
      <c r="G2609" s="61" t="inlineStr">
        <is>
          <t>بهمن</t>
        </is>
      </c>
      <c r="H2609" s="134" t="inlineStr">
        <is>
          <t>زمستان</t>
        </is>
      </c>
      <c r="I2609" s="134" t="inlineStr">
        <is>
          <t>شنبه</t>
        </is>
      </c>
      <c r="J2609" s="134" t="inlineStr">
        <is>
          <t>خیر</t>
        </is>
      </c>
    </row>
    <row r="2610">
      <c r="A2610" s="173" t="n">
        <v>47531</v>
      </c>
      <c r="B2610" s="174" t="n">
        <v>47531</v>
      </c>
      <c r="C2610" s="174" t="n">
        <v>1408</v>
      </c>
      <c r="D2610" s="174" t="n">
        <v>11</v>
      </c>
      <c r="E2610" s="175" t="inlineStr">
        <is>
          <t>1408/11/29</t>
        </is>
      </c>
      <c r="F2610" s="128" t="inlineStr">
        <is>
          <t>1408/11</t>
        </is>
      </c>
      <c r="G2610" s="58" t="inlineStr">
        <is>
          <t>بهمن</t>
        </is>
      </c>
      <c r="H2610" s="128" t="inlineStr">
        <is>
          <t>زمستان</t>
        </is>
      </c>
      <c r="I2610" s="128" t="inlineStr">
        <is>
          <t>یکشنبه</t>
        </is>
      </c>
      <c r="J2610" s="128" t="inlineStr">
        <is>
          <t>خیر</t>
        </is>
      </c>
    </row>
    <row r="2611">
      <c r="A2611" s="176" t="n">
        <v>47532</v>
      </c>
      <c r="B2611" s="177" t="n">
        <v>47532</v>
      </c>
      <c r="C2611" s="177" t="n">
        <v>1408</v>
      </c>
      <c r="D2611" s="177" t="n">
        <v>11</v>
      </c>
      <c r="E2611" s="178" t="inlineStr">
        <is>
          <t>1408/11/30</t>
        </is>
      </c>
      <c r="F2611" s="134" t="inlineStr">
        <is>
          <t>1408/11</t>
        </is>
      </c>
      <c r="G2611" s="61" t="inlineStr">
        <is>
          <t>بهمن</t>
        </is>
      </c>
      <c r="H2611" s="134" t="inlineStr">
        <is>
          <t>زمستان</t>
        </is>
      </c>
      <c r="I2611" s="134" t="inlineStr">
        <is>
          <t>دوشنبه</t>
        </is>
      </c>
      <c r="J2611" s="134" t="inlineStr">
        <is>
          <t>بله</t>
        </is>
      </c>
    </row>
    <row r="2612">
      <c r="A2612" s="173" t="n">
        <v>47533</v>
      </c>
      <c r="B2612" s="174" t="n">
        <v>47533</v>
      </c>
      <c r="C2612" s="174" t="n">
        <v>1408</v>
      </c>
      <c r="D2612" s="174" t="n">
        <v>12</v>
      </c>
      <c r="E2612" s="175" t="inlineStr">
        <is>
          <t>1408/12/01</t>
        </is>
      </c>
      <c r="F2612" s="128" t="inlineStr">
        <is>
          <t>1408/12</t>
        </is>
      </c>
      <c r="G2612" s="58" t="inlineStr">
        <is>
          <t>اسفند</t>
        </is>
      </c>
      <c r="H2612" s="128" t="inlineStr">
        <is>
          <t>زمستان</t>
        </is>
      </c>
      <c r="I2612" s="128" t="inlineStr">
        <is>
          <t>سه‌شنبه</t>
        </is>
      </c>
      <c r="J2612" s="128" t="inlineStr">
        <is>
          <t>بله</t>
        </is>
      </c>
    </row>
    <row r="2613">
      <c r="A2613" s="176" t="n">
        <v>47534</v>
      </c>
      <c r="B2613" s="177" t="n">
        <v>47534</v>
      </c>
      <c r="C2613" s="177" t="n">
        <v>1408</v>
      </c>
      <c r="D2613" s="177" t="n">
        <v>12</v>
      </c>
      <c r="E2613" s="178" t="inlineStr">
        <is>
          <t>1408/12/02</t>
        </is>
      </c>
      <c r="F2613" s="134" t="inlineStr">
        <is>
          <t>1408/12</t>
        </is>
      </c>
      <c r="G2613" s="61" t="inlineStr">
        <is>
          <t>اسفند</t>
        </is>
      </c>
      <c r="H2613" s="134" t="inlineStr">
        <is>
          <t>زمستان</t>
        </is>
      </c>
      <c r="I2613" s="134" t="inlineStr">
        <is>
          <t>چهارشنبه</t>
        </is>
      </c>
      <c r="J2613" s="134" t="inlineStr">
        <is>
          <t>بله</t>
        </is>
      </c>
    </row>
    <row r="2614">
      <c r="A2614" s="173" t="n">
        <v>47535</v>
      </c>
      <c r="B2614" s="174" t="n">
        <v>47535</v>
      </c>
      <c r="C2614" s="174" t="n">
        <v>1408</v>
      </c>
      <c r="D2614" s="174" t="n">
        <v>12</v>
      </c>
      <c r="E2614" s="175" t="inlineStr">
        <is>
          <t>1408/12/03</t>
        </is>
      </c>
      <c r="F2614" s="128" t="inlineStr">
        <is>
          <t>1408/12</t>
        </is>
      </c>
      <c r="G2614" s="58" t="inlineStr">
        <is>
          <t>اسفند</t>
        </is>
      </c>
      <c r="H2614" s="128" t="inlineStr">
        <is>
          <t>زمستان</t>
        </is>
      </c>
      <c r="I2614" s="128" t="inlineStr">
        <is>
          <t>پنجشنبه</t>
        </is>
      </c>
      <c r="J2614" s="128" t="inlineStr">
        <is>
          <t>بله</t>
        </is>
      </c>
    </row>
    <row r="2615">
      <c r="A2615" s="176" t="n">
        <v>47536</v>
      </c>
      <c r="B2615" s="177" t="n">
        <v>47536</v>
      </c>
      <c r="C2615" s="177" t="n">
        <v>1408</v>
      </c>
      <c r="D2615" s="177" t="n">
        <v>12</v>
      </c>
      <c r="E2615" s="178" t="inlineStr">
        <is>
          <t>1408/12/04</t>
        </is>
      </c>
      <c r="F2615" s="134" t="inlineStr">
        <is>
          <t>1408/12</t>
        </is>
      </c>
      <c r="G2615" s="61" t="inlineStr">
        <is>
          <t>اسفند</t>
        </is>
      </c>
      <c r="H2615" s="134" t="inlineStr">
        <is>
          <t>زمستان</t>
        </is>
      </c>
      <c r="I2615" s="134" t="inlineStr">
        <is>
          <t>جمعه</t>
        </is>
      </c>
      <c r="J2615" s="134" t="inlineStr">
        <is>
          <t>بله</t>
        </is>
      </c>
    </row>
    <row r="2616">
      <c r="A2616" s="173" t="n">
        <v>47537</v>
      </c>
      <c r="B2616" s="174" t="n">
        <v>47537</v>
      </c>
      <c r="C2616" s="174" t="n">
        <v>1408</v>
      </c>
      <c r="D2616" s="174" t="n">
        <v>12</v>
      </c>
      <c r="E2616" s="175" t="inlineStr">
        <is>
          <t>1408/12/05</t>
        </is>
      </c>
      <c r="F2616" s="128" t="inlineStr">
        <is>
          <t>1408/12</t>
        </is>
      </c>
      <c r="G2616" s="58" t="inlineStr">
        <is>
          <t>اسفند</t>
        </is>
      </c>
      <c r="H2616" s="128" t="inlineStr">
        <is>
          <t>زمستان</t>
        </is>
      </c>
      <c r="I2616" s="128" t="inlineStr">
        <is>
          <t>شنبه</t>
        </is>
      </c>
      <c r="J2616" s="128" t="inlineStr">
        <is>
          <t>خیر</t>
        </is>
      </c>
    </row>
    <row r="2617">
      <c r="A2617" s="176" t="n">
        <v>47538</v>
      </c>
      <c r="B2617" s="177" t="n">
        <v>47538</v>
      </c>
      <c r="C2617" s="177" t="n">
        <v>1408</v>
      </c>
      <c r="D2617" s="177" t="n">
        <v>12</v>
      </c>
      <c r="E2617" s="178" t="inlineStr">
        <is>
          <t>1408/12/06</t>
        </is>
      </c>
      <c r="F2617" s="134" t="inlineStr">
        <is>
          <t>1408/12</t>
        </is>
      </c>
      <c r="G2617" s="61" t="inlineStr">
        <is>
          <t>اسفند</t>
        </is>
      </c>
      <c r="H2617" s="134" t="inlineStr">
        <is>
          <t>زمستان</t>
        </is>
      </c>
      <c r="I2617" s="134" t="inlineStr">
        <is>
          <t>یکشنبه</t>
        </is>
      </c>
      <c r="J2617" s="134" t="inlineStr">
        <is>
          <t>خیر</t>
        </is>
      </c>
    </row>
    <row r="2618">
      <c r="A2618" s="173" t="n">
        <v>47539</v>
      </c>
      <c r="B2618" s="174" t="n">
        <v>47539</v>
      </c>
      <c r="C2618" s="174" t="n">
        <v>1408</v>
      </c>
      <c r="D2618" s="174" t="n">
        <v>12</v>
      </c>
      <c r="E2618" s="175" t="inlineStr">
        <is>
          <t>1408/12/07</t>
        </is>
      </c>
      <c r="F2618" s="128" t="inlineStr">
        <is>
          <t>1408/12</t>
        </is>
      </c>
      <c r="G2618" s="58" t="inlineStr">
        <is>
          <t>اسفند</t>
        </is>
      </c>
      <c r="H2618" s="128" t="inlineStr">
        <is>
          <t>زمستان</t>
        </is>
      </c>
      <c r="I2618" s="128" t="inlineStr">
        <is>
          <t>دوشنبه</t>
        </is>
      </c>
      <c r="J2618" s="128" t="inlineStr">
        <is>
          <t>بله</t>
        </is>
      </c>
    </row>
    <row r="2619">
      <c r="A2619" s="176" t="n">
        <v>47540</v>
      </c>
      <c r="B2619" s="177" t="n">
        <v>47540</v>
      </c>
      <c r="C2619" s="177" t="n">
        <v>1408</v>
      </c>
      <c r="D2619" s="177" t="n">
        <v>12</v>
      </c>
      <c r="E2619" s="178" t="inlineStr">
        <is>
          <t>1408/12/08</t>
        </is>
      </c>
      <c r="F2619" s="134" t="inlineStr">
        <is>
          <t>1408/12</t>
        </is>
      </c>
      <c r="G2619" s="61" t="inlineStr">
        <is>
          <t>اسفند</t>
        </is>
      </c>
      <c r="H2619" s="134" t="inlineStr">
        <is>
          <t>زمستان</t>
        </is>
      </c>
      <c r="I2619" s="134" t="inlineStr">
        <is>
          <t>سه‌شنبه</t>
        </is>
      </c>
      <c r="J2619" s="134" t="inlineStr">
        <is>
          <t>بله</t>
        </is>
      </c>
    </row>
    <row r="2620">
      <c r="A2620" s="173" t="n">
        <v>47541</v>
      </c>
      <c r="B2620" s="174" t="n">
        <v>47541</v>
      </c>
      <c r="C2620" s="174" t="n">
        <v>1408</v>
      </c>
      <c r="D2620" s="174" t="n">
        <v>12</v>
      </c>
      <c r="E2620" s="175" t="inlineStr">
        <is>
          <t>1408/12/09</t>
        </is>
      </c>
      <c r="F2620" s="128" t="inlineStr">
        <is>
          <t>1408/12</t>
        </is>
      </c>
      <c r="G2620" s="58" t="inlineStr">
        <is>
          <t>اسفند</t>
        </is>
      </c>
      <c r="H2620" s="128" t="inlineStr">
        <is>
          <t>زمستان</t>
        </is>
      </c>
      <c r="I2620" s="128" t="inlineStr">
        <is>
          <t>چهارشنبه</t>
        </is>
      </c>
      <c r="J2620" s="128" t="inlineStr">
        <is>
          <t>بله</t>
        </is>
      </c>
    </row>
    <row r="2621">
      <c r="A2621" s="176" t="n">
        <v>47542</v>
      </c>
      <c r="B2621" s="177" t="n">
        <v>47542</v>
      </c>
      <c r="C2621" s="177" t="n">
        <v>1408</v>
      </c>
      <c r="D2621" s="177" t="n">
        <v>12</v>
      </c>
      <c r="E2621" s="178" t="inlineStr">
        <is>
          <t>1408/12/10</t>
        </is>
      </c>
      <c r="F2621" s="134" t="inlineStr">
        <is>
          <t>1408/12</t>
        </is>
      </c>
      <c r="G2621" s="61" t="inlineStr">
        <is>
          <t>اسفند</t>
        </is>
      </c>
      <c r="H2621" s="134" t="inlineStr">
        <is>
          <t>زمستان</t>
        </is>
      </c>
      <c r="I2621" s="134" t="inlineStr">
        <is>
          <t>پنجشنبه</t>
        </is>
      </c>
      <c r="J2621" s="134" t="inlineStr">
        <is>
          <t>بله</t>
        </is>
      </c>
    </row>
    <row r="2622">
      <c r="A2622" s="173" t="n">
        <v>47543</v>
      </c>
      <c r="B2622" s="174" t="n">
        <v>47543</v>
      </c>
      <c r="C2622" s="174" t="n">
        <v>1408</v>
      </c>
      <c r="D2622" s="174" t="n">
        <v>12</v>
      </c>
      <c r="E2622" s="175" t="inlineStr">
        <is>
          <t>1408/12/11</t>
        </is>
      </c>
      <c r="F2622" s="128" t="inlineStr">
        <is>
          <t>1408/12</t>
        </is>
      </c>
      <c r="G2622" s="58" t="inlineStr">
        <is>
          <t>اسفند</t>
        </is>
      </c>
      <c r="H2622" s="128" t="inlineStr">
        <is>
          <t>زمستان</t>
        </is>
      </c>
      <c r="I2622" s="128" t="inlineStr">
        <is>
          <t>جمعه</t>
        </is>
      </c>
      <c r="J2622" s="128" t="inlineStr">
        <is>
          <t>بله</t>
        </is>
      </c>
    </row>
    <row r="2623">
      <c r="A2623" s="176" t="n">
        <v>47544</v>
      </c>
      <c r="B2623" s="177" t="n">
        <v>47544</v>
      </c>
      <c r="C2623" s="177" t="n">
        <v>1408</v>
      </c>
      <c r="D2623" s="177" t="n">
        <v>12</v>
      </c>
      <c r="E2623" s="178" t="inlineStr">
        <is>
          <t>1408/12/12</t>
        </is>
      </c>
      <c r="F2623" s="134" t="inlineStr">
        <is>
          <t>1408/12</t>
        </is>
      </c>
      <c r="G2623" s="61" t="inlineStr">
        <is>
          <t>اسفند</t>
        </is>
      </c>
      <c r="H2623" s="134" t="inlineStr">
        <is>
          <t>زمستان</t>
        </is>
      </c>
      <c r="I2623" s="134" t="inlineStr">
        <is>
          <t>شنبه</t>
        </is>
      </c>
      <c r="J2623" s="134" t="inlineStr">
        <is>
          <t>خیر</t>
        </is>
      </c>
    </row>
    <row r="2624">
      <c r="A2624" s="173" t="n">
        <v>47545</v>
      </c>
      <c r="B2624" s="174" t="n">
        <v>47545</v>
      </c>
      <c r="C2624" s="174" t="n">
        <v>1408</v>
      </c>
      <c r="D2624" s="174" t="n">
        <v>12</v>
      </c>
      <c r="E2624" s="175" t="inlineStr">
        <is>
          <t>1408/12/13</t>
        </is>
      </c>
      <c r="F2624" s="128" t="inlineStr">
        <is>
          <t>1408/12</t>
        </is>
      </c>
      <c r="G2624" s="58" t="inlineStr">
        <is>
          <t>اسفند</t>
        </is>
      </c>
      <c r="H2624" s="128" t="inlineStr">
        <is>
          <t>زمستان</t>
        </is>
      </c>
      <c r="I2624" s="128" t="inlineStr">
        <is>
          <t>یکشنبه</t>
        </is>
      </c>
      <c r="J2624" s="128" t="inlineStr">
        <is>
          <t>خیر</t>
        </is>
      </c>
    </row>
    <row r="2625">
      <c r="A2625" s="176" t="n">
        <v>47546</v>
      </c>
      <c r="B2625" s="177" t="n">
        <v>47546</v>
      </c>
      <c r="C2625" s="177" t="n">
        <v>1408</v>
      </c>
      <c r="D2625" s="177" t="n">
        <v>12</v>
      </c>
      <c r="E2625" s="178" t="inlineStr">
        <is>
          <t>1408/12/14</t>
        </is>
      </c>
      <c r="F2625" s="134" t="inlineStr">
        <is>
          <t>1408/12</t>
        </is>
      </c>
      <c r="G2625" s="61" t="inlineStr">
        <is>
          <t>اسفند</t>
        </is>
      </c>
      <c r="H2625" s="134" t="inlineStr">
        <is>
          <t>زمستان</t>
        </is>
      </c>
      <c r="I2625" s="134" t="inlineStr">
        <is>
          <t>دوشنبه</t>
        </is>
      </c>
      <c r="J2625" s="134" t="inlineStr">
        <is>
          <t>بله</t>
        </is>
      </c>
    </row>
    <row r="2626">
      <c r="A2626" s="173" t="n">
        <v>47547</v>
      </c>
      <c r="B2626" s="174" t="n">
        <v>47547</v>
      </c>
      <c r="C2626" s="174" t="n">
        <v>1408</v>
      </c>
      <c r="D2626" s="174" t="n">
        <v>12</v>
      </c>
      <c r="E2626" s="175" t="inlineStr">
        <is>
          <t>1408/12/15</t>
        </is>
      </c>
      <c r="F2626" s="128" t="inlineStr">
        <is>
          <t>1408/12</t>
        </is>
      </c>
      <c r="G2626" s="58" t="inlineStr">
        <is>
          <t>اسفند</t>
        </is>
      </c>
      <c r="H2626" s="128" t="inlineStr">
        <is>
          <t>زمستان</t>
        </is>
      </c>
      <c r="I2626" s="128" t="inlineStr">
        <is>
          <t>سه‌شنبه</t>
        </is>
      </c>
      <c r="J2626" s="128" t="inlineStr">
        <is>
          <t>بله</t>
        </is>
      </c>
    </row>
    <row r="2627">
      <c r="A2627" s="176" t="n">
        <v>47548</v>
      </c>
      <c r="B2627" s="177" t="n">
        <v>47548</v>
      </c>
      <c r="C2627" s="177" t="n">
        <v>1408</v>
      </c>
      <c r="D2627" s="177" t="n">
        <v>12</v>
      </c>
      <c r="E2627" s="178" t="inlineStr">
        <is>
          <t>1408/12/16</t>
        </is>
      </c>
      <c r="F2627" s="134" t="inlineStr">
        <is>
          <t>1408/12</t>
        </is>
      </c>
      <c r="G2627" s="61" t="inlineStr">
        <is>
          <t>اسفند</t>
        </is>
      </c>
      <c r="H2627" s="134" t="inlineStr">
        <is>
          <t>زمستان</t>
        </is>
      </c>
      <c r="I2627" s="134" t="inlineStr">
        <is>
          <t>چهارشنبه</t>
        </is>
      </c>
      <c r="J2627" s="134" t="inlineStr">
        <is>
          <t>بله</t>
        </is>
      </c>
    </row>
    <row r="2628">
      <c r="A2628" s="173" t="n">
        <v>47549</v>
      </c>
      <c r="B2628" s="174" t="n">
        <v>47549</v>
      </c>
      <c r="C2628" s="174" t="n">
        <v>1408</v>
      </c>
      <c r="D2628" s="174" t="n">
        <v>12</v>
      </c>
      <c r="E2628" s="175" t="inlineStr">
        <is>
          <t>1408/12/17</t>
        </is>
      </c>
      <c r="F2628" s="128" t="inlineStr">
        <is>
          <t>1408/12</t>
        </is>
      </c>
      <c r="G2628" s="58" t="inlineStr">
        <is>
          <t>اسفند</t>
        </is>
      </c>
      <c r="H2628" s="128" t="inlineStr">
        <is>
          <t>زمستان</t>
        </is>
      </c>
      <c r="I2628" s="128" t="inlineStr">
        <is>
          <t>پنجشنبه</t>
        </is>
      </c>
      <c r="J2628" s="128" t="inlineStr">
        <is>
          <t>بله</t>
        </is>
      </c>
    </row>
    <row r="2629">
      <c r="A2629" s="176" t="n">
        <v>47550</v>
      </c>
      <c r="B2629" s="177" t="n">
        <v>47550</v>
      </c>
      <c r="C2629" s="177" t="n">
        <v>1408</v>
      </c>
      <c r="D2629" s="177" t="n">
        <v>12</v>
      </c>
      <c r="E2629" s="178" t="inlineStr">
        <is>
          <t>1408/12/18</t>
        </is>
      </c>
      <c r="F2629" s="134" t="inlineStr">
        <is>
          <t>1408/12</t>
        </is>
      </c>
      <c r="G2629" s="61" t="inlineStr">
        <is>
          <t>اسفند</t>
        </is>
      </c>
      <c r="H2629" s="134" t="inlineStr">
        <is>
          <t>زمستان</t>
        </is>
      </c>
      <c r="I2629" s="134" t="inlineStr">
        <is>
          <t>جمعه</t>
        </is>
      </c>
      <c r="J2629" s="134" t="inlineStr">
        <is>
          <t>بله</t>
        </is>
      </c>
    </row>
    <row r="2630">
      <c r="A2630" s="173" t="n">
        <v>47551</v>
      </c>
      <c r="B2630" s="174" t="n">
        <v>47551</v>
      </c>
      <c r="C2630" s="174" t="n">
        <v>1408</v>
      </c>
      <c r="D2630" s="174" t="n">
        <v>12</v>
      </c>
      <c r="E2630" s="175" t="inlineStr">
        <is>
          <t>1408/12/19</t>
        </is>
      </c>
      <c r="F2630" s="128" t="inlineStr">
        <is>
          <t>1408/12</t>
        </is>
      </c>
      <c r="G2630" s="58" t="inlineStr">
        <is>
          <t>اسفند</t>
        </is>
      </c>
      <c r="H2630" s="128" t="inlineStr">
        <is>
          <t>زمستان</t>
        </is>
      </c>
      <c r="I2630" s="128" t="inlineStr">
        <is>
          <t>شنبه</t>
        </is>
      </c>
      <c r="J2630" s="128" t="inlineStr">
        <is>
          <t>خیر</t>
        </is>
      </c>
    </row>
    <row r="2631">
      <c r="A2631" s="176" t="n">
        <v>47552</v>
      </c>
      <c r="B2631" s="177" t="n">
        <v>47552</v>
      </c>
      <c r="C2631" s="177" t="n">
        <v>1408</v>
      </c>
      <c r="D2631" s="177" t="n">
        <v>12</v>
      </c>
      <c r="E2631" s="178" t="inlineStr">
        <is>
          <t>1408/12/20</t>
        </is>
      </c>
      <c r="F2631" s="134" t="inlineStr">
        <is>
          <t>1408/12</t>
        </is>
      </c>
      <c r="G2631" s="61" t="inlineStr">
        <is>
          <t>اسفند</t>
        </is>
      </c>
      <c r="H2631" s="134" t="inlineStr">
        <is>
          <t>زمستان</t>
        </is>
      </c>
      <c r="I2631" s="134" t="inlineStr">
        <is>
          <t>یکشنبه</t>
        </is>
      </c>
      <c r="J2631" s="134" t="inlineStr">
        <is>
          <t>خیر</t>
        </is>
      </c>
    </row>
    <row r="2632">
      <c r="A2632" s="173" t="n">
        <v>47553</v>
      </c>
      <c r="B2632" s="174" t="n">
        <v>47553</v>
      </c>
      <c r="C2632" s="174" t="n">
        <v>1408</v>
      </c>
      <c r="D2632" s="174" t="n">
        <v>12</v>
      </c>
      <c r="E2632" s="175" t="inlineStr">
        <is>
          <t>1408/12/21</t>
        </is>
      </c>
      <c r="F2632" s="128" t="inlineStr">
        <is>
          <t>1408/12</t>
        </is>
      </c>
      <c r="G2632" s="58" t="inlineStr">
        <is>
          <t>اسفند</t>
        </is>
      </c>
      <c r="H2632" s="128" t="inlineStr">
        <is>
          <t>زمستان</t>
        </is>
      </c>
      <c r="I2632" s="128" t="inlineStr">
        <is>
          <t>دوشنبه</t>
        </is>
      </c>
      <c r="J2632" s="128" t="inlineStr">
        <is>
          <t>بله</t>
        </is>
      </c>
    </row>
    <row r="2633">
      <c r="A2633" s="176" t="n">
        <v>47554</v>
      </c>
      <c r="B2633" s="177" t="n">
        <v>47554</v>
      </c>
      <c r="C2633" s="177" t="n">
        <v>1408</v>
      </c>
      <c r="D2633" s="177" t="n">
        <v>12</v>
      </c>
      <c r="E2633" s="178" t="inlineStr">
        <is>
          <t>1408/12/22</t>
        </is>
      </c>
      <c r="F2633" s="134" t="inlineStr">
        <is>
          <t>1408/12</t>
        </is>
      </c>
      <c r="G2633" s="61" t="inlineStr">
        <is>
          <t>اسفند</t>
        </is>
      </c>
      <c r="H2633" s="134" t="inlineStr">
        <is>
          <t>زمستان</t>
        </is>
      </c>
      <c r="I2633" s="134" t="inlineStr">
        <is>
          <t>سه‌شنبه</t>
        </is>
      </c>
      <c r="J2633" s="134" t="inlineStr">
        <is>
          <t>بله</t>
        </is>
      </c>
    </row>
    <row r="2634">
      <c r="A2634" s="173" t="n">
        <v>47555</v>
      </c>
      <c r="B2634" s="174" t="n">
        <v>47555</v>
      </c>
      <c r="C2634" s="174" t="n">
        <v>1408</v>
      </c>
      <c r="D2634" s="174" t="n">
        <v>12</v>
      </c>
      <c r="E2634" s="175" t="inlineStr">
        <is>
          <t>1408/12/23</t>
        </is>
      </c>
      <c r="F2634" s="128" t="inlineStr">
        <is>
          <t>1408/12</t>
        </is>
      </c>
      <c r="G2634" s="58" t="inlineStr">
        <is>
          <t>اسفند</t>
        </is>
      </c>
      <c r="H2634" s="128" t="inlineStr">
        <is>
          <t>زمستان</t>
        </is>
      </c>
      <c r="I2634" s="128" t="inlineStr">
        <is>
          <t>چهارشنبه</t>
        </is>
      </c>
      <c r="J2634" s="128" t="inlineStr">
        <is>
          <t>بله</t>
        </is>
      </c>
    </row>
    <row r="2635">
      <c r="A2635" s="176" t="n">
        <v>47556</v>
      </c>
      <c r="B2635" s="177" t="n">
        <v>47556</v>
      </c>
      <c r="C2635" s="177" t="n">
        <v>1408</v>
      </c>
      <c r="D2635" s="177" t="n">
        <v>12</v>
      </c>
      <c r="E2635" s="178" t="inlineStr">
        <is>
          <t>1408/12/24</t>
        </is>
      </c>
      <c r="F2635" s="134" t="inlineStr">
        <is>
          <t>1408/12</t>
        </is>
      </c>
      <c r="G2635" s="61" t="inlineStr">
        <is>
          <t>اسفند</t>
        </is>
      </c>
      <c r="H2635" s="134" t="inlineStr">
        <is>
          <t>زمستان</t>
        </is>
      </c>
      <c r="I2635" s="134" t="inlineStr">
        <is>
          <t>پنجشنبه</t>
        </is>
      </c>
      <c r="J2635" s="134" t="inlineStr">
        <is>
          <t>بله</t>
        </is>
      </c>
    </row>
    <row r="2636">
      <c r="A2636" s="173" t="n">
        <v>47557</v>
      </c>
      <c r="B2636" s="174" t="n">
        <v>47557</v>
      </c>
      <c r="C2636" s="174" t="n">
        <v>1408</v>
      </c>
      <c r="D2636" s="174" t="n">
        <v>12</v>
      </c>
      <c r="E2636" s="175" t="inlineStr">
        <is>
          <t>1408/12/25</t>
        </is>
      </c>
      <c r="F2636" s="128" t="inlineStr">
        <is>
          <t>1408/12</t>
        </is>
      </c>
      <c r="G2636" s="58" t="inlineStr">
        <is>
          <t>اسفند</t>
        </is>
      </c>
      <c r="H2636" s="128" t="inlineStr">
        <is>
          <t>زمستان</t>
        </is>
      </c>
      <c r="I2636" s="128" t="inlineStr">
        <is>
          <t>جمعه</t>
        </is>
      </c>
      <c r="J2636" s="128" t="inlineStr">
        <is>
          <t>بله</t>
        </is>
      </c>
    </row>
    <row r="2637">
      <c r="A2637" s="176" t="n">
        <v>47558</v>
      </c>
      <c r="B2637" s="177" t="n">
        <v>47558</v>
      </c>
      <c r="C2637" s="177" t="n">
        <v>1408</v>
      </c>
      <c r="D2637" s="177" t="n">
        <v>12</v>
      </c>
      <c r="E2637" s="178" t="inlineStr">
        <is>
          <t>1408/12/26</t>
        </is>
      </c>
      <c r="F2637" s="134" t="inlineStr">
        <is>
          <t>1408/12</t>
        </is>
      </c>
      <c r="G2637" s="61" t="inlineStr">
        <is>
          <t>اسفند</t>
        </is>
      </c>
      <c r="H2637" s="134" t="inlineStr">
        <is>
          <t>زمستان</t>
        </is>
      </c>
      <c r="I2637" s="134" t="inlineStr">
        <is>
          <t>شنبه</t>
        </is>
      </c>
      <c r="J2637" s="134" t="inlineStr">
        <is>
          <t>خیر</t>
        </is>
      </c>
    </row>
    <row r="2638">
      <c r="A2638" s="173" t="n">
        <v>47559</v>
      </c>
      <c r="B2638" s="174" t="n">
        <v>47559</v>
      </c>
      <c r="C2638" s="174" t="n">
        <v>1408</v>
      </c>
      <c r="D2638" s="174" t="n">
        <v>12</v>
      </c>
      <c r="E2638" s="175" t="inlineStr">
        <is>
          <t>1408/12/27</t>
        </is>
      </c>
      <c r="F2638" s="128" t="inlineStr">
        <is>
          <t>1408/12</t>
        </is>
      </c>
      <c r="G2638" s="58" t="inlineStr">
        <is>
          <t>اسفند</t>
        </is>
      </c>
      <c r="H2638" s="128" t="inlineStr">
        <is>
          <t>زمستان</t>
        </is>
      </c>
      <c r="I2638" s="128" t="inlineStr">
        <is>
          <t>یکشنبه</t>
        </is>
      </c>
      <c r="J2638" s="128" t="inlineStr">
        <is>
          <t>خیر</t>
        </is>
      </c>
    </row>
    <row r="2639">
      <c r="A2639" s="176" t="n">
        <v>47560</v>
      </c>
      <c r="B2639" s="177" t="n">
        <v>47560</v>
      </c>
      <c r="C2639" s="177" t="n">
        <v>1408</v>
      </c>
      <c r="D2639" s="177" t="n">
        <v>12</v>
      </c>
      <c r="E2639" s="178" t="inlineStr">
        <is>
          <t>1408/12/28</t>
        </is>
      </c>
      <c r="F2639" s="134" t="inlineStr">
        <is>
          <t>1408/12</t>
        </is>
      </c>
      <c r="G2639" s="61" t="inlineStr">
        <is>
          <t>اسفند</t>
        </is>
      </c>
      <c r="H2639" s="134" t="inlineStr">
        <is>
          <t>زمستان</t>
        </is>
      </c>
      <c r="I2639" s="134" t="inlineStr">
        <is>
          <t>دوشنبه</t>
        </is>
      </c>
      <c r="J2639" s="134" t="inlineStr">
        <is>
          <t>بله</t>
        </is>
      </c>
    </row>
    <row r="2640">
      <c r="A2640" s="173" t="n">
        <v>47561</v>
      </c>
      <c r="B2640" s="174" t="n">
        <v>47561</v>
      </c>
      <c r="C2640" s="174" t="n">
        <v>1408</v>
      </c>
      <c r="D2640" s="174" t="n">
        <v>12</v>
      </c>
      <c r="E2640" s="175" t="inlineStr">
        <is>
          <t>1408/12/29</t>
        </is>
      </c>
      <c r="F2640" s="128" t="inlineStr">
        <is>
          <t>1408/12</t>
        </is>
      </c>
      <c r="G2640" s="58" t="inlineStr">
        <is>
          <t>اسفند</t>
        </is>
      </c>
      <c r="H2640" s="128" t="inlineStr">
        <is>
          <t>زمستان</t>
        </is>
      </c>
      <c r="I2640" s="128" t="inlineStr">
        <is>
          <t>سه‌شنبه</t>
        </is>
      </c>
      <c r="J2640" s="128" t="inlineStr">
        <is>
          <t>بله</t>
        </is>
      </c>
    </row>
    <row r="2641">
      <c r="A2641" s="176" t="n">
        <v>47562</v>
      </c>
      <c r="B2641" s="177" t="n">
        <v>47562</v>
      </c>
      <c r="C2641" s="177" t="n">
        <v>1408</v>
      </c>
      <c r="D2641" s="177" t="n">
        <v>12</v>
      </c>
      <c r="E2641" s="178" t="inlineStr">
        <is>
          <t>1408/12/30</t>
        </is>
      </c>
      <c r="F2641" s="134" t="inlineStr">
        <is>
          <t>1408/12</t>
        </is>
      </c>
      <c r="G2641" s="61" t="inlineStr">
        <is>
          <t>اسفند</t>
        </is>
      </c>
      <c r="H2641" s="134" t="inlineStr">
        <is>
          <t>زمستان</t>
        </is>
      </c>
      <c r="I2641" s="134" t="inlineStr">
        <is>
          <t>چهارشنبه</t>
        </is>
      </c>
      <c r="J2641" s="134" t="inlineStr">
        <is>
          <t>بله</t>
        </is>
      </c>
    </row>
    <row r="2642">
      <c r="A2642" s="173" t="n">
        <v>47563</v>
      </c>
      <c r="B2642" s="174" t="n">
        <v>47563</v>
      </c>
      <c r="C2642" s="174" t="n">
        <v>1409</v>
      </c>
      <c r="D2642" s="174" t="n">
        <v>1</v>
      </c>
      <c r="E2642" s="175" t="inlineStr">
        <is>
          <t>1409/01/01</t>
        </is>
      </c>
      <c r="F2642" s="128" t="inlineStr">
        <is>
          <t>1409/01</t>
        </is>
      </c>
      <c r="G2642" s="58" t="inlineStr">
        <is>
          <t>فروردین</t>
        </is>
      </c>
      <c r="H2642" s="128" t="inlineStr">
        <is>
          <t>بهار</t>
        </is>
      </c>
      <c r="I2642" s="128" t="inlineStr">
        <is>
          <t>پنجشنبه</t>
        </is>
      </c>
      <c r="J2642" s="128" t="inlineStr">
        <is>
          <t>بله</t>
        </is>
      </c>
    </row>
    <row r="2643">
      <c r="A2643" s="176" t="n">
        <v>47564</v>
      </c>
      <c r="B2643" s="177" t="n">
        <v>47564</v>
      </c>
      <c r="C2643" s="177" t="n">
        <v>1409</v>
      </c>
      <c r="D2643" s="177" t="n">
        <v>1</v>
      </c>
      <c r="E2643" s="178" t="inlineStr">
        <is>
          <t>1409/01/02</t>
        </is>
      </c>
      <c r="F2643" s="134" t="inlineStr">
        <is>
          <t>1409/01</t>
        </is>
      </c>
      <c r="G2643" s="61" t="inlineStr">
        <is>
          <t>فروردین</t>
        </is>
      </c>
      <c r="H2643" s="134" t="inlineStr">
        <is>
          <t>بهار</t>
        </is>
      </c>
      <c r="I2643" s="134" t="inlineStr">
        <is>
          <t>جمعه</t>
        </is>
      </c>
      <c r="J2643" s="134" t="inlineStr">
        <is>
          <t>بله</t>
        </is>
      </c>
    </row>
    <row r="2644">
      <c r="A2644" s="173" t="n">
        <v>47565</v>
      </c>
      <c r="B2644" s="174" t="n">
        <v>47565</v>
      </c>
      <c r="C2644" s="174" t="n">
        <v>1409</v>
      </c>
      <c r="D2644" s="174" t="n">
        <v>1</v>
      </c>
      <c r="E2644" s="175" t="inlineStr">
        <is>
          <t>1409/01/03</t>
        </is>
      </c>
      <c r="F2644" s="128" t="inlineStr">
        <is>
          <t>1409/01</t>
        </is>
      </c>
      <c r="G2644" s="58" t="inlineStr">
        <is>
          <t>فروردین</t>
        </is>
      </c>
      <c r="H2644" s="128" t="inlineStr">
        <is>
          <t>بهار</t>
        </is>
      </c>
      <c r="I2644" s="128" t="inlineStr">
        <is>
          <t>شنبه</t>
        </is>
      </c>
      <c r="J2644" s="128" t="inlineStr">
        <is>
          <t>خیر</t>
        </is>
      </c>
    </row>
    <row r="2645">
      <c r="A2645" s="176" t="n">
        <v>47566</v>
      </c>
      <c r="B2645" s="177" t="n">
        <v>47566</v>
      </c>
      <c r="C2645" s="177" t="n">
        <v>1409</v>
      </c>
      <c r="D2645" s="177" t="n">
        <v>1</v>
      </c>
      <c r="E2645" s="178" t="inlineStr">
        <is>
          <t>1409/01/04</t>
        </is>
      </c>
      <c r="F2645" s="134" t="inlineStr">
        <is>
          <t>1409/01</t>
        </is>
      </c>
      <c r="G2645" s="61" t="inlineStr">
        <is>
          <t>فروردین</t>
        </is>
      </c>
      <c r="H2645" s="134" t="inlineStr">
        <is>
          <t>بهار</t>
        </is>
      </c>
      <c r="I2645" s="134" t="inlineStr">
        <is>
          <t>یکشنبه</t>
        </is>
      </c>
      <c r="J2645" s="134" t="inlineStr">
        <is>
          <t>خیر</t>
        </is>
      </c>
    </row>
    <row r="2646">
      <c r="A2646" s="173" t="n">
        <v>47567</v>
      </c>
      <c r="B2646" s="174" t="n">
        <v>47567</v>
      </c>
      <c r="C2646" s="174" t="n">
        <v>1409</v>
      </c>
      <c r="D2646" s="174" t="n">
        <v>1</v>
      </c>
      <c r="E2646" s="175" t="inlineStr">
        <is>
          <t>1409/01/05</t>
        </is>
      </c>
      <c r="F2646" s="128" t="inlineStr">
        <is>
          <t>1409/01</t>
        </is>
      </c>
      <c r="G2646" s="58" t="inlineStr">
        <is>
          <t>فروردین</t>
        </is>
      </c>
      <c r="H2646" s="128" t="inlineStr">
        <is>
          <t>بهار</t>
        </is>
      </c>
      <c r="I2646" s="128" t="inlineStr">
        <is>
          <t>دوشنبه</t>
        </is>
      </c>
      <c r="J2646" s="128" t="inlineStr">
        <is>
          <t>بله</t>
        </is>
      </c>
    </row>
    <row r="2647">
      <c r="A2647" s="176" t="n">
        <v>47568</v>
      </c>
      <c r="B2647" s="177" t="n">
        <v>47568</v>
      </c>
      <c r="C2647" s="177" t="n">
        <v>1409</v>
      </c>
      <c r="D2647" s="177" t="n">
        <v>1</v>
      </c>
      <c r="E2647" s="178" t="inlineStr">
        <is>
          <t>1409/01/06</t>
        </is>
      </c>
      <c r="F2647" s="134" t="inlineStr">
        <is>
          <t>1409/01</t>
        </is>
      </c>
      <c r="G2647" s="61" t="inlineStr">
        <is>
          <t>فروردین</t>
        </is>
      </c>
      <c r="H2647" s="134" t="inlineStr">
        <is>
          <t>بهار</t>
        </is>
      </c>
      <c r="I2647" s="134" t="inlineStr">
        <is>
          <t>سه‌شنبه</t>
        </is>
      </c>
      <c r="J2647" s="134" t="inlineStr">
        <is>
          <t>بله</t>
        </is>
      </c>
    </row>
    <row r="2648">
      <c r="A2648" s="173" t="n">
        <v>47569</v>
      </c>
      <c r="B2648" s="174" t="n">
        <v>47569</v>
      </c>
      <c r="C2648" s="174" t="n">
        <v>1409</v>
      </c>
      <c r="D2648" s="174" t="n">
        <v>1</v>
      </c>
      <c r="E2648" s="175" t="inlineStr">
        <is>
          <t>1409/01/07</t>
        </is>
      </c>
      <c r="F2648" s="128" t="inlineStr">
        <is>
          <t>1409/01</t>
        </is>
      </c>
      <c r="G2648" s="58" t="inlineStr">
        <is>
          <t>فروردین</t>
        </is>
      </c>
      <c r="H2648" s="128" t="inlineStr">
        <is>
          <t>بهار</t>
        </is>
      </c>
      <c r="I2648" s="128" t="inlineStr">
        <is>
          <t>چهارشنبه</t>
        </is>
      </c>
      <c r="J2648" s="128" t="inlineStr">
        <is>
          <t>بله</t>
        </is>
      </c>
    </row>
    <row r="2649">
      <c r="A2649" s="176" t="n">
        <v>47570</v>
      </c>
      <c r="B2649" s="177" t="n">
        <v>47570</v>
      </c>
      <c r="C2649" s="177" t="n">
        <v>1409</v>
      </c>
      <c r="D2649" s="177" t="n">
        <v>1</v>
      </c>
      <c r="E2649" s="178" t="inlineStr">
        <is>
          <t>1409/01/08</t>
        </is>
      </c>
      <c r="F2649" s="134" t="inlineStr">
        <is>
          <t>1409/01</t>
        </is>
      </c>
      <c r="G2649" s="61" t="inlineStr">
        <is>
          <t>فروردین</t>
        </is>
      </c>
      <c r="H2649" s="134" t="inlineStr">
        <is>
          <t>بهار</t>
        </is>
      </c>
      <c r="I2649" s="134" t="inlineStr">
        <is>
          <t>پنجشنبه</t>
        </is>
      </c>
      <c r="J2649" s="134" t="inlineStr">
        <is>
          <t>بله</t>
        </is>
      </c>
    </row>
    <row r="2650">
      <c r="A2650" s="173" t="n">
        <v>47571</v>
      </c>
      <c r="B2650" s="174" t="n">
        <v>47571</v>
      </c>
      <c r="C2650" s="174" t="n">
        <v>1409</v>
      </c>
      <c r="D2650" s="174" t="n">
        <v>1</v>
      </c>
      <c r="E2650" s="175" t="inlineStr">
        <is>
          <t>1409/01/09</t>
        </is>
      </c>
      <c r="F2650" s="128" t="inlineStr">
        <is>
          <t>1409/01</t>
        </is>
      </c>
      <c r="G2650" s="58" t="inlineStr">
        <is>
          <t>فروردین</t>
        </is>
      </c>
      <c r="H2650" s="128" t="inlineStr">
        <is>
          <t>بهار</t>
        </is>
      </c>
      <c r="I2650" s="128" t="inlineStr">
        <is>
          <t>جمعه</t>
        </is>
      </c>
      <c r="J2650" s="128" t="inlineStr">
        <is>
          <t>بله</t>
        </is>
      </c>
    </row>
    <row r="2651">
      <c r="A2651" s="176" t="n">
        <v>47572</v>
      </c>
      <c r="B2651" s="177" t="n">
        <v>47572</v>
      </c>
      <c r="C2651" s="177" t="n">
        <v>1409</v>
      </c>
      <c r="D2651" s="177" t="n">
        <v>1</v>
      </c>
      <c r="E2651" s="178" t="inlineStr">
        <is>
          <t>1409/01/10</t>
        </is>
      </c>
      <c r="F2651" s="134" t="inlineStr">
        <is>
          <t>1409/01</t>
        </is>
      </c>
      <c r="G2651" s="61" t="inlineStr">
        <is>
          <t>فروردین</t>
        </is>
      </c>
      <c r="H2651" s="134" t="inlineStr">
        <is>
          <t>بهار</t>
        </is>
      </c>
      <c r="I2651" s="134" t="inlineStr">
        <is>
          <t>شنبه</t>
        </is>
      </c>
      <c r="J2651" s="134" t="inlineStr">
        <is>
          <t>خیر</t>
        </is>
      </c>
    </row>
    <row r="2652">
      <c r="A2652" s="173" t="n">
        <v>47573</v>
      </c>
      <c r="B2652" s="174" t="n">
        <v>47573</v>
      </c>
      <c r="C2652" s="174" t="n">
        <v>1409</v>
      </c>
      <c r="D2652" s="174" t="n">
        <v>1</v>
      </c>
      <c r="E2652" s="175" t="inlineStr">
        <is>
          <t>1409/01/11</t>
        </is>
      </c>
      <c r="F2652" s="128" t="inlineStr">
        <is>
          <t>1409/01</t>
        </is>
      </c>
      <c r="G2652" s="58" t="inlineStr">
        <is>
          <t>فروردین</t>
        </is>
      </c>
      <c r="H2652" s="128" t="inlineStr">
        <is>
          <t>بهار</t>
        </is>
      </c>
      <c r="I2652" s="128" t="inlineStr">
        <is>
          <t>یکشنبه</t>
        </is>
      </c>
      <c r="J2652" s="128" t="inlineStr">
        <is>
          <t>خیر</t>
        </is>
      </c>
    </row>
    <row r="2653">
      <c r="A2653" s="176" t="n">
        <v>47574</v>
      </c>
      <c r="B2653" s="177" t="n">
        <v>47574</v>
      </c>
      <c r="C2653" s="177" t="n">
        <v>1409</v>
      </c>
      <c r="D2653" s="177" t="n">
        <v>1</v>
      </c>
      <c r="E2653" s="178" t="inlineStr">
        <is>
          <t>1409/01/12</t>
        </is>
      </c>
      <c r="F2653" s="134" t="inlineStr">
        <is>
          <t>1409/01</t>
        </is>
      </c>
      <c r="G2653" s="61" t="inlineStr">
        <is>
          <t>فروردین</t>
        </is>
      </c>
      <c r="H2653" s="134" t="inlineStr">
        <is>
          <t>بهار</t>
        </is>
      </c>
      <c r="I2653" s="134" t="inlineStr">
        <is>
          <t>دوشنبه</t>
        </is>
      </c>
      <c r="J2653" s="134" t="inlineStr">
        <is>
          <t>بله</t>
        </is>
      </c>
    </row>
    <row r="2654">
      <c r="A2654" s="173" t="n">
        <v>47575</v>
      </c>
      <c r="B2654" s="174" t="n">
        <v>47575</v>
      </c>
      <c r="C2654" s="174" t="n">
        <v>1409</v>
      </c>
      <c r="D2654" s="174" t="n">
        <v>1</v>
      </c>
      <c r="E2654" s="175" t="inlineStr">
        <is>
          <t>1409/01/13</t>
        </is>
      </c>
      <c r="F2654" s="128" t="inlineStr">
        <is>
          <t>1409/01</t>
        </is>
      </c>
      <c r="G2654" s="58" t="inlineStr">
        <is>
          <t>فروردین</t>
        </is>
      </c>
      <c r="H2654" s="128" t="inlineStr">
        <is>
          <t>بهار</t>
        </is>
      </c>
      <c r="I2654" s="128" t="inlineStr">
        <is>
          <t>سه‌شنبه</t>
        </is>
      </c>
      <c r="J2654" s="128" t="inlineStr">
        <is>
          <t>بله</t>
        </is>
      </c>
    </row>
    <row r="2655">
      <c r="A2655" s="176" t="n">
        <v>47576</v>
      </c>
      <c r="B2655" s="177" t="n">
        <v>47576</v>
      </c>
      <c r="C2655" s="177" t="n">
        <v>1409</v>
      </c>
      <c r="D2655" s="177" t="n">
        <v>1</v>
      </c>
      <c r="E2655" s="178" t="inlineStr">
        <is>
          <t>1409/01/14</t>
        </is>
      </c>
      <c r="F2655" s="134" t="inlineStr">
        <is>
          <t>1409/01</t>
        </is>
      </c>
      <c r="G2655" s="61" t="inlineStr">
        <is>
          <t>فروردین</t>
        </is>
      </c>
      <c r="H2655" s="134" t="inlineStr">
        <is>
          <t>بهار</t>
        </is>
      </c>
      <c r="I2655" s="134" t="inlineStr">
        <is>
          <t>چهارشنبه</t>
        </is>
      </c>
      <c r="J2655" s="134" t="inlineStr">
        <is>
          <t>بله</t>
        </is>
      </c>
    </row>
    <row r="2656">
      <c r="A2656" s="173" t="n">
        <v>47577</v>
      </c>
      <c r="B2656" s="174" t="n">
        <v>47577</v>
      </c>
      <c r="C2656" s="174" t="n">
        <v>1409</v>
      </c>
      <c r="D2656" s="174" t="n">
        <v>1</v>
      </c>
      <c r="E2656" s="175" t="inlineStr">
        <is>
          <t>1409/01/15</t>
        </is>
      </c>
      <c r="F2656" s="128" t="inlineStr">
        <is>
          <t>1409/01</t>
        </is>
      </c>
      <c r="G2656" s="58" t="inlineStr">
        <is>
          <t>فروردین</t>
        </is>
      </c>
      <c r="H2656" s="128" t="inlineStr">
        <is>
          <t>بهار</t>
        </is>
      </c>
      <c r="I2656" s="128" t="inlineStr">
        <is>
          <t>پنجشنبه</t>
        </is>
      </c>
      <c r="J2656" s="128" t="inlineStr">
        <is>
          <t>بله</t>
        </is>
      </c>
    </row>
    <row r="2657">
      <c r="A2657" s="176" t="n">
        <v>47578</v>
      </c>
      <c r="B2657" s="177" t="n">
        <v>47578</v>
      </c>
      <c r="C2657" s="177" t="n">
        <v>1409</v>
      </c>
      <c r="D2657" s="177" t="n">
        <v>1</v>
      </c>
      <c r="E2657" s="178" t="inlineStr">
        <is>
          <t>1409/01/16</t>
        </is>
      </c>
      <c r="F2657" s="134" t="inlineStr">
        <is>
          <t>1409/01</t>
        </is>
      </c>
      <c r="G2657" s="61" t="inlineStr">
        <is>
          <t>فروردین</t>
        </is>
      </c>
      <c r="H2657" s="134" t="inlineStr">
        <is>
          <t>بهار</t>
        </is>
      </c>
      <c r="I2657" s="134" t="inlineStr">
        <is>
          <t>جمعه</t>
        </is>
      </c>
      <c r="J2657" s="134" t="inlineStr">
        <is>
          <t>بله</t>
        </is>
      </c>
    </row>
    <row r="2658">
      <c r="A2658" s="173" t="n">
        <v>47579</v>
      </c>
      <c r="B2658" s="174" t="n">
        <v>47579</v>
      </c>
      <c r="C2658" s="174" t="n">
        <v>1409</v>
      </c>
      <c r="D2658" s="174" t="n">
        <v>1</v>
      </c>
      <c r="E2658" s="175" t="inlineStr">
        <is>
          <t>1409/01/17</t>
        </is>
      </c>
      <c r="F2658" s="128" t="inlineStr">
        <is>
          <t>1409/01</t>
        </is>
      </c>
      <c r="G2658" s="58" t="inlineStr">
        <is>
          <t>فروردین</t>
        </is>
      </c>
      <c r="H2658" s="128" t="inlineStr">
        <is>
          <t>بهار</t>
        </is>
      </c>
      <c r="I2658" s="128" t="inlineStr">
        <is>
          <t>شنبه</t>
        </is>
      </c>
      <c r="J2658" s="128" t="inlineStr">
        <is>
          <t>خیر</t>
        </is>
      </c>
    </row>
    <row r="2659">
      <c r="A2659" s="176" t="n">
        <v>47580</v>
      </c>
      <c r="B2659" s="177" t="n">
        <v>47580</v>
      </c>
      <c r="C2659" s="177" t="n">
        <v>1409</v>
      </c>
      <c r="D2659" s="177" t="n">
        <v>1</v>
      </c>
      <c r="E2659" s="178" t="inlineStr">
        <is>
          <t>1409/01/18</t>
        </is>
      </c>
      <c r="F2659" s="134" t="inlineStr">
        <is>
          <t>1409/01</t>
        </is>
      </c>
      <c r="G2659" s="61" t="inlineStr">
        <is>
          <t>فروردین</t>
        </is>
      </c>
      <c r="H2659" s="134" t="inlineStr">
        <is>
          <t>بهار</t>
        </is>
      </c>
      <c r="I2659" s="134" t="inlineStr">
        <is>
          <t>یکشنبه</t>
        </is>
      </c>
      <c r="J2659" s="134" t="inlineStr">
        <is>
          <t>خیر</t>
        </is>
      </c>
    </row>
    <row r="2660">
      <c r="A2660" s="173" t="n">
        <v>47581</v>
      </c>
      <c r="B2660" s="174" t="n">
        <v>47581</v>
      </c>
      <c r="C2660" s="174" t="n">
        <v>1409</v>
      </c>
      <c r="D2660" s="174" t="n">
        <v>1</v>
      </c>
      <c r="E2660" s="175" t="inlineStr">
        <is>
          <t>1409/01/19</t>
        </is>
      </c>
      <c r="F2660" s="128" t="inlineStr">
        <is>
          <t>1409/01</t>
        </is>
      </c>
      <c r="G2660" s="58" t="inlineStr">
        <is>
          <t>فروردین</t>
        </is>
      </c>
      <c r="H2660" s="128" t="inlineStr">
        <is>
          <t>بهار</t>
        </is>
      </c>
      <c r="I2660" s="128" t="inlineStr">
        <is>
          <t>دوشنبه</t>
        </is>
      </c>
      <c r="J2660" s="128" t="inlineStr">
        <is>
          <t>بله</t>
        </is>
      </c>
    </row>
    <row r="2661">
      <c r="A2661" s="176" t="n">
        <v>47582</v>
      </c>
      <c r="B2661" s="177" t="n">
        <v>47582</v>
      </c>
      <c r="C2661" s="177" t="n">
        <v>1409</v>
      </c>
      <c r="D2661" s="177" t="n">
        <v>1</v>
      </c>
      <c r="E2661" s="178" t="inlineStr">
        <is>
          <t>1409/01/20</t>
        </is>
      </c>
      <c r="F2661" s="134" t="inlineStr">
        <is>
          <t>1409/01</t>
        </is>
      </c>
      <c r="G2661" s="61" t="inlineStr">
        <is>
          <t>فروردین</t>
        </is>
      </c>
      <c r="H2661" s="134" t="inlineStr">
        <is>
          <t>بهار</t>
        </is>
      </c>
      <c r="I2661" s="134" t="inlineStr">
        <is>
          <t>سه‌شنبه</t>
        </is>
      </c>
      <c r="J2661" s="134" t="inlineStr">
        <is>
          <t>بله</t>
        </is>
      </c>
    </row>
    <row r="2662">
      <c r="A2662" s="173" t="n">
        <v>47583</v>
      </c>
      <c r="B2662" s="174" t="n">
        <v>47583</v>
      </c>
      <c r="C2662" s="174" t="n">
        <v>1409</v>
      </c>
      <c r="D2662" s="174" t="n">
        <v>1</v>
      </c>
      <c r="E2662" s="175" t="inlineStr">
        <is>
          <t>1409/01/21</t>
        </is>
      </c>
      <c r="F2662" s="128" t="inlineStr">
        <is>
          <t>1409/01</t>
        </is>
      </c>
      <c r="G2662" s="58" t="inlineStr">
        <is>
          <t>فروردین</t>
        </is>
      </c>
      <c r="H2662" s="128" t="inlineStr">
        <is>
          <t>بهار</t>
        </is>
      </c>
      <c r="I2662" s="128" t="inlineStr">
        <is>
          <t>چهارشنبه</t>
        </is>
      </c>
      <c r="J2662" s="128" t="inlineStr">
        <is>
          <t>بله</t>
        </is>
      </c>
    </row>
    <row r="2663">
      <c r="A2663" s="176" t="n">
        <v>47584</v>
      </c>
      <c r="B2663" s="177" t="n">
        <v>47584</v>
      </c>
      <c r="C2663" s="177" t="n">
        <v>1409</v>
      </c>
      <c r="D2663" s="177" t="n">
        <v>1</v>
      </c>
      <c r="E2663" s="178" t="inlineStr">
        <is>
          <t>1409/01/22</t>
        </is>
      </c>
      <c r="F2663" s="134" t="inlineStr">
        <is>
          <t>1409/01</t>
        </is>
      </c>
      <c r="G2663" s="61" t="inlineStr">
        <is>
          <t>فروردین</t>
        </is>
      </c>
      <c r="H2663" s="134" t="inlineStr">
        <is>
          <t>بهار</t>
        </is>
      </c>
      <c r="I2663" s="134" t="inlineStr">
        <is>
          <t>پنجشنبه</t>
        </is>
      </c>
      <c r="J2663" s="134" t="inlineStr">
        <is>
          <t>بله</t>
        </is>
      </c>
    </row>
    <row r="2664">
      <c r="A2664" s="173" t="n">
        <v>47585</v>
      </c>
      <c r="B2664" s="174" t="n">
        <v>47585</v>
      </c>
      <c r="C2664" s="174" t="n">
        <v>1409</v>
      </c>
      <c r="D2664" s="174" t="n">
        <v>1</v>
      </c>
      <c r="E2664" s="175" t="inlineStr">
        <is>
          <t>1409/01/23</t>
        </is>
      </c>
      <c r="F2664" s="128" t="inlineStr">
        <is>
          <t>1409/01</t>
        </is>
      </c>
      <c r="G2664" s="58" t="inlineStr">
        <is>
          <t>فروردین</t>
        </is>
      </c>
      <c r="H2664" s="128" t="inlineStr">
        <is>
          <t>بهار</t>
        </is>
      </c>
      <c r="I2664" s="128" t="inlineStr">
        <is>
          <t>جمعه</t>
        </is>
      </c>
      <c r="J2664" s="128" t="inlineStr">
        <is>
          <t>بله</t>
        </is>
      </c>
    </row>
    <row r="2665">
      <c r="A2665" s="176" t="n">
        <v>47586</v>
      </c>
      <c r="B2665" s="177" t="n">
        <v>47586</v>
      </c>
      <c r="C2665" s="177" t="n">
        <v>1409</v>
      </c>
      <c r="D2665" s="177" t="n">
        <v>1</v>
      </c>
      <c r="E2665" s="178" t="inlineStr">
        <is>
          <t>1409/01/24</t>
        </is>
      </c>
      <c r="F2665" s="134" t="inlineStr">
        <is>
          <t>1409/01</t>
        </is>
      </c>
      <c r="G2665" s="61" t="inlineStr">
        <is>
          <t>فروردین</t>
        </is>
      </c>
      <c r="H2665" s="134" t="inlineStr">
        <is>
          <t>بهار</t>
        </is>
      </c>
      <c r="I2665" s="134" t="inlineStr">
        <is>
          <t>شنبه</t>
        </is>
      </c>
      <c r="J2665" s="134" t="inlineStr">
        <is>
          <t>خیر</t>
        </is>
      </c>
    </row>
    <row r="2666">
      <c r="A2666" s="173" t="n">
        <v>47587</v>
      </c>
      <c r="B2666" s="174" t="n">
        <v>47587</v>
      </c>
      <c r="C2666" s="174" t="n">
        <v>1409</v>
      </c>
      <c r="D2666" s="174" t="n">
        <v>1</v>
      </c>
      <c r="E2666" s="175" t="inlineStr">
        <is>
          <t>1409/01/25</t>
        </is>
      </c>
      <c r="F2666" s="128" t="inlineStr">
        <is>
          <t>1409/01</t>
        </is>
      </c>
      <c r="G2666" s="58" t="inlineStr">
        <is>
          <t>فروردین</t>
        </is>
      </c>
      <c r="H2666" s="128" t="inlineStr">
        <is>
          <t>بهار</t>
        </is>
      </c>
      <c r="I2666" s="128" t="inlineStr">
        <is>
          <t>یکشنبه</t>
        </is>
      </c>
      <c r="J2666" s="128" t="inlineStr">
        <is>
          <t>خیر</t>
        </is>
      </c>
    </row>
    <row r="2667">
      <c r="A2667" s="176" t="n">
        <v>47588</v>
      </c>
      <c r="B2667" s="177" t="n">
        <v>47588</v>
      </c>
      <c r="C2667" s="177" t="n">
        <v>1409</v>
      </c>
      <c r="D2667" s="177" t="n">
        <v>1</v>
      </c>
      <c r="E2667" s="178" t="inlineStr">
        <is>
          <t>1409/01/26</t>
        </is>
      </c>
      <c r="F2667" s="134" t="inlineStr">
        <is>
          <t>1409/01</t>
        </is>
      </c>
      <c r="G2667" s="61" t="inlineStr">
        <is>
          <t>فروردین</t>
        </is>
      </c>
      <c r="H2667" s="134" t="inlineStr">
        <is>
          <t>بهار</t>
        </is>
      </c>
      <c r="I2667" s="134" t="inlineStr">
        <is>
          <t>دوشنبه</t>
        </is>
      </c>
      <c r="J2667" s="134" t="inlineStr">
        <is>
          <t>بله</t>
        </is>
      </c>
    </row>
    <row r="2668">
      <c r="A2668" s="173" t="n">
        <v>47589</v>
      </c>
      <c r="B2668" s="174" t="n">
        <v>47589</v>
      </c>
      <c r="C2668" s="174" t="n">
        <v>1409</v>
      </c>
      <c r="D2668" s="174" t="n">
        <v>1</v>
      </c>
      <c r="E2668" s="175" t="inlineStr">
        <is>
          <t>1409/01/27</t>
        </is>
      </c>
      <c r="F2668" s="128" t="inlineStr">
        <is>
          <t>1409/01</t>
        </is>
      </c>
      <c r="G2668" s="58" t="inlineStr">
        <is>
          <t>فروردین</t>
        </is>
      </c>
      <c r="H2668" s="128" t="inlineStr">
        <is>
          <t>بهار</t>
        </is>
      </c>
      <c r="I2668" s="128" t="inlineStr">
        <is>
          <t>سه‌شنبه</t>
        </is>
      </c>
      <c r="J2668" s="128" t="inlineStr">
        <is>
          <t>بله</t>
        </is>
      </c>
    </row>
    <row r="2669">
      <c r="A2669" s="176" t="n">
        <v>47590</v>
      </c>
      <c r="B2669" s="177" t="n">
        <v>47590</v>
      </c>
      <c r="C2669" s="177" t="n">
        <v>1409</v>
      </c>
      <c r="D2669" s="177" t="n">
        <v>1</v>
      </c>
      <c r="E2669" s="178" t="inlineStr">
        <is>
          <t>1409/01/28</t>
        </is>
      </c>
      <c r="F2669" s="134" t="inlineStr">
        <is>
          <t>1409/01</t>
        </is>
      </c>
      <c r="G2669" s="61" t="inlineStr">
        <is>
          <t>فروردین</t>
        </is>
      </c>
      <c r="H2669" s="134" t="inlineStr">
        <is>
          <t>بهار</t>
        </is>
      </c>
      <c r="I2669" s="134" t="inlineStr">
        <is>
          <t>چهارشنبه</t>
        </is>
      </c>
      <c r="J2669" s="134" t="inlineStr">
        <is>
          <t>بله</t>
        </is>
      </c>
    </row>
    <row r="2670">
      <c r="A2670" s="173" t="n">
        <v>47591</v>
      </c>
      <c r="B2670" s="174" t="n">
        <v>47591</v>
      </c>
      <c r="C2670" s="174" t="n">
        <v>1409</v>
      </c>
      <c r="D2670" s="174" t="n">
        <v>1</v>
      </c>
      <c r="E2670" s="175" t="inlineStr">
        <is>
          <t>1409/01/29</t>
        </is>
      </c>
      <c r="F2670" s="128" t="inlineStr">
        <is>
          <t>1409/01</t>
        </is>
      </c>
      <c r="G2670" s="58" t="inlineStr">
        <is>
          <t>فروردین</t>
        </is>
      </c>
      <c r="H2670" s="128" t="inlineStr">
        <is>
          <t>بهار</t>
        </is>
      </c>
      <c r="I2670" s="128" t="inlineStr">
        <is>
          <t>پنجشنبه</t>
        </is>
      </c>
      <c r="J2670" s="128" t="inlineStr">
        <is>
          <t>بله</t>
        </is>
      </c>
    </row>
    <row r="2671">
      <c r="A2671" s="176" t="n">
        <v>47592</v>
      </c>
      <c r="B2671" s="177" t="n">
        <v>47592</v>
      </c>
      <c r="C2671" s="177" t="n">
        <v>1409</v>
      </c>
      <c r="D2671" s="177" t="n">
        <v>1</v>
      </c>
      <c r="E2671" s="178" t="inlineStr">
        <is>
          <t>1409/01/30</t>
        </is>
      </c>
      <c r="F2671" s="134" t="inlineStr">
        <is>
          <t>1409/01</t>
        </is>
      </c>
      <c r="G2671" s="61" t="inlineStr">
        <is>
          <t>فروردین</t>
        </is>
      </c>
      <c r="H2671" s="134" t="inlineStr">
        <is>
          <t>بهار</t>
        </is>
      </c>
      <c r="I2671" s="134" t="inlineStr">
        <is>
          <t>جمعه</t>
        </is>
      </c>
      <c r="J2671" s="134" t="inlineStr">
        <is>
          <t>بله</t>
        </is>
      </c>
    </row>
    <row r="2672">
      <c r="A2672" s="173" t="n">
        <v>47593</v>
      </c>
      <c r="B2672" s="174" t="n">
        <v>47593</v>
      </c>
      <c r="C2672" s="174" t="n">
        <v>1409</v>
      </c>
      <c r="D2672" s="174" t="n">
        <v>1</v>
      </c>
      <c r="E2672" s="175" t="inlineStr">
        <is>
          <t>1409/01/31</t>
        </is>
      </c>
      <c r="F2672" s="128" t="inlineStr">
        <is>
          <t>1409/01</t>
        </is>
      </c>
      <c r="G2672" s="58" t="inlineStr">
        <is>
          <t>فروردین</t>
        </is>
      </c>
      <c r="H2672" s="128" t="inlineStr">
        <is>
          <t>بهار</t>
        </is>
      </c>
      <c r="I2672" s="128" t="inlineStr">
        <is>
          <t>شنبه</t>
        </is>
      </c>
      <c r="J2672" s="128" t="inlineStr">
        <is>
          <t>خیر</t>
        </is>
      </c>
    </row>
    <row r="2673">
      <c r="A2673" s="176" t="n">
        <v>47594</v>
      </c>
      <c r="B2673" s="177" t="n">
        <v>47594</v>
      </c>
      <c r="C2673" s="177" t="n">
        <v>1409</v>
      </c>
      <c r="D2673" s="177" t="n">
        <v>2</v>
      </c>
      <c r="E2673" s="178" t="inlineStr">
        <is>
          <t>1409/02/01</t>
        </is>
      </c>
      <c r="F2673" s="134" t="inlineStr">
        <is>
          <t>1409/02</t>
        </is>
      </c>
      <c r="G2673" s="61" t="inlineStr">
        <is>
          <t>اردیبهشت</t>
        </is>
      </c>
      <c r="H2673" s="134" t="inlineStr">
        <is>
          <t>بهار</t>
        </is>
      </c>
      <c r="I2673" s="134" t="inlineStr">
        <is>
          <t>یکشنبه</t>
        </is>
      </c>
      <c r="J2673" s="134" t="inlineStr">
        <is>
          <t>خیر</t>
        </is>
      </c>
    </row>
    <row r="2674">
      <c r="A2674" s="173" t="n">
        <v>47595</v>
      </c>
      <c r="B2674" s="174" t="n">
        <v>47595</v>
      </c>
      <c r="C2674" s="174" t="n">
        <v>1409</v>
      </c>
      <c r="D2674" s="174" t="n">
        <v>2</v>
      </c>
      <c r="E2674" s="175" t="inlineStr">
        <is>
          <t>1409/02/02</t>
        </is>
      </c>
      <c r="F2674" s="128" t="inlineStr">
        <is>
          <t>1409/02</t>
        </is>
      </c>
      <c r="G2674" s="58" t="inlineStr">
        <is>
          <t>اردیبهشت</t>
        </is>
      </c>
      <c r="H2674" s="128" t="inlineStr">
        <is>
          <t>بهار</t>
        </is>
      </c>
      <c r="I2674" s="128" t="inlineStr">
        <is>
          <t>دوشنبه</t>
        </is>
      </c>
      <c r="J2674" s="128" t="inlineStr">
        <is>
          <t>بله</t>
        </is>
      </c>
    </row>
    <row r="2675">
      <c r="A2675" s="176" t="n">
        <v>47596</v>
      </c>
      <c r="B2675" s="177" t="n">
        <v>47596</v>
      </c>
      <c r="C2675" s="177" t="n">
        <v>1409</v>
      </c>
      <c r="D2675" s="177" t="n">
        <v>2</v>
      </c>
      <c r="E2675" s="178" t="inlineStr">
        <is>
          <t>1409/02/03</t>
        </is>
      </c>
      <c r="F2675" s="134" t="inlineStr">
        <is>
          <t>1409/02</t>
        </is>
      </c>
      <c r="G2675" s="61" t="inlineStr">
        <is>
          <t>اردیبهشت</t>
        </is>
      </c>
      <c r="H2675" s="134" t="inlineStr">
        <is>
          <t>بهار</t>
        </is>
      </c>
      <c r="I2675" s="134" t="inlineStr">
        <is>
          <t>سه‌شنبه</t>
        </is>
      </c>
      <c r="J2675" s="134" t="inlineStr">
        <is>
          <t>بله</t>
        </is>
      </c>
    </row>
    <row r="2676">
      <c r="A2676" s="173" t="n">
        <v>47597</v>
      </c>
      <c r="B2676" s="174" t="n">
        <v>47597</v>
      </c>
      <c r="C2676" s="174" t="n">
        <v>1409</v>
      </c>
      <c r="D2676" s="174" t="n">
        <v>2</v>
      </c>
      <c r="E2676" s="175" t="inlineStr">
        <is>
          <t>1409/02/04</t>
        </is>
      </c>
      <c r="F2676" s="128" t="inlineStr">
        <is>
          <t>1409/02</t>
        </is>
      </c>
      <c r="G2676" s="58" t="inlineStr">
        <is>
          <t>اردیبهشت</t>
        </is>
      </c>
      <c r="H2676" s="128" t="inlineStr">
        <is>
          <t>بهار</t>
        </is>
      </c>
      <c r="I2676" s="128" t="inlineStr">
        <is>
          <t>چهارشنبه</t>
        </is>
      </c>
      <c r="J2676" s="128" t="inlineStr">
        <is>
          <t>بله</t>
        </is>
      </c>
    </row>
    <row r="2677">
      <c r="A2677" s="176" t="n">
        <v>47598</v>
      </c>
      <c r="B2677" s="177" t="n">
        <v>47598</v>
      </c>
      <c r="C2677" s="177" t="n">
        <v>1409</v>
      </c>
      <c r="D2677" s="177" t="n">
        <v>2</v>
      </c>
      <c r="E2677" s="178" t="inlineStr">
        <is>
          <t>1409/02/05</t>
        </is>
      </c>
      <c r="F2677" s="134" t="inlineStr">
        <is>
          <t>1409/02</t>
        </is>
      </c>
      <c r="G2677" s="61" t="inlineStr">
        <is>
          <t>اردیبهشت</t>
        </is>
      </c>
      <c r="H2677" s="134" t="inlineStr">
        <is>
          <t>بهار</t>
        </is>
      </c>
      <c r="I2677" s="134" t="inlineStr">
        <is>
          <t>پنجشنبه</t>
        </is>
      </c>
      <c r="J2677" s="134" t="inlineStr">
        <is>
          <t>بله</t>
        </is>
      </c>
    </row>
    <row r="2678">
      <c r="A2678" s="173" t="n">
        <v>47599</v>
      </c>
      <c r="B2678" s="174" t="n">
        <v>47599</v>
      </c>
      <c r="C2678" s="174" t="n">
        <v>1409</v>
      </c>
      <c r="D2678" s="174" t="n">
        <v>2</v>
      </c>
      <c r="E2678" s="175" t="inlineStr">
        <is>
          <t>1409/02/06</t>
        </is>
      </c>
      <c r="F2678" s="128" t="inlineStr">
        <is>
          <t>1409/02</t>
        </is>
      </c>
      <c r="G2678" s="58" t="inlineStr">
        <is>
          <t>اردیبهشت</t>
        </is>
      </c>
      <c r="H2678" s="128" t="inlineStr">
        <is>
          <t>بهار</t>
        </is>
      </c>
      <c r="I2678" s="128" t="inlineStr">
        <is>
          <t>جمعه</t>
        </is>
      </c>
      <c r="J2678" s="128" t="inlineStr">
        <is>
          <t>بله</t>
        </is>
      </c>
    </row>
    <row r="2679">
      <c r="A2679" s="176" t="n">
        <v>47600</v>
      </c>
      <c r="B2679" s="177" t="n">
        <v>47600</v>
      </c>
      <c r="C2679" s="177" t="n">
        <v>1409</v>
      </c>
      <c r="D2679" s="177" t="n">
        <v>2</v>
      </c>
      <c r="E2679" s="178" t="inlineStr">
        <is>
          <t>1409/02/07</t>
        </is>
      </c>
      <c r="F2679" s="134" t="inlineStr">
        <is>
          <t>1409/02</t>
        </is>
      </c>
      <c r="G2679" s="61" t="inlineStr">
        <is>
          <t>اردیبهشت</t>
        </is>
      </c>
      <c r="H2679" s="134" t="inlineStr">
        <is>
          <t>بهار</t>
        </is>
      </c>
      <c r="I2679" s="134" t="inlineStr">
        <is>
          <t>شنبه</t>
        </is>
      </c>
      <c r="J2679" s="134" t="inlineStr">
        <is>
          <t>خیر</t>
        </is>
      </c>
    </row>
    <row r="2680">
      <c r="A2680" s="173" t="n">
        <v>47601</v>
      </c>
      <c r="B2680" s="174" t="n">
        <v>47601</v>
      </c>
      <c r="C2680" s="174" t="n">
        <v>1409</v>
      </c>
      <c r="D2680" s="174" t="n">
        <v>2</v>
      </c>
      <c r="E2680" s="175" t="inlineStr">
        <is>
          <t>1409/02/08</t>
        </is>
      </c>
      <c r="F2680" s="128" t="inlineStr">
        <is>
          <t>1409/02</t>
        </is>
      </c>
      <c r="G2680" s="58" t="inlineStr">
        <is>
          <t>اردیبهشت</t>
        </is>
      </c>
      <c r="H2680" s="128" t="inlineStr">
        <is>
          <t>بهار</t>
        </is>
      </c>
      <c r="I2680" s="128" t="inlineStr">
        <is>
          <t>یکشنبه</t>
        </is>
      </c>
      <c r="J2680" s="128" t="inlineStr">
        <is>
          <t>خیر</t>
        </is>
      </c>
    </row>
    <row r="2681">
      <c r="A2681" s="176" t="n">
        <v>47602</v>
      </c>
      <c r="B2681" s="177" t="n">
        <v>47602</v>
      </c>
      <c r="C2681" s="177" t="n">
        <v>1409</v>
      </c>
      <c r="D2681" s="177" t="n">
        <v>2</v>
      </c>
      <c r="E2681" s="178" t="inlineStr">
        <is>
          <t>1409/02/09</t>
        </is>
      </c>
      <c r="F2681" s="134" t="inlineStr">
        <is>
          <t>1409/02</t>
        </is>
      </c>
      <c r="G2681" s="61" t="inlineStr">
        <is>
          <t>اردیبهشت</t>
        </is>
      </c>
      <c r="H2681" s="134" t="inlineStr">
        <is>
          <t>بهار</t>
        </is>
      </c>
      <c r="I2681" s="134" t="inlineStr">
        <is>
          <t>دوشنبه</t>
        </is>
      </c>
      <c r="J2681" s="134" t="inlineStr">
        <is>
          <t>بله</t>
        </is>
      </c>
    </row>
    <row r="2682">
      <c r="A2682" s="173" t="n">
        <v>47603</v>
      </c>
      <c r="B2682" s="174" t="n">
        <v>47603</v>
      </c>
      <c r="C2682" s="174" t="n">
        <v>1409</v>
      </c>
      <c r="D2682" s="174" t="n">
        <v>2</v>
      </c>
      <c r="E2682" s="175" t="inlineStr">
        <is>
          <t>1409/02/10</t>
        </is>
      </c>
      <c r="F2682" s="128" t="inlineStr">
        <is>
          <t>1409/02</t>
        </is>
      </c>
      <c r="G2682" s="58" t="inlineStr">
        <is>
          <t>اردیبهشت</t>
        </is>
      </c>
      <c r="H2682" s="128" t="inlineStr">
        <is>
          <t>بهار</t>
        </is>
      </c>
      <c r="I2682" s="128" t="inlineStr">
        <is>
          <t>سه‌شنبه</t>
        </is>
      </c>
      <c r="J2682" s="128" t="inlineStr">
        <is>
          <t>بله</t>
        </is>
      </c>
    </row>
    <row r="2683">
      <c r="A2683" s="176" t="n">
        <v>47604</v>
      </c>
      <c r="B2683" s="177" t="n">
        <v>47604</v>
      </c>
      <c r="C2683" s="177" t="n">
        <v>1409</v>
      </c>
      <c r="D2683" s="177" t="n">
        <v>2</v>
      </c>
      <c r="E2683" s="178" t="inlineStr">
        <is>
          <t>1409/02/11</t>
        </is>
      </c>
      <c r="F2683" s="134" t="inlineStr">
        <is>
          <t>1409/02</t>
        </is>
      </c>
      <c r="G2683" s="61" t="inlineStr">
        <is>
          <t>اردیبهشت</t>
        </is>
      </c>
      <c r="H2683" s="134" t="inlineStr">
        <is>
          <t>بهار</t>
        </is>
      </c>
      <c r="I2683" s="134" t="inlineStr">
        <is>
          <t>چهارشنبه</t>
        </is>
      </c>
      <c r="J2683" s="134" t="inlineStr">
        <is>
          <t>بله</t>
        </is>
      </c>
    </row>
    <row r="2684">
      <c r="A2684" s="173" t="n">
        <v>47605</v>
      </c>
      <c r="B2684" s="174" t="n">
        <v>47605</v>
      </c>
      <c r="C2684" s="174" t="n">
        <v>1409</v>
      </c>
      <c r="D2684" s="174" t="n">
        <v>2</v>
      </c>
      <c r="E2684" s="175" t="inlineStr">
        <is>
          <t>1409/02/12</t>
        </is>
      </c>
      <c r="F2684" s="128" t="inlineStr">
        <is>
          <t>1409/02</t>
        </is>
      </c>
      <c r="G2684" s="58" t="inlineStr">
        <is>
          <t>اردیبهشت</t>
        </is>
      </c>
      <c r="H2684" s="128" t="inlineStr">
        <is>
          <t>بهار</t>
        </is>
      </c>
      <c r="I2684" s="128" t="inlineStr">
        <is>
          <t>پنجشنبه</t>
        </is>
      </c>
      <c r="J2684" s="128" t="inlineStr">
        <is>
          <t>بله</t>
        </is>
      </c>
    </row>
    <row r="2685">
      <c r="A2685" s="176" t="n">
        <v>47606</v>
      </c>
      <c r="B2685" s="177" t="n">
        <v>47606</v>
      </c>
      <c r="C2685" s="177" t="n">
        <v>1409</v>
      </c>
      <c r="D2685" s="177" t="n">
        <v>2</v>
      </c>
      <c r="E2685" s="178" t="inlineStr">
        <is>
          <t>1409/02/13</t>
        </is>
      </c>
      <c r="F2685" s="134" t="inlineStr">
        <is>
          <t>1409/02</t>
        </is>
      </c>
      <c r="G2685" s="61" t="inlineStr">
        <is>
          <t>اردیبهشت</t>
        </is>
      </c>
      <c r="H2685" s="134" t="inlineStr">
        <is>
          <t>بهار</t>
        </is>
      </c>
      <c r="I2685" s="134" t="inlineStr">
        <is>
          <t>جمعه</t>
        </is>
      </c>
      <c r="J2685" s="134" t="inlineStr">
        <is>
          <t>بله</t>
        </is>
      </c>
    </row>
    <row r="2686">
      <c r="A2686" s="173" t="n">
        <v>47607</v>
      </c>
      <c r="B2686" s="174" t="n">
        <v>47607</v>
      </c>
      <c r="C2686" s="174" t="n">
        <v>1409</v>
      </c>
      <c r="D2686" s="174" t="n">
        <v>2</v>
      </c>
      <c r="E2686" s="175" t="inlineStr">
        <is>
          <t>1409/02/14</t>
        </is>
      </c>
      <c r="F2686" s="128" t="inlineStr">
        <is>
          <t>1409/02</t>
        </is>
      </c>
      <c r="G2686" s="58" t="inlineStr">
        <is>
          <t>اردیبهشت</t>
        </is>
      </c>
      <c r="H2686" s="128" t="inlineStr">
        <is>
          <t>بهار</t>
        </is>
      </c>
      <c r="I2686" s="128" t="inlineStr">
        <is>
          <t>شنبه</t>
        </is>
      </c>
      <c r="J2686" s="128" t="inlineStr">
        <is>
          <t>خیر</t>
        </is>
      </c>
    </row>
    <row r="2687">
      <c r="A2687" s="176" t="n">
        <v>47608</v>
      </c>
      <c r="B2687" s="177" t="n">
        <v>47608</v>
      </c>
      <c r="C2687" s="177" t="n">
        <v>1409</v>
      </c>
      <c r="D2687" s="177" t="n">
        <v>2</v>
      </c>
      <c r="E2687" s="178" t="inlineStr">
        <is>
          <t>1409/02/15</t>
        </is>
      </c>
      <c r="F2687" s="134" t="inlineStr">
        <is>
          <t>1409/02</t>
        </is>
      </c>
      <c r="G2687" s="61" t="inlineStr">
        <is>
          <t>اردیبهشت</t>
        </is>
      </c>
      <c r="H2687" s="134" t="inlineStr">
        <is>
          <t>بهار</t>
        </is>
      </c>
      <c r="I2687" s="134" t="inlineStr">
        <is>
          <t>یکشنبه</t>
        </is>
      </c>
      <c r="J2687" s="134" t="inlineStr">
        <is>
          <t>خیر</t>
        </is>
      </c>
    </row>
    <row r="2688">
      <c r="A2688" s="173" t="n">
        <v>47609</v>
      </c>
      <c r="B2688" s="174" t="n">
        <v>47609</v>
      </c>
      <c r="C2688" s="174" t="n">
        <v>1409</v>
      </c>
      <c r="D2688" s="174" t="n">
        <v>2</v>
      </c>
      <c r="E2688" s="175" t="inlineStr">
        <is>
          <t>1409/02/16</t>
        </is>
      </c>
      <c r="F2688" s="128" t="inlineStr">
        <is>
          <t>1409/02</t>
        </is>
      </c>
      <c r="G2688" s="58" t="inlineStr">
        <is>
          <t>اردیبهشت</t>
        </is>
      </c>
      <c r="H2688" s="128" t="inlineStr">
        <is>
          <t>بهار</t>
        </is>
      </c>
      <c r="I2688" s="128" t="inlineStr">
        <is>
          <t>دوشنبه</t>
        </is>
      </c>
      <c r="J2688" s="128" t="inlineStr">
        <is>
          <t>بله</t>
        </is>
      </c>
    </row>
    <row r="2689">
      <c r="A2689" s="176" t="n">
        <v>47610</v>
      </c>
      <c r="B2689" s="177" t="n">
        <v>47610</v>
      </c>
      <c r="C2689" s="177" t="n">
        <v>1409</v>
      </c>
      <c r="D2689" s="177" t="n">
        <v>2</v>
      </c>
      <c r="E2689" s="178" t="inlineStr">
        <is>
          <t>1409/02/17</t>
        </is>
      </c>
      <c r="F2689" s="134" t="inlineStr">
        <is>
          <t>1409/02</t>
        </is>
      </c>
      <c r="G2689" s="61" t="inlineStr">
        <is>
          <t>اردیبهشت</t>
        </is>
      </c>
      <c r="H2689" s="134" t="inlineStr">
        <is>
          <t>بهار</t>
        </is>
      </c>
      <c r="I2689" s="134" t="inlineStr">
        <is>
          <t>سه‌شنبه</t>
        </is>
      </c>
      <c r="J2689" s="134" t="inlineStr">
        <is>
          <t>بله</t>
        </is>
      </c>
    </row>
    <row r="2690">
      <c r="A2690" s="173" t="n">
        <v>47611</v>
      </c>
      <c r="B2690" s="174" t="n">
        <v>47611</v>
      </c>
      <c r="C2690" s="174" t="n">
        <v>1409</v>
      </c>
      <c r="D2690" s="174" t="n">
        <v>2</v>
      </c>
      <c r="E2690" s="175" t="inlineStr">
        <is>
          <t>1409/02/18</t>
        </is>
      </c>
      <c r="F2690" s="128" t="inlineStr">
        <is>
          <t>1409/02</t>
        </is>
      </c>
      <c r="G2690" s="58" t="inlineStr">
        <is>
          <t>اردیبهشت</t>
        </is>
      </c>
      <c r="H2690" s="128" t="inlineStr">
        <is>
          <t>بهار</t>
        </is>
      </c>
      <c r="I2690" s="128" t="inlineStr">
        <is>
          <t>چهارشنبه</t>
        </is>
      </c>
      <c r="J2690" s="128" t="inlineStr">
        <is>
          <t>بله</t>
        </is>
      </c>
    </row>
    <row r="2691">
      <c r="A2691" s="176" t="n">
        <v>47612</v>
      </c>
      <c r="B2691" s="177" t="n">
        <v>47612</v>
      </c>
      <c r="C2691" s="177" t="n">
        <v>1409</v>
      </c>
      <c r="D2691" s="177" t="n">
        <v>2</v>
      </c>
      <c r="E2691" s="178" t="inlineStr">
        <is>
          <t>1409/02/19</t>
        </is>
      </c>
      <c r="F2691" s="134" t="inlineStr">
        <is>
          <t>1409/02</t>
        </is>
      </c>
      <c r="G2691" s="61" t="inlineStr">
        <is>
          <t>اردیبهشت</t>
        </is>
      </c>
      <c r="H2691" s="134" t="inlineStr">
        <is>
          <t>بهار</t>
        </is>
      </c>
      <c r="I2691" s="134" t="inlineStr">
        <is>
          <t>پنجشنبه</t>
        </is>
      </c>
      <c r="J2691" s="134" t="inlineStr">
        <is>
          <t>بله</t>
        </is>
      </c>
    </row>
    <row r="2692">
      <c r="A2692" s="173" t="n">
        <v>47613</v>
      </c>
      <c r="B2692" s="174" t="n">
        <v>47613</v>
      </c>
      <c r="C2692" s="174" t="n">
        <v>1409</v>
      </c>
      <c r="D2692" s="174" t="n">
        <v>2</v>
      </c>
      <c r="E2692" s="175" t="inlineStr">
        <is>
          <t>1409/02/20</t>
        </is>
      </c>
      <c r="F2692" s="128" t="inlineStr">
        <is>
          <t>1409/02</t>
        </is>
      </c>
      <c r="G2692" s="58" t="inlineStr">
        <is>
          <t>اردیبهشت</t>
        </is>
      </c>
      <c r="H2692" s="128" t="inlineStr">
        <is>
          <t>بهار</t>
        </is>
      </c>
      <c r="I2692" s="128" t="inlineStr">
        <is>
          <t>جمعه</t>
        </is>
      </c>
      <c r="J2692" s="128" t="inlineStr">
        <is>
          <t>بله</t>
        </is>
      </c>
    </row>
    <row r="2693">
      <c r="A2693" s="176" t="n">
        <v>47614</v>
      </c>
      <c r="B2693" s="177" t="n">
        <v>47614</v>
      </c>
      <c r="C2693" s="177" t="n">
        <v>1409</v>
      </c>
      <c r="D2693" s="177" t="n">
        <v>2</v>
      </c>
      <c r="E2693" s="178" t="inlineStr">
        <is>
          <t>1409/02/21</t>
        </is>
      </c>
      <c r="F2693" s="134" t="inlineStr">
        <is>
          <t>1409/02</t>
        </is>
      </c>
      <c r="G2693" s="61" t="inlineStr">
        <is>
          <t>اردیبهشت</t>
        </is>
      </c>
      <c r="H2693" s="134" t="inlineStr">
        <is>
          <t>بهار</t>
        </is>
      </c>
      <c r="I2693" s="134" t="inlineStr">
        <is>
          <t>شنبه</t>
        </is>
      </c>
      <c r="J2693" s="134" t="inlineStr">
        <is>
          <t>خیر</t>
        </is>
      </c>
    </row>
    <row r="2694">
      <c r="A2694" s="173" t="n">
        <v>47615</v>
      </c>
      <c r="B2694" s="174" t="n">
        <v>47615</v>
      </c>
      <c r="C2694" s="174" t="n">
        <v>1409</v>
      </c>
      <c r="D2694" s="174" t="n">
        <v>2</v>
      </c>
      <c r="E2694" s="175" t="inlineStr">
        <is>
          <t>1409/02/22</t>
        </is>
      </c>
      <c r="F2694" s="128" t="inlineStr">
        <is>
          <t>1409/02</t>
        </is>
      </c>
      <c r="G2694" s="58" t="inlineStr">
        <is>
          <t>اردیبهشت</t>
        </is>
      </c>
      <c r="H2694" s="128" t="inlineStr">
        <is>
          <t>بهار</t>
        </is>
      </c>
      <c r="I2694" s="128" t="inlineStr">
        <is>
          <t>یکشنبه</t>
        </is>
      </c>
      <c r="J2694" s="128" t="inlineStr">
        <is>
          <t>خیر</t>
        </is>
      </c>
    </row>
    <row r="2695">
      <c r="A2695" s="176" t="n">
        <v>47616</v>
      </c>
      <c r="B2695" s="177" t="n">
        <v>47616</v>
      </c>
      <c r="C2695" s="177" t="n">
        <v>1409</v>
      </c>
      <c r="D2695" s="177" t="n">
        <v>2</v>
      </c>
      <c r="E2695" s="178" t="inlineStr">
        <is>
          <t>1409/02/23</t>
        </is>
      </c>
      <c r="F2695" s="134" t="inlineStr">
        <is>
          <t>1409/02</t>
        </is>
      </c>
      <c r="G2695" s="61" t="inlineStr">
        <is>
          <t>اردیبهشت</t>
        </is>
      </c>
      <c r="H2695" s="134" t="inlineStr">
        <is>
          <t>بهار</t>
        </is>
      </c>
      <c r="I2695" s="134" t="inlineStr">
        <is>
          <t>دوشنبه</t>
        </is>
      </c>
      <c r="J2695" s="134" t="inlineStr">
        <is>
          <t>بله</t>
        </is>
      </c>
    </row>
    <row r="2696">
      <c r="A2696" s="173" t="n">
        <v>47617</v>
      </c>
      <c r="B2696" s="174" t="n">
        <v>47617</v>
      </c>
      <c r="C2696" s="174" t="n">
        <v>1409</v>
      </c>
      <c r="D2696" s="174" t="n">
        <v>2</v>
      </c>
      <c r="E2696" s="175" t="inlineStr">
        <is>
          <t>1409/02/24</t>
        </is>
      </c>
      <c r="F2696" s="128" t="inlineStr">
        <is>
          <t>1409/02</t>
        </is>
      </c>
      <c r="G2696" s="58" t="inlineStr">
        <is>
          <t>اردیبهشت</t>
        </is>
      </c>
      <c r="H2696" s="128" t="inlineStr">
        <is>
          <t>بهار</t>
        </is>
      </c>
      <c r="I2696" s="128" t="inlineStr">
        <is>
          <t>سه‌شنبه</t>
        </is>
      </c>
      <c r="J2696" s="128" t="inlineStr">
        <is>
          <t>بله</t>
        </is>
      </c>
    </row>
    <row r="2697">
      <c r="A2697" s="176" t="n">
        <v>47618</v>
      </c>
      <c r="B2697" s="177" t="n">
        <v>47618</v>
      </c>
      <c r="C2697" s="177" t="n">
        <v>1409</v>
      </c>
      <c r="D2697" s="177" t="n">
        <v>2</v>
      </c>
      <c r="E2697" s="178" t="inlineStr">
        <is>
          <t>1409/02/25</t>
        </is>
      </c>
      <c r="F2697" s="134" t="inlineStr">
        <is>
          <t>1409/02</t>
        </is>
      </c>
      <c r="G2697" s="61" t="inlineStr">
        <is>
          <t>اردیبهشت</t>
        </is>
      </c>
      <c r="H2697" s="134" t="inlineStr">
        <is>
          <t>بهار</t>
        </is>
      </c>
      <c r="I2697" s="134" t="inlineStr">
        <is>
          <t>چهارشنبه</t>
        </is>
      </c>
      <c r="J2697" s="134" t="inlineStr">
        <is>
          <t>بله</t>
        </is>
      </c>
    </row>
    <row r="2698">
      <c r="A2698" s="173" t="n">
        <v>47619</v>
      </c>
      <c r="B2698" s="174" t="n">
        <v>47619</v>
      </c>
      <c r="C2698" s="174" t="n">
        <v>1409</v>
      </c>
      <c r="D2698" s="174" t="n">
        <v>2</v>
      </c>
      <c r="E2698" s="175" t="inlineStr">
        <is>
          <t>1409/02/26</t>
        </is>
      </c>
      <c r="F2698" s="128" t="inlineStr">
        <is>
          <t>1409/02</t>
        </is>
      </c>
      <c r="G2698" s="58" t="inlineStr">
        <is>
          <t>اردیبهشت</t>
        </is>
      </c>
      <c r="H2698" s="128" t="inlineStr">
        <is>
          <t>بهار</t>
        </is>
      </c>
      <c r="I2698" s="128" t="inlineStr">
        <is>
          <t>پنجشنبه</t>
        </is>
      </c>
      <c r="J2698" s="128" t="inlineStr">
        <is>
          <t>بله</t>
        </is>
      </c>
    </row>
    <row r="2699">
      <c r="A2699" s="176" t="n">
        <v>47620</v>
      </c>
      <c r="B2699" s="177" t="n">
        <v>47620</v>
      </c>
      <c r="C2699" s="177" t="n">
        <v>1409</v>
      </c>
      <c r="D2699" s="177" t="n">
        <v>2</v>
      </c>
      <c r="E2699" s="178" t="inlineStr">
        <is>
          <t>1409/02/27</t>
        </is>
      </c>
      <c r="F2699" s="134" t="inlineStr">
        <is>
          <t>1409/02</t>
        </is>
      </c>
      <c r="G2699" s="61" t="inlineStr">
        <is>
          <t>اردیبهشت</t>
        </is>
      </c>
      <c r="H2699" s="134" t="inlineStr">
        <is>
          <t>بهار</t>
        </is>
      </c>
      <c r="I2699" s="134" t="inlineStr">
        <is>
          <t>جمعه</t>
        </is>
      </c>
      <c r="J2699" s="134" t="inlineStr">
        <is>
          <t>بله</t>
        </is>
      </c>
    </row>
    <row r="2700">
      <c r="A2700" s="173" t="n">
        <v>47621</v>
      </c>
      <c r="B2700" s="174" t="n">
        <v>47621</v>
      </c>
      <c r="C2700" s="174" t="n">
        <v>1409</v>
      </c>
      <c r="D2700" s="174" t="n">
        <v>2</v>
      </c>
      <c r="E2700" s="175" t="inlineStr">
        <is>
          <t>1409/02/28</t>
        </is>
      </c>
      <c r="F2700" s="128" t="inlineStr">
        <is>
          <t>1409/02</t>
        </is>
      </c>
      <c r="G2700" s="58" t="inlineStr">
        <is>
          <t>اردیبهشت</t>
        </is>
      </c>
      <c r="H2700" s="128" t="inlineStr">
        <is>
          <t>بهار</t>
        </is>
      </c>
      <c r="I2700" s="128" t="inlineStr">
        <is>
          <t>شنبه</t>
        </is>
      </c>
      <c r="J2700" s="128" t="inlineStr">
        <is>
          <t>خیر</t>
        </is>
      </c>
    </row>
    <row r="2701">
      <c r="A2701" s="176" t="n">
        <v>47622</v>
      </c>
      <c r="B2701" s="177" t="n">
        <v>47622</v>
      </c>
      <c r="C2701" s="177" t="n">
        <v>1409</v>
      </c>
      <c r="D2701" s="177" t="n">
        <v>2</v>
      </c>
      <c r="E2701" s="178" t="inlineStr">
        <is>
          <t>1409/02/29</t>
        </is>
      </c>
      <c r="F2701" s="134" t="inlineStr">
        <is>
          <t>1409/02</t>
        </is>
      </c>
      <c r="G2701" s="61" t="inlineStr">
        <is>
          <t>اردیبهشت</t>
        </is>
      </c>
      <c r="H2701" s="134" t="inlineStr">
        <is>
          <t>بهار</t>
        </is>
      </c>
      <c r="I2701" s="134" t="inlineStr">
        <is>
          <t>یکشنبه</t>
        </is>
      </c>
      <c r="J2701" s="134" t="inlineStr">
        <is>
          <t>خیر</t>
        </is>
      </c>
    </row>
    <row r="2702">
      <c r="A2702" s="173" t="n">
        <v>47623</v>
      </c>
      <c r="B2702" s="174" t="n">
        <v>47623</v>
      </c>
      <c r="C2702" s="174" t="n">
        <v>1409</v>
      </c>
      <c r="D2702" s="174" t="n">
        <v>2</v>
      </c>
      <c r="E2702" s="175" t="inlineStr">
        <is>
          <t>1409/02/30</t>
        </is>
      </c>
      <c r="F2702" s="128" t="inlineStr">
        <is>
          <t>1409/02</t>
        </is>
      </c>
      <c r="G2702" s="58" t="inlineStr">
        <is>
          <t>اردیبهشت</t>
        </is>
      </c>
      <c r="H2702" s="128" t="inlineStr">
        <is>
          <t>بهار</t>
        </is>
      </c>
      <c r="I2702" s="128" t="inlineStr">
        <is>
          <t>دوشنبه</t>
        </is>
      </c>
      <c r="J2702" s="128" t="inlineStr">
        <is>
          <t>بله</t>
        </is>
      </c>
    </row>
    <row r="2703">
      <c r="A2703" s="176" t="n">
        <v>47624</v>
      </c>
      <c r="B2703" s="177" t="n">
        <v>47624</v>
      </c>
      <c r="C2703" s="177" t="n">
        <v>1409</v>
      </c>
      <c r="D2703" s="177" t="n">
        <v>2</v>
      </c>
      <c r="E2703" s="178" t="inlineStr">
        <is>
          <t>1409/02/31</t>
        </is>
      </c>
      <c r="F2703" s="134" t="inlineStr">
        <is>
          <t>1409/02</t>
        </is>
      </c>
      <c r="G2703" s="61" t="inlineStr">
        <is>
          <t>اردیبهشت</t>
        </is>
      </c>
      <c r="H2703" s="134" t="inlineStr">
        <is>
          <t>بهار</t>
        </is>
      </c>
      <c r="I2703" s="134" t="inlineStr">
        <is>
          <t>سه‌شنبه</t>
        </is>
      </c>
      <c r="J2703" s="134" t="inlineStr">
        <is>
          <t>بله</t>
        </is>
      </c>
    </row>
    <row r="2704">
      <c r="A2704" s="173" t="n">
        <v>47625</v>
      </c>
      <c r="B2704" s="174" t="n">
        <v>47625</v>
      </c>
      <c r="C2704" s="174" t="n">
        <v>1409</v>
      </c>
      <c r="D2704" s="174" t="n">
        <v>3</v>
      </c>
      <c r="E2704" s="175" t="inlineStr">
        <is>
          <t>1409/03/01</t>
        </is>
      </c>
      <c r="F2704" s="128" t="inlineStr">
        <is>
          <t>1409/03</t>
        </is>
      </c>
      <c r="G2704" s="58" t="inlineStr">
        <is>
          <t>خرداد</t>
        </is>
      </c>
      <c r="H2704" s="128" t="inlineStr">
        <is>
          <t>بهار</t>
        </is>
      </c>
      <c r="I2704" s="128" t="inlineStr">
        <is>
          <t>چهارشنبه</t>
        </is>
      </c>
      <c r="J2704" s="128" t="inlineStr">
        <is>
          <t>بله</t>
        </is>
      </c>
    </row>
    <row r="2705">
      <c r="A2705" s="176" t="n">
        <v>47626</v>
      </c>
      <c r="B2705" s="177" t="n">
        <v>47626</v>
      </c>
      <c r="C2705" s="177" t="n">
        <v>1409</v>
      </c>
      <c r="D2705" s="177" t="n">
        <v>3</v>
      </c>
      <c r="E2705" s="178" t="inlineStr">
        <is>
          <t>1409/03/02</t>
        </is>
      </c>
      <c r="F2705" s="134" t="inlineStr">
        <is>
          <t>1409/03</t>
        </is>
      </c>
      <c r="G2705" s="61" t="inlineStr">
        <is>
          <t>خرداد</t>
        </is>
      </c>
      <c r="H2705" s="134" t="inlineStr">
        <is>
          <t>بهار</t>
        </is>
      </c>
      <c r="I2705" s="134" t="inlineStr">
        <is>
          <t>پنجشنبه</t>
        </is>
      </c>
      <c r="J2705" s="134" t="inlineStr">
        <is>
          <t>بله</t>
        </is>
      </c>
    </row>
    <row r="2706">
      <c r="A2706" s="173" t="n">
        <v>47627</v>
      </c>
      <c r="B2706" s="174" t="n">
        <v>47627</v>
      </c>
      <c r="C2706" s="174" t="n">
        <v>1409</v>
      </c>
      <c r="D2706" s="174" t="n">
        <v>3</v>
      </c>
      <c r="E2706" s="175" t="inlineStr">
        <is>
          <t>1409/03/03</t>
        </is>
      </c>
      <c r="F2706" s="128" t="inlineStr">
        <is>
          <t>1409/03</t>
        </is>
      </c>
      <c r="G2706" s="58" t="inlineStr">
        <is>
          <t>خرداد</t>
        </is>
      </c>
      <c r="H2706" s="128" t="inlineStr">
        <is>
          <t>بهار</t>
        </is>
      </c>
      <c r="I2706" s="128" t="inlineStr">
        <is>
          <t>جمعه</t>
        </is>
      </c>
      <c r="J2706" s="128" t="inlineStr">
        <is>
          <t>بله</t>
        </is>
      </c>
    </row>
    <row r="2707">
      <c r="A2707" s="176" t="n">
        <v>47628</v>
      </c>
      <c r="B2707" s="177" t="n">
        <v>47628</v>
      </c>
      <c r="C2707" s="177" t="n">
        <v>1409</v>
      </c>
      <c r="D2707" s="177" t="n">
        <v>3</v>
      </c>
      <c r="E2707" s="178" t="inlineStr">
        <is>
          <t>1409/03/04</t>
        </is>
      </c>
      <c r="F2707" s="134" t="inlineStr">
        <is>
          <t>1409/03</t>
        </is>
      </c>
      <c r="G2707" s="61" t="inlineStr">
        <is>
          <t>خرداد</t>
        </is>
      </c>
      <c r="H2707" s="134" t="inlineStr">
        <is>
          <t>بهار</t>
        </is>
      </c>
      <c r="I2707" s="134" t="inlineStr">
        <is>
          <t>شنبه</t>
        </is>
      </c>
      <c r="J2707" s="134" t="inlineStr">
        <is>
          <t>خیر</t>
        </is>
      </c>
    </row>
    <row r="2708">
      <c r="A2708" s="173" t="n">
        <v>47629</v>
      </c>
      <c r="B2708" s="174" t="n">
        <v>47629</v>
      </c>
      <c r="C2708" s="174" t="n">
        <v>1409</v>
      </c>
      <c r="D2708" s="174" t="n">
        <v>3</v>
      </c>
      <c r="E2708" s="175" t="inlineStr">
        <is>
          <t>1409/03/05</t>
        </is>
      </c>
      <c r="F2708" s="128" t="inlineStr">
        <is>
          <t>1409/03</t>
        </is>
      </c>
      <c r="G2708" s="58" t="inlineStr">
        <is>
          <t>خرداد</t>
        </is>
      </c>
      <c r="H2708" s="128" t="inlineStr">
        <is>
          <t>بهار</t>
        </is>
      </c>
      <c r="I2708" s="128" t="inlineStr">
        <is>
          <t>یکشنبه</t>
        </is>
      </c>
      <c r="J2708" s="128" t="inlineStr">
        <is>
          <t>خیر</t>
        </is>
      </c>
    </row>
    <row r="2709">
      <c r="A2709" s="176" t="n">
        <v>47630</v>
      </c>
      <c r="B2709" s="177" t="n">
        <v>47630</v>
      </c>
      <c r="C2709" s="177" t="n">
        <v>1409</v>
      </c>
      <c r="D2709" s="177" t="n">
        <v>3</v>
      </c>
      <c r="E2709" s="178" t="inlineStr">
        <is>
          <t>1409/03/06</t>
        </is>
      </c>
      <c r="F2709" s="134" t="inlineStr">
        <is>
          <t>1409/03</t>
        </is>
      </c>
      <c r="G2709" s="61" t="inlineStr">
        <is>
          <t>خرداد</t>
        </is>
      </c>
      <c r="H2709" s="134" t="inlineStr">
        <is>
          <t>بهار</t>
        </is>
      </c>
      <c r="I2709" s="134" t="inlineStr">
        <is>
          <t>دوشنبه</t>
        </is>
      </c>
      <c r="J2709" s="134" t="inlineStr">
        <is>
          <t>بله</t>
        </is>
      </c>
    </row>
    <row r="2710">
      <c r="A2710" s="173" t="n">
        <v>47631</v>
      </c>
      <c r="B2710" s="174" t="n">
        <v>47631</v>
      </c>
      <c r="C2710" s="174" t="n">
        <v>1409</v>
      </c>
      <c r="D2710" s="174" t="n">
        <v>3</v>
      </c>
      <c r="E2710" s="175" t="inlineStr">
        <is>
          <t>1409/03/07</t>
        </is>
      </c>
      <c r="F2710" s="128" t="inlineStr">
        <is>
          <t>1409/03</t>
        </is>
      </c>
      <c r="G2710" s="58" t="inlineStr">
        <is>
          <t>خرداد</t>
        </is>
      </c>
      <c r="H2710" s="128" t="inlineStr">
        <is>
          <t>بهار</t>
        </is>
      </c>
      <c r="I2710" s="128" t="inlineStr">
        <is>
          <t>سه‌شنبه</t>
        </is>
      </c>
      <c r="J2710" s="128" t="inlineStr">
        <is>
          <t>بله</t>
        </is>
      </c>
    </row>
    <row r="2711">
      <c r="A2711" s="176" t="n">
        <v>47632</v>
      </c>
      <c r="B2711" s="177" t="n">
        <v>47632</v>
      </c>
      <c r="C2711" s="177" t="n">
        <v>1409</v>
      </c>
      <c r="D2711" s="177" t="n">
        <v>3</v>
      </c>
      <c r="E2711" s="178" t="inlineStr">
        <is>
          <t>1409/03/08</t>
        </is>
      </c>
      <c r="F2711" s="134" t="inlineStr">
        <is>
          <t>1409/03</t>
        </is>
      </c>
      <c r="G2711" s="61" t="inlineStr">
        <is>
          <t>خرداد</t>
        </is>
      </c>
      <c r="H2711" s="134" t="inlineStr">
        <is>
          <t>بهار</t>
        </is>
      </c>
      <c r="I2711" s="134" t="inlineStr">
        <is>
          <t>چهارشنبه</t>
        </is>
      </c>
      <c r="J2711" s="134" t="inlineStr">
        <is>
          <t>بله</t>
        </is>
      </c>
    </row>
    <row r="2712">
      <c r="A2712" s="173" t="n">
        <v>47633</v>
      </c>
      <c r="B2712" s="174" t="n">
        <v>47633</v>
      </c>
      <c r="C2712" s="174" t="n">
        <v>1409</v>
      </c>
      <c r="D2712" s="174" t="n">
        <v>3</v>
      </c>
      <c r="E2712" s="175" t="inlineStr">
        <is>
          <t>1409/03/09</t>
        </is>
      </c>
      <c r="F2712" s="128" t="inlineStr">
        <is>
          <t>1409/03</t>
        </is>
      </c>
      <c r="G2712" s="58" t="inlineStr">
        <is>
          <t>خرداد</t>
        </is>
      </c>
      <c r="H2712" s="128" t="inlineStr">
        <is>
          <t>بهار</t>
        </is>
      </c>
      <c r="I2712" s="128" t="inlineStr">
        <is>
          <t>پنجشنبه</t>
        </is>
      </c>
      <c r="J2712" s="128" t="inlineStr">
        <is>
          <t>بله</t>
        </is>
      </c>
    </row>
    <row r="2713">
      <c r="A2713" s="176" t="n">
        <v>47634</v>
      </c>
      <c r="B2713" s="177" t="n">
        <v>47634</v>
      </c>
      <c r="C2713" s="177" t="n">
        <v>1409</v>
      </c>
      <c r="D2713" s="177" t="n">
        <v>3</v>
      </c>
      <c r="E2713" s="178" t="inlineStr">
        <is>
          <t>1409/03/10</t>
        </is>
      </c>
      <c r="F2713" s="134" t="inlineStr">
        <is>
          <t>1409/03</t>
        </is>
      </c>
      <c r="G2713" s="61" t="inlineStr">
        <is>
          <t>خرداد</t>
        </is>
      </c>
      <c r="H2713" s="134" t="inlineStr">
        <is>
          <t>بهار</t>
        </is>
      </c>
      <c r="I2713" s="134" t="inlineStr">
        <is>
          <t>جمعه</t>
        </is>
      </c>
      <c r="J2713" s="134" t="inlineStr">
        <is>
          <t>بله</t>
        </is>
      </c>
    </row>
    <row r="2714">
      <c r="A2714" s="173" t="n">
        <v>47635</v>
      </c>
      <c r="B2714" s="174" t="n">
        <v>47635</v>
      </c>
      <c r="C2714" s="174" t="n">
        <v>1409</v>
      </c>
      <c r="D2714" s="174" t="n">
        <v>3</v>
      </c>
      <c r="E2714" s="175" t="inlineStr">
        <is>
          <t>1409/03/11</t>
        </is>
      </c>
      <c r="F2714" s="128" t="inlineStr">
        <is>
          <t>1409/03</t>
        </is>
      </c>
      <c r="G2714" s="58" t="inlineStr">
        <is>
          <t>خرداد</t>
        </is>
      </c>
      <c r="H2714" s="128" t="inlineStr">
        <is>
          <t>بهار</t>
        </is>
      </c>
      <c r="I2714" s="128" t="inlineStr">
        <is>
          <t>شنبه</t>
        </is>
      </c>
      <c r="J2714" s="128" t="inlineStr">
        <is>
          <t>خیر</t>
        </is>
      </c>
    </row>
    <row r="2715">
      <c r="A2715" s="176" t="n">
        <v>47636</v>
      </c>
      <c r="B2715" s="177" t="n">
        <v>47636</v>
      </c>
      <c r="C2715" s="177" t="n">
        <v>1409</v>
      </c>
      <c r="D2715" s="177" t="n">
        <v>3</v>
      </c>
      <c r="E2715" s="178" t="inlineStr">
        <is>
          <t>1409/03/12</t>
        </is>
      </c>
      <c r="F2715" s="134" t="inlineStr">
        <is>
          <t>1409/03</t>
        </is>
      </c>
      <c r="G2715" s="61" t="inlineStr">
        <is>
          <t>خرداد</t>
        </is>
      </c>
      <c r="H2715" s="134" t="inlineStr">
        <is>
          <t>بهار</t>
        </is>
      </c>
      <c r="I2715" s="134" t="inlineStr">
        <is>
          <t>یکشنبه</t>
        </is>
      </c>
      <c r="J2715" s="134" t="inlineStr">
        <is>
          <t>خیر</t>
        </is>
      </c>
    </row>
    <row r="2716">
      <c r="A2716" s="173" t="n">
        <v>47637</v>
      </c>
      <c r="B2716" s="174" t="n">
        <v>47637</v>
      </c>
      <c r="C2716" s="174" t="n">
        <v>1409</v>
      </c>
      <c r="D2716" s="174" t="n">
        <v>3</v>
      </c>
      <c r="E2716" s="175" t="inlineStr">
        <is>
          <t>1409/03/13</t>
        </is>
      </c>
      <c r="F2716" s="128" t="inlineStr">
        <is>
          <t>1409/03</t>
        </is>
      </c>
      <c r="G2716" s="58" t="inlineStr">
        <is>
          <t>خرداد</t>
        </is>
      </c>
      <c r="H2716" s="128" t="inlineStr">
        <is>
          <t>بهار</t>
        </is>
      </c>
      <c r="I2716" s="128" t="inlineStr">
        <is>
          <t>دوشنبه</t>
        </is>
      </c>
      <c r="J2716" s="128" t="inlineStr">
        <is>
          <t>بله</t>
        </is>
      </c>
    </row>
    <row r="2717">
      <c r="A2717" s="176" t="n">
        <v>47638</v>
      </c>
      <c r="B2717" s="177" t="n">
        <v>47638</v>
      </c>
      <c r="C2717" s="177" t="n">
        <v>1409</v>
      </c>
      <c r="D2717" s="177" t="n">
        <v>3</v>
      </c>
      <c r="E2717" s="178" t="inlineStr">
        <is>
          <t>1409/03/14</t>
        </is>
      </c>
      <c r="F2717" s="134" t="inlineStr">
        <is>
          <t>1409/03</t>
        </is>
      </c>
      <c r="G2717" s="61" t="inlineStr">
        <is>
          <t>خرداد</t>
        </is>
      </c>
      <c r="H2717" s="134" t="inlineStr">
        <is>
          <t>بهار</t>
        </is>
      </c>
      <c r="I2717" s="134" t="inlineStr">
        <is>
          <t>سه‌شنبه</t>
        </is>
      </c>
      <c r="J2717" s="134" t="inlineStr">
        <is>
          <t>بله</t>
        </is>
      </c>
    </row>
    <row r="2718">
      <c r="A2718" s="173" t="n">
        <v>47639</v>
      </c>
      <c r="B2718" s="174" t="n">
        <v>47639</v>
      </c>
      <c r="C2718" s="174" t="n">
        <v>1409</v>
      </c>
      <c r="D2718" s="174" t="n">
        <v>3</v>
      </c>
      <c r="E2718" s="175" t="inlineStr">
        <is>
          <t>1409/03/15</t>
        </is>
      </c>
      <c r="F2718" s="128" t="inlineStr">
        <is>
          <t>1409/03</t>
        </is>
      </c>
      <c r="G2718" s="58" t="inlineStr">
        <is>
          <t>خرداد</t>
        </is>
      </c>
      <c r="H2718" s="128" t="inlineStr">
        <is>
          <t>بهار</t>
        </is>
      </c>
      <c r="I2718" s="128" t="inlineStr">
        <is>
          <t>چهارشنبه</t>
        </is>
      </c>
      <c r="J2718" s="128" t="inlineStr">
        <is>
          <t>بله</t>
        </is>
      </c>
    </row>
    <row r="2719">
      <c r="A2719" s="176" t="n">
        <v>47640</v>
      </c>
      <c r="B2719" s="177" t="n">
        <v>47640</v>
      </c>
      <c r="C2719" s="177" t="n">
        <v>1409</v>
      </c>
      <c r="D2719" s="177" t="n">
        <v>3</v>
      </c>
      <c r="E2719" s="178" t="inlineStr">
        <is>
          <t>1409/03/16</t>
        </is>
      </c>
      <c r="F2719" s="134" t="inlineStr">
        <is>
          <t>1409/03</t>
        </is>
      </c>
      <c r="G2719" s="61" t="inlineStr">
        <is>
          <t>خرداد</t>
        </is>
      </c>
      <c r="H2719" s="134" t="inlineStr">
        <is>
          <t>بهار</t>
        </is>
      </c>
      <c r="I2719" s="134" t="inlineStr">
        <is>
          <t>پنجشنبه</t>
        </is>
      </c>
      <c r="J2719" s="134" t="inlineStr">
        <is>
          <t>بله</t>
        </is>
      </c>
    </row>
    <row r="2720">
      <c r="A2720" s="173" t="n">
        <v>47641</v>
      </c>
      <c r="B2720" s="174" t="n">
        <v>47641</v>
      </c>
      <c r="C2720" s="174" t="n">
        <v>1409</v>
      </c>
      <c r="D2720" s="174" t="n">
        <v>3</v>
      </c>
      <c r="E2720" s="175" t="inlineStr">
        <is>
          <t>1409/03/17</t>
        </is>
      </c>
      <c r="F2720" s="128" t="inlineStr">
        <is>
          <t>1409/03</t>
        </is>
      </c>
      <c r="G2720" s="58" t="inlineStr">
        <is>
          <t>خرداد</t>
        </is>
      </c>
      <c r="H2720" s="128" t="inlineStr">
        <is>
          <t>بهار</t>
        </is>
      </c>
      <c r="I2720" s="128" t="inlineStr">
        <is>
          <t>جمعه</t>
        </is>
      </c>
      <c r="J2720" s="128" t="inlineStr">
        <is>
          <t>بله</t>
        </is>
      </c>
    </row>
    <row r="2721">
      <c r="A2721" s="176" t="n">
        <v>47642</v>
      </c>
      <c r="B2721" s="177" t="n">
        <v>47642</v>
      </c>
      <c r="C2721" s="177" t="n">
        <v>1409</v>
      </c>
      <c r="D2721" s="177" t="n">
        <v>3</v>
      </c>
      <c r="E2721" s="178" t="inlineStr">
        <is>
          <t>1409/03/18</t>
        </is>
      </c>
      <c r="F2721" s="134" t="inlineStr">
        <is>
          <t>1409/03</t>
        </is>
      </c>
      <c r="G2721" s="61" t="inlineStr">
        <is>
          <t>خرداد</t>
        </is>
      </c>
      <c r="H2721" s="134" t="inlineStr">
        <is>
          <t>بهار</t>
        </is>
      </c>
      <c r="I2721" s="134" t="inlineStr">
        <is>
          <t>شنبه</t>
        </is>
      </c>
      <c r="J2721" s="134" t="inlineStr">
        <is>
          <t>خیر</t>
        </is>
      </c>
    </row>
    <row r="2722">
      <c r="A2722" s="173" t="n">
        <v>47643</v>
      </c>
      <c r="B2722" s="174" t="n">
        <v>47643</v>
      </c>
      <c r="C2722" s="174" t="n">
        <v>1409</v>
      </c>
      <c r="D2722" s="174" t="n">
        <v>3</v>
      </c>
      <c r="E2722" s="175" t="inlineStr">
        <is>
          <t>1409/03/19</t>
        </is>
      </c>
      <c r="F2722" s="128" t="inlineStr">
        <is>
          <t>1409/03</t>
        </is>
      </c>
      <c r="G2722" s="58" t="inlineStr">
        <is>
          <t>خرداد</t>
        </is>
      </c>
      <c r="H2722" s="128" t="inlineStr">
        <is>
          <t>بهار</t>
        </is>
      </c>
      <c r="I2722" s="128" t="inlineStr">
        <is>
          <t>یکشنبه</t>
        </is>
      </c>
      <c r="J2722" s="128" t="inlineStr">
        <is>
          <t>خیر</t>
        </is>
      </c>
    </row>
    <row r="2723">
      <c r="A2723" s="176" t="n">
        <v>47644</v>
      </c>
      <c r="B2723" s="177" t="n">
        <v>47644</v>
      </c>
      <c r="C2723" s="177" t="n">
        <v>1409</v>
      </c>
      <c r="D2723" s="177" t="n">
        <v>3</v>
      </c>
      <c r="E2723" s="178" t="inlineStr">
        <is>
          <t>1409/03/20</t>
        </is>
      </c>
      <c r="F2723" s="134" t="inlineStr">
        <is>
          <t>1409/03</t>
        </is>
      </c>
      <c r="G2723" s="61" t="inlineStr">
        <is>
          <t>خرداد</t>
        </is>
      </c>
      <c r="H2723" s="134" t="inlineStr">
        <is>
          <t>بهار</t>
        </is>
      </c>
      <c r="I2723" s="134" t="inlineStr">
        <is>
          <t>دوشنبه</t>
        </is>
      </c>
      <c r="J2723" s="134" t="inlineStr">
        <is>
          <t>بله</t>
        </is>
      </c>
    </row>
    <row r="2724">
      <c r="A2724" s="173" t="n">
        <v>47645</v>
      </c>
      <c r="B2724" s="174" t="n">
        <v>47645</v>
      </c>
      <c r="C2724" s="174" t="n">
        <v>1409</v>
      </c>
      <c r="D2724" s="174" t="n">
        <v>3</v>
      </c>
      <c r="E2724" s="175" t="inlineStr">
        <is>
          <t>1409/03/21</t>
        </is>
      </c>
      <c r="F2724" s="128" t="inlineStr">
        <is>
          <t>1409/03</t>
        </is>
      </c>
      <c r="G2724" s="58" t="inlineStr">
        <is>
          <t>خرداد</t>
        </is>
      </c>
      <c r="H2724" s="128" t="inlineStr">
        <is>
          <t>بهار</t>
        </is>
      </c>
      <c r="I2724" s="128" t="inlineStr">
        <is>
          <t>سه‌شنبه</t>
        </is>
      </c>
      <c r="J2724" s="128" t="inlineStr">
        <is>
          <t>بله</t>
        </is>
      </c>
    </row>
    <row r="2725">
      <c r="A2725" s="176" t="n">
        <v>47646</v>
      </c>
      <c r="B2725" s="177" t="n">
        <v>47646</v>
      </c>
      <c r="C2725" s="177" t="n">
        <v>1409</v>
      </c>
      <c r="D2725" s="177" t="n">
        <v>3</v>
      </c>
      <c r="E2725" s="178" t="inlineStr">
        <is>
          <t>1409/03/22</t>
        </is>
      </c>
      <c r="F2725" s="134" t="inlineStr">
        <is>
          <t>1409/03</t>
        </is>
      </c>
      <c r="G2725" s="61" t="inlineStr">
        <is>
          <t>خرداد</t>
        </is>
      </c>
      <c r="H2725" s="134" t="inlineStr">
        <is>
          <t>بهار</t>
        </is>
      </c>
      <c r="I2725" s="134" t="inlineStr">
        <is>
          <t>چهارشنبه</t>
        </is>
      </c>
      <c r="J2725" s="134" t="inlineStr">
        <is>
          <t>بله</t>
        </is>
      </c>
    </row>
    <row r="2726">
      <c r="A2726" s="173" t="n">
        <v>47647</v>
      </c>
      <c r="B2726" s="174" t="n">
        <v>47647</v>
      </c>
      <c r="C2726" s="174" t="n">
        <v>1409</v>
      </c>
      <c r="D2726" s="174" t="n">
        <v>3</v>
      </c>
      <c r="E2726" s="175" t="inlineStr">
        <is>
          <t>1409/03/23</t>
        </is>
      </c>
      <c r="F2726" s="128" t="inlineStr">
        <is>
          <t>1409/03</t>
        </is>
      </c>
      <c r="G2726" s="58" t="inlineStr">
        <is>
          <t>خرداد</t>
        </is>
      </c>
      <c r="H2726" s="128" t="inlineStr">
        <is>
          <t>بهار</t>
        </is>
      </c>
      <c r="I2726" s="128" t="inlineStr">
        <is>
          <t>پنجشنبه</t>
        </is>
      </c>
      <c r="J2726" s="128" t="inlineStr">
        <is>
          <t>بله</t>
        </is>
      </c>
    </row>
    <row r="2727">
      <c r="A2727" s="176" t="n">
        <v>47648</v>
      </c>
      <c r="B2727" s="177" t="n">
        <v>47648</v>
      </c>
      <c r="C2727" s="177" t="n">
        <v>1409</v>
      </c>
      <c r="D2727" s="177" t="n">
        <v>3</v>
      </c>
      <c r="E2727" s="178" t="inlineStr">
        <is>
          <t>1409/03/24</t>
        </is>
      </c>
      <c r="F2727" s="134" t="inlineStr">
        <is>
          <t>1409/03</t>
        </is>
      </c>
      <c r="G2727" s="61" t="inlineStr">
        <is>
          <t>خرداد</t>
        </is>
      </c>
      <c r="H2727" s="134" t="inlineStr">
        <is>
          <t>بهار</t>
        </is>
      </c>
      <c r="I2727" s="134" t="inlineStr">
        <is>
          <t>جمعه</t>
        </is>
      </c>
      <c r="J2727" s="134" t="inlineStr">
        <is>
          <t>بله</t>
        </is>
      </c>
    </row>
    <row r="2728">
      <c r="A2728" s="173" t="n">
        <v>47649</v>
      </c>
      <c r="B2728" s="174" t="n">
        <v>47649</v>
      </c>
      <c r="C2728" s="174" t="n">
        <v>1409</v>
      </c>
      <c r="D2728" s="174" t="n">
        <v>3</v>
      </c>
      <c r="E2728" s="175" t="inlineStr">
        <is>
          <t>1409/03/25</t>
        </is>
      </c>
      <c r="F2728" s="128" t="inlineStr">
        <is>
          <t>1409/03</t>
        </is>
      </c>
      <c r="G2728" s="58" t="inlineStr">
        <is>
          <t>خرداد</t>
        </is>
      </c>
      <c r="H2728" s="128" t="inlineStr">
        <is>
          <t>بهار</t>
        </is>
      </c>
      <c r="I2728" s="128" t="inlineStr">
        <is>
          <t>شنبه</t>
        </is>
      </c>
      <c r="J2728" s="128" t="inlineStr">
        <is>
          <t>خیر</t>
        </is>
      </c>
    </row>
    <row r="2729">
      <c r="A2729" s="176" t="n">
        <v>47650</v>
      </c>
      <c r="B2729" s="177" t="n">
        <v>47650</v>
      </c>
      <c r="C2729" s="177" t="n">
        <v>1409</v>
      </c>
      <c r="D2729" s="177" t="n">
        <v>3</v>
      </c>
      <c r="E2729" s="178" t="inlineStr">
        <is>
          <t>1409/03/26</t>
        </is>
      </c>
      <c r="F2729" s="134" t="inlineStr">
        <is>
          <t>1409/03</t>
        </is>
      </c>
      <c r="G2729" s="61" t="inlineStr">
        <is>
          <t>خرداد</t>
        </is>
      </c>
      <c r="H2729" s="134" t="inlineStr">
        <is>
          <t>بهار</t>
        </is>
      </c>
      <c r="I2729" s="134" t="inlineStr">
        <is>
          <t>یکشنبه</t>
        </is>
      </c>
      <c r="J2729" s="134" t="inlineStr">
        <is>
          <t>خیر</t>
        </is>
      </c>
    </row>
    <row r="2730">
      <c r="A2730" s="173" t="n">
        <v>47651</v>
      </c>
      <c r="B2730" s="174" t="n">
        <v>47651</v>
      </c>
      <c r="C2730" s="174" t="n">
        <v>1409</v>
      </c>
      <c r="D2730" s="174" t="n">
        <v>3</v>
      </c>
      <c r="E2730" s="175" t="inlineStr">
        <is>
          <t>1409/03/27</t>
        </is>
      </c>
      <c r="F2730" s="128" t="inlineStr">
        <is>
          <t>1409/03</t>
        </is>
      </c>
      <c r="G2730" s="58" t="inlineStr">
        <is>
          <t>خرداد</t>
        </is>
      </c>
      <c r="H2730" s="128" t="inlineStr">
        <is>
          <t>بهار</t>
        </is>
      </c>
      <c r="I2730" s="128" t="inlineStr">
        <is>
          <t>دوشنبه</t>
        </is>
      </c>
      <c r="J2730" s="128" t="inlineStr">
        <is>
          <t>بله</t>
        </is>
      </c>
    </row>
    <row r="2731">
      <c r="A2731" s="176" t="n">
        <v>47652</v>
      </c>
      <c r="B2731" s="177" t="n">
        <v>47652</v>
      </c>
      <c r="C2731" s="177" t="n">
        <v>1409</v>
      </c>
      <c r="D2731" s="177" t="n">
        <v>3</v>
      </c>
      <c r="E2731" s="178" t="inlineStr">
        <is>
          <t>1409/03/28</t>
        </is>
      </c>
      <c r="F2731" s="134" t="inlineStr">
        <is>
          <t>1409/03</t>
        </is>
      </c>
      <c r="G2731" s="61" t="inlineStr">
        <is>
          <t>خرداد</t>
        </is>
      </c>
      <c r="H2731" s="134" t="inlineStr">
        <is>
          <t>بهار</t>
        </is>
      </c>
      <c r="I2731" s="134" t="inlineStr">
        <is>
          <t>سه‌شنبه</t>
        </is>
      </c>
      <c r="J2731" s="134" t="inlineStr">
        <is>
          <t>بله</t>
        </is>
      </c>
    </row>
    <row r="2732">
      <c r="A2732" s="173" t="n">
        <v>47653</v>
      </c>
      <c r="B2732" s="174" t="n">
        <v>47653</v>
      </c>
      <c r="C2732" s="174" t="n">
        <v>1409</v>
      </c>
      <c r="D2732" s="174" t="n">
        <v>3</v>
      </c>
      <c r="E2732" s="175" t="inlineStr">
        <is>
          <t>1409/03/29</t>
        </is>
      </c>
      <c r="F2732" s="128" t="inlineStr">
        <is>
          <t>1409/03</t>
        </is>
      </c>
      <c r="G2732" s="58" t="inlineStr">
        <is>
          <t>خرداد</t>
        </is>
      </c>
      <c r="H2732" s="128" t="inlineStr">
        <is>
          <t>بهار</t>
        </is>
      </c>
      <c r="I2732" s="128" t="inlineStr">
        <is>
          <t>چهارشنبه</t>
        </is>
      </c>
      <c r="J2732" s="128" t="inlineStr">
        <is>
          <t>بله</t>
        </is>
      </c>
    </row>
    <row r="2733">
      <c r="A2733" s="176" t="n">
        <v>47654</v>
      </c>
      <c r="B2733" s="177" t="n">
        <v>47654</v>
      </c>
      <c r="C2733" s="177" t="n">
        <v>1409</v>
      </c>
      <c r="D2733" s="177" t="n">
        <v>3</v>
      </c>
      <c r="E2733" s="178" t="inlineStr">
        <is>
          <t>1409/03/30</t>
        </is>
      </c>
      <c r="F2733" s="134" t="inlineStr">
        <is>
          <t>1409/03</t>
        </is>
      </c>
      <c r="G2733" s="61" t="inlineStr">
        <is>
          <t>خرداد</t>
        </is>
      </c>
      <c r="H2733" s="134" t="inlineStr">
        <is>
          <t>بهار</t>
        </is>
      </c>
      <c r="I2733" s="134" t="inlineStr">
        <is>
          <t>پنجشنبه</t>
        </is>
      </c>
      <c r="J2733" s="134" t="inlineStr">
        <is>
          <t>بله</t>
        </is>
      </c>
    </row>
    <row r="2734">
      <c r="A2734" s="173" t="n">
        <v>47655</v>
      </c>
      <c r="B2734" s="174" t="n">
        <v>47655</v>
      </c>
      <c r="C2734" s="174" t="n">
        <v>1409</v>
      </c>
      <c r="D2734" s="174" t="n">
        <v>3</v>
      </c>
      <c r="E2734" s="175" t="inlineStr">
        <is>
          <t>1409/03/31</t>
        </is>
      </c>
      <c r="F2734" s="128" t="inlineStr">
        <is>
          <t>1409/03</t>
        </is>
      </c>
      <c r="G2734" s="58" t="inlineStr">
        <is>
          <t>خرداد</t>
        </is>
      </c>
      <c r="H2734" s="128" t="inlineStr">
        <is>
          <t>بهار</t>
        </is>
      </c>
      <c r="I2734" s="128" t="inlineStr">
        <is>
          <t>جمعه</t>
        </is>
      </c>
      <c r="J2734" s="128" t="inlineStr">
        <is>
          <t>بله</t>
        </is>
      </c>
    </row>
    <row r="2735">
      <c r="A2735" s="176" t="n">
        <v>47656</v>
      </c>
      <c r="B2735" s="177" t="n">
        <v>47656</v>
      </c>
      <c r="C2735" s="177" t="n">
        <v>1409</v>
      </c>
      <c r="D2735" s="177" t="n">
        <v>4</v>
      </c>
      <c r="E2735" s="178" t="inlineStr">
        <is>
          <t>1409/04/01</t>
        </is>
      </c>
      <c r="F2735" s="134" t="inlineStr">
        <is>
          <t>1409/04</t>
        </is>
      </c>
      <c r="G2735" s="61" t="inlineStr">
        <is>
          <t>تیر</t>
        </is>
      </c>
      <c r="H2735" s="134" t="inlineStr">
        <is>
          <t>تابستان</t>
        </is>
      </c>
      <c r="I2735" s="134" t="inlineStr">
        <is>
          <t>شنبه</t>
        </is>
      </c>
      <c r="J2735" s="134" t="inlineStr">
        <is>
          <t>خیر</t>
        </is>
      </c>
    </row>
    <row r="2736">
      <c r="A2736" s="173" t="n">
        <v>47657</v>
      </c>
      <c r="B2736" s="174" t="n">
        <v>47657</v>
      </c>
      <c r="C2736" s="174" t="n">
        <v>1409</v>
      </c>
      <c r="D2736" s="174" t="n">
        <v>4</v>
      </c>
      <c r="E2736" s="175" t="inlineStr">
        <is>
          <t>1409/04/02</t>
        </is>
      </c>
      <c r="F2736" s="128" t="inlineStr">
        <is>
          <t>1409/04</t>
        </is>
      </c>
      <c r="G2736" s="58" t="inlineStr">
        <is>
          <t>تیر</t>
        </is>
      </c>
      <c r="H2736" s="128" t="inlineStr">
        <is>
          <t>تابستان</t>
        </is>
      </c>
      <c r="I2736" s="128" t="inlineStr">
        <is>
          <t>یکشنبه</t>
        </is>
      </c>
      <c r="J2736" s="128" t="inlineStr">
        <is>
          <t>خیر</t>
        </is>
      </c>
    </row>
    <row r="2737">
      <c r="A2737" s="176" t="n">
        <v>47658</v>
      </c>
      <c r="B2737" s="177" t="n">
        <v>47658</v>
      </c>
      <c r="C2737" s="177" t="n">
        <v>1409</v>
      </c>
      <c r="D2737" s="177" t="n">
        <v>4</v>
      </c>
      <c r="E2737" s="178" t="inlineStr">
        <is>
          <t>1409/04/03</t>
        </is>
      </c>
      <c r="F2737" s="134" t="inlineStr">
        <is>
          <t>1409/04</t>
        </is>
      </c>
      <c r="G2737" s="61" t="inlineStr">
        <is>
          <t>تیر</t>
        </is>
      </c>
      <c r="H2737" s="134" t="inlineStr">
        <is>
          <t>تابستان</t>
        </is>
      </c>
      <c r="I2737" s="134" t="inlineStr">
        <is>
          <t>دوشنبه</t>
        </is>
      </c>
      <c r="J2737" s="134" t="inlineStr">
        <is>
          <t>بله</t>
        </is>
      </c>
    </row>
    <row r="2738">
      <c r="A2738" s="173" t="n">
        <v>47659</v>
      </c>
      <c r="B2738" s="174" t="n">
        <v>47659</v>
      </c>
      <c r="C2738" s="174" t="n">
        <v>1409</v>
      </c>
      <c r="D2738" s="174" t="n">
        <v>4</v>
      </c>
      <c r="E2738" s="175" t="inlineStr">
        <is>
          <t>1409/04/04</t>
        </is>
      </c>
      <c r="F2738" s="128" t="inlineStr">
        <is>
          <t>1409/04</t>
        </is>
      </c>
      <c r="G2738" s="58" t="inlineStr">
        <is>
          <t>تیر</t>
        </is>
      </c>
      <c r="H2738" s="128" t="inlineStr">
        <is>
          <t>تابستان</t>
        </is>
      </c>
      <c r="I2738" s="128" t="inlineStr">
        <is>
          <t>سه‌شنبه</t>
        </is>
      </c>
      <c r="J2738" s="128" t="inlineStr">
        <is>
          <t>بله</t>
        </is>
      </c>
    </row>
    <row r="2739">
      <c r="A2739" s="176" t="n">
        <v>47660</v>
      </c>
      <c r="B2739" s="177" t="n">
        <v>47660</v>
      </c>
      <c r="C2739" s="177" t="n">
        <v>1409</v>
      </c>
      <c r="D2739" s="177" t="n">
        <v>4</v>
      </c>
      <c r="E2739" s="178" t="inlineStr">
        <is>
          <t>1409/04/05</t>
        </is>
      </c>
      <c r="F2739" s="134" t="inlineStr">
        <is>
          <t>1409/04</t>
        </is>
      </c>
      <c r="G2739" s="61" t="inlineStr">
        <is>
          <t>تیر</t>
        </is>
      </c>
      <c r="H2739" s="134" t="inlineStr">
        <is>
          <t>تابستان</t>
        </is>
      </c>
      <c r="I2739" s="134" t="inlineStr">
        <is>
          <t>چهارشنبه</t>
        </is>
      </c>
      <c r="J2739" s="134" t="inlineStr">
        <is>
          <t>بله</t>
        </is>
      </c>
    </row>
    <row r="2740">
      <c r="A2740" s="173" t="n">
        <v>47661</v>
      </c>
      <c r="B2740" s="174" t="n">
        <v>47661</v>
      </c>
      <c r="C2740" s="174" t="n">
        <v>1409</v>
      </c>
      <c r="D2740" s="174" t="n">
        <v>4</v>
      </c>
      <c r="E2740" s="175" t="inlineStr">
        <is>
          <t>1409/04/06</t>
        </is>
      </c>
      <c r="F2740" s="128" t="inlineStr">
        <is>
          <t>1409/04</t>
        </is>
      </c>
      <c r="G2740" s="58" t="inlineStr">
        <is>
          <t>تیر</t>
        </is>
      </c>
      <c r="H2740" s="128" t="inlineStr">
        <is>
          <t>تابستان</t>
        </is>
      </c>
      <c r="I2740" s="128" t="inlineStr">
        <is>
          <t>پنجشنبه</t>
        </is>
      </c>
      <c r="J2740" s="128" t="inlineStr">
        <is>
          <t>بله</t>
        </is>
      </c>
    </row>
    <row r="2741">
      <c r="A2741" s="176" t="n">
        <v>47662</v>
      </c>
      <c r="B2741" s="177" t="n">
        <v>47662</v>
      </c>
      <c r="C2741" s="177" t="n">
        <v>1409</v>
      </c>
      <c r="D2741" s="177" t="n">
        <v>4</v>
      </c>
      <c r="E2741" s="178" t="inlineStr">
        <is>
          <t>1409/04/07</t>
        </is>
      </c>
      <c r="F2741" s="134" t="inlineStr">
        <is>
          <t>1409/04</t>
        </is>
      </c>
      <c r="G2741" s="61" t="inlineStr">
        <is>
          <t>تیر</t>
        </is>
      </c>
      <c r="H2741" s="134" t="inlineStr">
        <is>
          <t>تابستان</t>
        </is>
      </c>
      <c r="I2741" s="134" t="inlineStr">
        <is>
          <t>جمعه</t>
        </is>
      </c>
      <c r="J2741" s="134" t="inlineStr">
        <is>
          <t>بله</t>
        </is>
      </c>
    </row>
    <row r="2742">
      <c r="A2742" s="173" t="n">
        <v>47663</v>
      </c>
      <c r="B2742" s="174" t="n">
        <v>47663</v>
      </c>
      <c r="C2742" s="174" t="n">
        <v>1409</v>
      </c>
      <c r="D2742" s="174" t="n">
        <v>4</v>
      </c>
      <c r="E2742" s="175" t="inlineStr">
        <is>
          <t>1409/04/08</t>
        </is>
      </c>
      <c r="F2742" s="128" t="inlineStr">
        <is>
          <t>1409/04</t>
        </is>
      </c>
      <c r="G2742" s="58" t="inlineStr">
        <is>
          <t>تیر</t>
        </is>
      </c>
      <c r="H2742" s="128" t="inlineStr">
        <is>
          <t>تابستان</t>
        </is>
      </c>
      <c r="I2742" s="128" t="inlineStr">
        <is>
          <t>شنبه</t>
        </is>
      </c>
      <c r="J2742" s="128" t="inlineStr">
        <is>
          <t>خیر</t>
        </is>
      </c>
    </row>
    <row r="2743">
      <c r="A2743" s="176" t="n">
        <v>47664</v>
      </c>
      <c r="B2743" s="177" t="n">
        <v>47664</v>
      </c>
      <c r="C2743" s="177" t="n">
        <v>1409</v>
      </c>
      <c r="D2743" s="177" t="n">
        <v>4</v>
      </c>
      <c r="E2743" s="178" t="inlineStr">
        <is>
          <t>1409/04/09</t>
        </is>
      </c>
      <c r="F2743" s="134" t="inlineStr">
        <is>
          <t>1409/04</t>
        </is>
      </c>
      <c r="G2743" s="61" t="inlineStr">
        <is>
          <t>تیر</t>
        </is>
      </c>
      <c r="H2743" s="134" t="inlineStr">
        <is>
          <t>تابستان</t>
        </is>
      </c>
      <c r="I2743" s="134" t="inlineStr">
        <is>
          <t>یکشنبه</t>
        </is>
      </c>
      <c r="J2743" s="134" t="inlineStr">
        <is>
          <t>خیر</t>
        </is>
      </c>
    </row>
    <row r="2744">
      <c r="A2744" s="173" t="n">
        <v>47665</v>
      </c>
      <c r="B2744" s="174" t="n">
        <v>47665</v>
      </c>
      <c r="C2744" s="174" t="n">
        <v>1409</v>
      </c>
      <c r="D2744" s="174" t="n">
        <v>4</v>
      </c>
      <c r="E2744" s="175" t="inlineStr">
        <is>
          <t>1409/04/10</t>
        </is>
      </c>
      <c r="F2744" s="128" t="inlineStr">
        <is>
          <t>1409/04</t>
        </is>
      </c>
      <c r="G2744" s="58" t="inlineStr">
        <is>
          <t>تیر</t>
        </is>
      </c>
      <c r="H2744" s="128" t="inlineStr">
        <is>
          <t>تابستان</t>
        </is>
      </c>
      <c r="I2744" s="128" t="inlineStr">
        <is>
          <t>دوشنبه</t>
        </is>
      </c>
      <c r="J2744" s="128" t="inlineStr">
        <is>
          <t>بله</t>
        </is>
      </c>
    </row>
    <row r="2745">
      <c r="A2745" s="176" t="n">
        <v>47666</v>
      </c>
      <c r="B2745" s="177" t="n">
        <v>47666</v>
      </c>
      <c r="C2745" s="177" t="n">
        <v>1409</v>
      </c>
      <c r="D2745" s="177" t="n">
        <v>4</v>
      </c>
      <c r="E2745" s="178" t="inlineStr">
        <is>
          <t>1409/04/11</t>
        </is>
      </c>
      <c r="F2745" s="134" t="inlineStr">
        <is>
          <t>1409/04</t>
        </is>
      </c>
      <c r="G2745" s="61" t="inlineStr">
        <is>
          <t>تیر</t>
        </is>
      </c>
      <c r="H2745" s="134" t="inlineStr">
        <is>
          <t>تابستان</t>
        </is>
      </c>
      <c r="I2745" s="134" t="inlineStr">
        <is>
          <t>سه‌شنبه</t>
        </is>
      </c>
      <c r="J2745" s="134" t="inlineStr">
        <is>
          <t>بله</t>
        </is>
      </c>
    </row>
    <row r="2746">
      <c r="A2746" s="173" t="n">
        <v>47667</v>
      </c>
      <c r="B2746" s="174" t="n">
        <v>47667</v>
      </c>
      <c r="C2746" s="174" t="n">
        <v>1409</v>
      </c>
      <c r="D2746" s="174" t="n">
        <v>4</v>
      </c>
      <c r="E2746" s="175" t="inlineStr">
        <is>
          <t>1409/04/12</t>
        </is>
      </c>
      <c r="F2746" s="128" t="inlineStr">
        <is>
          <t>1409/04</t>
        </is>
      </c>
      <c r="G2746" s="58" t="inlineStr">
        <is>
          <t>تیر</t>
        </is>
      </c>
      <c r="H2746" s="128" t="inlineStr">
        <is>
          <t>تابستان</t>
        </is>
      </c>
      <c r="I2746" s="128" t="inlineStr">
        <is>
          <t>چهارشنبه</t>
        </is>
      </c>
      <c r="J2746" s="128" t="inlineStr">
        <is>
          <t>بله</t>
        </is>
      </c>
    </row>
    <row r="2747">
      <c r="A2747" s="176" t="n">
        <v>47668</v>
      </c>
      <c r="B2747" s="177" t="n">
        <v>47668</v>
      </c>
      <c r="C2747" s="177" t="n">
        <v>1409</v>
      </c>
      <c r="D2747" s="177" t="n">
        <v>4</v>
      </c>
      <c r="E2747" s="178" t="inlineStr">
        <is>
          <t>1409/04/13</t>
        </is>
      </c>
      <c r="F2747" s="134" t="inlineStr">
        <is>
          <t>1409/04</t>
        </is>
      </c>
      <c r="G2747" s="61" t="inlineStr">
        <is>
          <t>تیر</t>
        </is>
      </c>
      <c r="H2747" s="134" t="inlineStr">
        <is>
          <t>تابستان</t>
        </is>
      </c>
      <c r="I2747" s="134" t="inlineStr">
        <is>
          <t>پنجشنبه</t>
        </is>
      </c>
      <c r="J2747" s="134" t="inlineStr">
        <is>
          <t>بله</t>
        </is>
      </c>
    </row>
    <row r="2748">
      <c r="A2748" s="173" t="n">
        <v>47669</v>
      </c>
      <c r="B2748" s="174" t="n">
        <v>47669</v>
      </c>
      <c r="C2748" s="174" t="n">
        <v>1409</v>
      </c>
      <c r="D2748" s="174" t="n">
        <v>4</v>
      </c>
      <c r="E2748" s="175" t="inlineStr">
        <is>
          <t>1409/04/14</t>
        </is>
      </c>
      <c r="F2748" s="128" t="inlineStr">
        <is>
          <t>1409/04</t>
        </is>
      </c>
      <c r="G2748" s="58" t="inlineStr">
        <is>
          <t>تیر</t>
        </is>
      </c>
      <c r="H2748" s="128" t="inlineStr">
        <is>
          <t>تابستان</t>
        </is>
      </c>
      <c r="I2748" s="128" t="inlineStr">
        <is>
          <t>جمعه</t>
        </is>
      </c>
      <c r="J2748" s="128" t="inlineStr">
        <is>
          <t>بله</t>
        </is>
      </c>
    </row>
    <row r="2749">
      <c r="A2749" s="176" t="n">
        <v>47670</v>
      </c>
      <c r="B2749" s="177" t="n">
        <v>47670</v>
      </c>
      <c r="C2749" s="177" t="n">
        <v>1409</v>
      </c>
      <c r="D2749" s="177" t="n">
        <v>4</v>
      </c>
      <c r="E2749" s="178" t="inlineStr">
        <is>
          <t>1409/04/15</t>
        </is>
      </c>
      <c r="F2749" s="134" t="inlineStr">
        <is>
          <t>1409/04</t>
        </is>
      </c>
      <c r="G2749" s="61" t="inlineStr">
        <is>
          <t>تیر</t>
        </is>
      </c>
      <c r="H2749" s="134" t="inlineStr">
        <is>
          <t>تابستان</t>
        </is>
      </c>
      <c r="I2749" s="134" t="inlineStr">
        <is>
          <t>شنبه</t>
        </is>
      </c>
      <c r="J2749" s="134" t="inlineStr">
        <is>
          <t>خیر</t>
        </is>
      </c>
    </row>
    <row r="2750">
      <c r="A2750" s="173" t="n">
        <v>47671</v>
      </c>
      <c r="B2750" s="174" t="n">
        <v>47671</v>
      </c>
      <c r="C2750" s="174" t="n">
        <v>1409</v>
      </c>
      <c r="D2750" s="174" t="n">
        <v>4</v>
      </c>
      <c r="E2750" s="175" t="inlineStr">
        <is>
          <t>1409/04/16</t>
        </is>
      </c>
      <c r="F2750" s="128" t="inlineStr">
        <is>
          <t>1409/04</t>
        </is>
      </c>
      <c r="G2750" s="58" t="inlineStr">
        <is>
          <t>تیر</t>
        </is>
      </c>
      <c r="H2750" s="128" t="inlineStr">
        <is>
          <t>تابستان</t>
        </is>
      </c>
      <c r="I2750" s="128" t="inlineStr">
        <is>
          <t>یکشنبه</t>
        </is>
      </c>
      <c r="J2750" s="128" t="inlineStr">
        <is>
          <t>خیر</t>
        </is>
      </c>
    </row>
    <row r="2751">
      <c r="A2751" s="176" t="n">
        <v>47672</v>
      </c>
      <c r="B2751" s="177" t="n">
        <v>47672</v>
      </c>
      <c r="C2751" s="177" t="n">
        <v>1409</v>
      </c>
      <c r="D2751" s="177" t="n">
        <v>4</v>
      </c>
      <c r="E2751" s="178" t="inlineStr">
        <is>
          <t>1409/04/17</t>
        </is>
      </c>
      <c r="F2751" s="134" t="inlineStr">
        <is>
          <t>1409/04</t>
        </is>
      </c>
      <c r="G2751" s="61" t="inlineStr">
        <is>
          <t>تیر</t>
        </is>
      </c>
      <c r="H2751" s="134" t="inlineStr">
        <is>
          <t>تابستان</t>
        </is>
      </c>
      <c r="I2751" s="134" t="inlineStr">
        <is>
          <t>دوشنبه</t>
        </is>
      </c>
      <c r="J2751" s="134" t="inlineStr">
        <is>
          <t>بله</t>
        </is>
      </c>
    </row>
    <row r="2752">
      <c r="A2752" s="173" t="n">
        <v>47673</v>
      </c>
      <c r="B2752" s="174" t="n">
        <v>47673</v>
      </c>
      <c r="C2752" s="174" t="n">
        <v>1409</v>
      </c>
      <c r="D2752" s="174" t="n">
        <v>4</v>
      </c>
      <c r="E2752" s="175" t="inlineStr">
        <is>
          <t>1409/04/18</t>
        </is>
      </c>
      <c r="F2752" s="128" t="inlineStr">
        <is>
          <t>1409/04</t>
        </is>
      </c>
      <c r="G2752" s="58" t="inlineStr">
        <is>
          <t>تیر</t>
        </is>
      </c>
      <c r="H2752" s="128" t="inlineStr">
        <is>
          <t>تابستان</t>
        </is>
      </c>
      <c r="I2752" s="128" t="inlineStr">
        <is>
          <t>سه‌شنبه</t>
        </is>
      </c>
      <c r="J2752" s="128" t="inlineStr">
        <is>
          <t>بله</t>
        </is>
      </c>
    </row>
    <row r="2753">
      <c r="A2753" s="176" t="n">
        <v>47674</v>
      </c>
      <c r="B2753" s="177" t="n">
        <v>47674</v>
      </c>
      <c r="C2753" s="177" t="n">
        <v>1409</v>
      </c>
      <c r="D2753" s="177" t="n">
        <v>4</v>
      </c>
      <c r="E2753" s="178" t="inlineStr">
        <is>
          <t>1409/04/19</t>
        </is>
      </c>
      <c r="F2753" s="134" t="inlineStr">
        <is>
          <t>1409/04</t>
        </is>
      </c>
      <c r="G2753" s="61" t="inlineStr">
        <is>
          <t>تیر</t>
        </is>
      </c>
      <c r="H2753" s="134" t="inlineStr">
        <is>
          <t>تابستان</t>
        </is>
      </c>
      <c r="I2753" s="134" t="inlineStr">
        <is>
          <t>چهارشنبه</t>
        </is>
      </c>
      <c r="J2753" s="134" t="inlineStr">
        <is>
          <t>بله</t>
        </is>
      </c>
    </row>
    <row r="2754">
      <c r="A2754" s="173" t="n">
        <v>47675</v>
      </c>
      <c r="B2754" s="174" t="n">
        <v>47675</v>
      </c>
      <c r="C2754" s="174" t="n">
        <v>1409</v>
      </c>
      <c r="D2754" s="174" t="n">
        <v>4</v>
      </c>
      <c r="E2754" s="175" t="inlineStr">
        <is>
          <t>1409/04/20</t>
        </is>
      </c>
      <c r="F2754" s="128" t="inlineStr">
        <is>
          <t>1409/04</t>
        </is>
      </c>
      <c r="G2754" s="58" t="inlineStr">
        <is>
          <t>تیر</t>
        </is>
      </c>
      <c r="H2754" s="128" t="inlineStr">
        <is>
          <t>تابستان</t>
        </is>
      </c>
      <c r="I2754" s="128" t="inlineStr">
        <is>
          <t>پنجشنبه</t>
        </is>
      </c>
      <c r="J2754" s="128" t="inlineStr">
        <is>
          <t>بله</t>
        </is>
      </c>
    </row>
    <row r="2755">
      <c r="A2755" s="176" t="n">
        <v>47676</v>
      </c>
      <c r="B2755" s="177" t="n">
        <v>47676</v>
      </c>
      <c r="C2755" s="177" t="n">
        <v>1409</v>
      </c>
      <c r="D2755" s="177" t="n">
        <v>4</v>
      </c>
      <c r="E2755" s="178" t="inlineStr">
        <is>
          <t>1409/04/21</t>
        </is>
      </c>
      <c r="F2755" s="134" t="inlineStr">
        <is>
          <t>1409/04</t>
        </is>
      </c>
      <c r="G2755" s="61" t="inlineStr">
        <is>
          <t>تیر</t>
        </is>
      </c>
      <c r="H2755" s="134" t="inlineStr">
        <is>
          <t>تابستان</t>
        </is>
      </c>
      <c r="I2755" s="134" t="inlineStr">
        <is>
          <t>جمعه</t>
        </is>
      </c>
      <c r="J2755" s="134" t="inlineStr">
        <is>
          <t>بله</t>
        </is>
      </c>
    </row>
    <row r="2756">
      <c r="A2756" s="173" t="n">
        <v>47677</v>
      </c>
      <c r="B2756" s="174" t="n">
        <v>47677</v>
      </c>
      <c r="C2756" s="174" t="n">
        <v>1409</v>
      </c>
      <c r="D2756" s="174" t="n">
        <v>4</v>
      </c>
      <c r="E2756" s="175" t="inlineStr">
        <is>
          <t>1409/04/22</t>
        </is>
      </c>
      <c r="F2756" s="128" t="inlineStr">
        <is>
          <t>1409/04</t>
        </is>
      </c>
      <c r="G2756" s="58" t="inlineStr">
        <is>
          <t>تیر</t>
        </is>
      </c>
      <c r="H2756" s="128" t="inlineStr">
        <is>
          <t>تابستان</t>
        </is>
      </c>
      <c r="I2756" s="128" t="inlineStr">
        <is>
          <t>شنبه</t>
        </is>
      </c>
      <c r="J2756" s="128" t="inlineStr">
        <is>
          <t>خیر</t>
        </is>
      </c>
    </row>
    <row r="2757">
      <c r="A2757" s="176" t="n">
        <v>47678</v>
      </c>
      <c r="B2757" s="177" t="n">
        <v>47678</v>
      </c>
      <c r="C2757" s="177" t="n">
        <v>1409</v>
      </c>
      <c r="D2757" s="177" t="n">
        <v>4</v>
      </c>
      <c r="E2757" s="178" t="inlineStr">
        <is>
          <t>1409/04/23</t>
        </is>
      </c>
      <c r="F2757" s="134" t="inlineStr">
        <is>
          <t>1409/04</t>
        </is>
      </c>
      <c r="G2757" s="61" t="inlineStr">
        <is>
          <t>تیر</t>
        </is>
      </c>
      <c r="H2757" s="134" t="inlineStr">
        <is>
          <t>تابستان</t>
        </is>
      </c>
      <c r="I2757" s="134" t="inlineStr">
        <is>
          <t>یکشنبه</t>
        </is>
      </c>
      <c r="J2757" s="134" t="inlineStr">
        <is>
          <t>خیر</t>
        </is>
      </c>
    </row>
    <row r="2758">
      <c r="A2758" s="173" t="n">
        <v>47679</v>
      </c>
      <c r="B2758" s="174" t="n">
        <v>47679</v>
      </c>
      <c r="C2758" s="174" t="n">
        <v>1409</v>
      </c>
      <c r="D2758" s="174" t="n">
        <v>4</v>
      </c>
      <c r="E2758" s="175" t="inlineStr">
        <is>
          <t>1409/04/24</t>
        </is>
      </c>
      <c r="F2758" s="128" t="inlineStr">
        <is>
          <t>1409/04</t>
        </is>
      </c>
      <c r="G2758" s="58" t="inlineStr">
        <is>
          <t>تیر</t>
        </is>
      </c>
      <c r="H2758" s="128" t="inlineStr">
        <is>
          <t>تابستان</t>
        </is>
      </c>
      <c r="I2758" s="128" t="inlineStr">
        <is>
          <t>دوشنبه</t>
        </is>
      </c>
      <c r="J2758" s="128" t="inlineStr">
        <is>
          <t>بله</t>
        </is>
      </c>
    </row>
    <row r="2759">
      <c r="A2759" s="176" t="n">
        <v>47680</v>
      </c>
      <c r="B2759" s="177" t="n">
        <v>47680</v>
      </c>
      <c r="C2759" s="177" t="n">
        <v>1409</v>
      </c>
      <c r="D2759" s="177" t="n">
        <v>4</v>
      </c>
      <c r="E2759" s="178" t="inlineStr">
        <is>
          <t>1409/04/25</t>
        </is>
      </c>
      <c r="F2759" s="134" t="inlineStr">
        <is>
          <t>1409/04</t>
        </is>
      </c>
      <c r="G2759" s="61" t="inlineStr">
        <is>
          <t>تیر</t>
        </is>
      </c>
      <c r="H2759" s="134" t="inlineStr">
        <is>
          <t>تابستان</t>
        </is>
      </c>
      <c r="I2759" s="134" t="inlineStr">
        <is>
          <t>سه‌شنبه</t>
        </is>
      </c>
      <c r="J2759" s="134" t="inlineStr">
        <is>
          <t>بله</t>
        </is>
      </c>
    </row>
    <row r="2760">
      <c r="A2760" s="173" t="n">
        <v>47681</v>
      </c>
      <c r="B2760" s="174" t="n">
        <v>47681</v>
      </c>
      <c r="C2760" s="174" t="n">
        <v>1409</v>
      </c>
      <c r="D2760" s="174" t="n">
        <v>4</v>
      </c>
      <c r="E2760" s="175" t="inlineStr">
        <is>
          <t>1409/04/26</t>
        </is>
      </c>
      <c r="F2760" s="128" t="inlineStr">
        <is>
          <t>1409/04</t>
        </is>
      </c>
      <c r="G2760" s="58" t="inlineStr">
        <is>
          <t>تیر</t>
        </is>
      </c>
      <c r="H2760" s="128" t="inlineStr">
        <is>
          <t>تابستان</t>
        </is>
      </c>
      <c r="I2760" s="128" t="inlineStr">
        <is>
          <t>چهارشنبه</t>
        </is>
      </c>
      <c r="J2760" s="128" t="inlineStr">
        <is>
          <t>بله</t>
        </is>
      </c>
    </row>
    <row r="2761">
      <c r="A2761" s="176" t="n">
        <v>47682</v>
      </c>
      <c r="B2761" s="177" t="n">
        <v>47682</v>
      </c>
      <c r="C2761" s="177" t="n">
        <v>1409</v>
      </c>
      <c r="D2761" s="177" t="n">
        <v>4</v>
      </c>
      <c r="E2761" s="178" t="inlineStr">
        <is>
          <t>1409/04/27</t>
        </is>
      </c>
      <c r="F2761" s="134" t="inlineStr">
        <is>
          <t>1409/04</t>
        </is>
      </c>
      <c r="G2761" s="61" t="inlineStr">
        <is>
          <t>تیر</t>
        </is>
      </c>
      <c r="H2761" s="134" t="inlineStr">
        <is>
          <t>تابستان</t>
        </is>
      </c>
      <c r="I2761" s="134" t="inlineStr">
        <is>
          <t>پنجشنبه</t>
        </is>
      </c>
      <c r="J2761" s="134" t="inlineStr">
        <is>
          <t>بله</t>
        </is>
      </c>
    </row>
    <row r="2762">
      <c r="A2762" s="173" t="n">
        <v>47683</v>
      </c>
      <c r="B2762" s="174" t="n">
        <v>47683</v>
      </c>
      <c r="C2762" s="174" t="n">
        <v>1409</v>
      </c>
      <c r="D2762" s="174" t="n">
        <v>4</v>
      </c>
      <c r="E2762" s="175" t="inlineStr">
        <is>
          <t>1409/04/28</t>
        </is>
      </c>
      <c r="F2762" s="128" t="inlineStr">
        <is>
          <t>1409/04</t>
        </is>
      </c>
      <c r="G2762" s="58" t="inlineStr">
        <is>
          <t>تیر</t>
        </is>
      </c>
      <c r="H2762" s="128" t="inlineStr">
        <is>
          <t>تابستان</t>
        </is>
      </c>
      <c r="I2762" s="128" t="inlineStr">
        <is>
          <t>جمعه</t>
        </is>
      </c>
      <c r="J2762" s="128" t="inlineStr">
        <is>
          <t>بله</t>
        </is>
      </c>
    </row>
    <row r="2763">
      <c r="A2763" s="176" t="n">
        <v>47684</v>
      </c>
      <c r="B2763" s="177" t="n">
        <v>47684</v>
      </c>
      <c r="C2763" s="177" t="n">
        <v>1409</v>
      </c>
      <c r="D2763" s="177" t="n">
        <v>4</v>
      </c>
      <c r="E2763" s="178" t="inlineStr">
        <is>
          <t>1409/04/29</t>
        </is>
      </c>
      <c r="F2763" s="134" t="inlineStr">
        <is>
          <t>1409/04</t>
        </is>
      </c>
      <c r="G2763" s="61" t="inlineStr">
        <is>
          <t>تیر</t>
        </is>
      </c>
      <c r="H2763" s="134" t="inlineStr">
        <is>
          <t>تابستان</t>
        </is>
      </c>
      <c r="I2763" s="134" t="inlineStr">
        <is>
          <t>شنبه</t>
        </is>
      </c>
      <c r="J2763" s="134" t="inlineStr">
        <is>
          <t>خیر</t>
        </is>
      </c>
    </row>
    <row r="2764">
      <c r="A2764" s="173" t="n">
        <v>47685</v>
      </c>
      <c r="B2764" s="174" t="n">
        <v>47685</v>
      </c>
      <c r="C2764" s="174" t="n">
        <v>1409</v>
      </c>
      <c r="D2764" s="174" t="n">
        <v>4</v>
      </c>
      <c r="E2764" s="175" t="inlineStr">
        <is>
          <t>1409/04/30</t>
        </is>
      </c>
      <c r="F2764" s="128" t="inlineStr">
        <is>
          <t>1409/04</t>
        </is>
      </c>
      <c r="G2764" s="58" t="inlineStr">
        <is>
          <t>تیر</t>
        </is>
      </c>
      <c r="H2764" s="128" t="inlineStr">
        <is>
          <t>تابستان</t>
        </is>
      </c>
      <c r="I2764" s="128" t="inlineStr">
        <is>
          <t>یکشنبه</t>
        </is>
      </c>
      <c r="J2764" s="128" t="inlineStr">
        <is>
          <t>خیر</t>
        </is>
      </c>
    </row>
    <row r="2765">
      <c r="A2765" s="176" t="n">
        <v>47686</v>
      </c>
      <c r="B2765" s="177" t="n">
        <v>47686</v>
      </c>
      <c r="C2765" s="177" t="n">
        <v>1409</v>
      </c>
      <c r="D2765" s="177" t="n">
        <v>4</v>
      </c>
      <c r="E2765" s="178" t="inlineStr">
        <is>
          <t>1409/04/31</t>
        </is>
      </c>
      <c r="F2765" s="134" t="inlineStr">
        <is>
          <t>1409/04</t>
        </is>
      </c>
      <c r="G2765" s="61" t="inlineStr">
        <is>
          <t>تیر</t>
        </is>
      </c>
      <c r="H2765" s="134" t="inlineStr">
        <is>
          <t>تابستان</t>
        </is>
      </c>
      <c r="I2765" s="134" t="inlineStr">
        <is>
          <t>دوشنبه</t>
        </is>
      </c>
      <c r="J2765" s="134" t="inlineStr">
        <is>
          <t>بله</t>
        </is>
      </c>
    </row>
    <row r="2766">
      <c r="A2766" s="173" t="n">
        <v>47687</v>
      </c>
      <c r="B2766" s="174" t="n">
        <v>47687</v>
      </c>
      <c r="C2766" s="174" t="n">
        <v>1409</v>
      </c>
      <c r="D2766" s="174" t="n">
        <v>5</v>
      </c>
      <c r="E2766" s="175" t="inlineStr">
        <is>
          <t>1409/05/01</t>
        </is>
      </c>
      <c r="F2766" s="128" t="inlineStr">
        <is>
          <t>1409/05</t>
        </is>
      </c>
      <c r="G2766" s="58" t="inlineStr">
        <is>
          <t>مرداد</t>
        </is>
      </c>
      <c r="H2766" s="128" t="inlineStr">
        <is>
          <t>تابستان</t>
        </is>
      </c>
      <c r="I2766" s="128" t="inlineStr">
        <is>
          <t>سه‌شنبه</t>
        </is>
      </c>
      <c r="J2766" s="128" t="inlineStr">
        <is>
          <t>بله</t>
        </is>
      </c>
    </row>
    <row r="2767">
      <c r="A2767" s="176" t="n">
        <v>47688</v>
      </c>
      <c r="B2767" s="177" t="n">
        <v>47688</v>
      </c>
      <c r="C2767" s="177" t="n">
        <v>1409</v>
      </c>
      <c r="D2767" s="177" t="n">
        <v>5</v>
      </c>
      <c r="E2767" s="178" t="inlineStr">
        <is>
          <t>1409/05/02</t>
        </is>
      </c>
      <c r="F2767" s="134" t="inlineStr">
        <is>
          <t>1409/05</t>
        </is>
      </c>
      <c r="G2767" s="61" t="inlineStr">
        <is>
          <t>مرداد</t>
        </is>
      </c>
      <c r="H2767" s="134" t="inlineStr">
        <is>
          <t>تابستان</t>
        </is>
      </c>
      <c r="I2767" s="134" t="inlineStr">
        <is>
          <t>چهارشنبه</t>
        </is>
      </c>
      <c r="J2767" s="134" t="inlineStr">
        <is>
          <t>بله</t>
        </is>
      </c>
    </row>
    <row r="2768">
      <c r="A2768" s="173" t="n">
        <v>47689</v>
      </c>
      <c r="B2768" s="174" t="n">
        <v>47689</v>
      </c>
      <c r="C2768" s="174" t="n">
        <v>1409</v>
      </c>
      <c r="D2768" s="174" t="n">
        <v>5</v>
      </c>
      <c r="E2768" s="175" t="inlineStr">
        <is>
          <t>1409/05/03</t>
        </is>
      </c>
      <c r="F2768" s="128" t="inlineStr">
        <is>
          <t>1409/05</t>
        </is>
      </c>
      <c r="G2768" s="58" t="inlineStr">
        <is>
          <t>مرداد</t>
        </is>
      </c>
      <c r="H2768" s="128" t="inlineStr">
        <is>
          <t>تابستان</t>
        </is>
      </c>
      <c r="I2768" s="128" t="inlineStr">
        <is>
          <t>پنجشنبه</t>
        </is>
      </c>
      <c r="J2768" s="128" t="inlineStr">
        <is>
          <t>بله</t>
        </is>
      </c>
    </row>
    <row r="2769">
      <c r="A2769" s="176" t="n">
        <v>47690</v>
      </c>
      <c r="B2769" s="177" t="n">
        <v>47690</v>
      </c>
      <c r="C2769" s="177" t="n">
        <v>1409</v>
      </c>
      <c r="D2769" s="177" t="n">
        <v>5</v>
      </c>
      <c r="E2769" s="178" t="inlineStr">
        <is>
          <t>1409/05/04</t>
        </is>
      </c>
      <c r="F2769" s="134" t="inlineStr">
        <is>
          <t>1409/05</t>
        </is>
      </c>
      <c r="G2769" s="61" t="inlineStr">
        <is>
          <t>مرداد</t>
        </is>
      </c>
      <c r="H2769" s="134" t="inlineStr">
        <is>
          <t>تابستان</t>
        </is>
      </c>
      <c r="I2769" s="134" t="inlineStr">
        <is>
          <t>جمعه</t>
        </is>
      </c>
      <c r="J2769" s="134" t="inlineStr">
        <is>
          <t>بله</t>
        </is>
      </c>
    </row>
    <row r="2770">
      <c r="A2770" s="173" t="n">
        <v>47691</v>
      </c>
      <c r="B2770" s="174" t="n">
        <v>47691</v>
      </c>
      <c r="C2770" s="174" t="n">
        <v>1409</v>
      </c>
      <c r="D2770" s="174" t="n">
        <v>5</v>
      </c>
      <c r="E2770" s="175" t="inlineStr">
        <is>
          <t>1409/05/05</t>
        </is>
      </c>
      <c r="F2770" s="128" t="inlineStr">
        <is>
          <t>1409/05</t>
        </is>
      </c>
      <c r="G2770" s="58" t="inlineStr">
        <is>
          <t>مرداد</t>
        </is>
      </c>
      <c r="H2770" s="128" t="inlineStr">
        <is>
          <t>تابستان</t>
        </is>
      </c>
      <c r="I2770" s="128" t="inlineStr">
        <is>
          <t>شنبه</t>
        </is>
      </c>
      <c r="J2770" s="128" t="inlineStr">
        <is>
          <t>خیر</t>
        </is>
      </c>
    </row>
    <row r="2771">
      <c r="A2771" s="176" t="n">
        <v>47692</v>
      </c>
      <c r="B2771" s="177" t="n">
        <v>47692</v>
      </c>
      <c r="C2771" s="177" t="n">
        <v>1409</v>
      </c>
      <c r="D2771" s="177" t="n">
        <v>5</v>
      </c>
      <c r="E2771" s="178" t="inlineStr">
        <is>
          <t>1409/05/06</t>
        </is>
      </c>
      <c r="F2771" s="134" t="inlineStr">
        <is>
          <t>1409/05</t>
        </is>
      </c>
      <c r="G2771" s="61" t="inlineStr">
        <is>
          <t>مرداد</t>
        </is>
      </c>
      <c r="H2771" s="134" t="inlineStr">
        <is>
          <t>تابستان</t>
        </is>
      </c>
      <c r="I2771" s="134" t="inlineStr">
        <is>
          <t>یکشنبه</t>
        </is>
      </c>
      <c r="J2771" s="134" t="inlineStr">
        <is>
          <t>خیر</t>
        </is>
      </c>
    </row>
    <row r="2772">
      <c r="A2772" s="173" t="n">
        <v>47693</v>
      </c>
      <c r="B2772" s="174" t="n">
        <v>47693</v>
      </c>
      <c r="C2772" s="174" t="n">
        <v>1409</v>
      </c>
      <c r="D2772" s="174" t="n">
        <v>5</v>
      </c>
      <c r="E2772" s="175" t="inlineStr">
        <is>
          <t>1409/05/07</t>
        </is>
      </c>
      <c r="F2772" s="128" t="inlineStr">
        <is>
          <t>1409/05</t>
        </is>
      </c>
      <c r="G2772" s="58" t="inlineStr">
        <is>
          <t>مرداد</t>
        </is>
      </c>
      <c r="H2772" s="128" t="inlineStr">
        <is>
          <t>تابستان</t>
        </is>
      </c>
      <c r="I2772" s="128" t="inlineStr">
        <is>
          <t>دوشنبه</t>
        </is>
      </c>
      <c r="J2772" s="128" t="inlineStr">
        <is>
          <t>بله</t>
        </is>
      </c>
    </row>
    <row r="2773">
      <c r="A2773" s="176" t="n">
        <v>47694</v>
      </c>
      <c r="B2773" s="177" t="n">
        <v>47694</v>
      </c>
      <c r="C2773" s="177" t="n">
        <v>1409</v>
      </c>
      <c r="D2773" s="177" t="n">
        <v>5</v>
      </c>
      <c r="E2773" s="178" t="inlineStr">
        <is>
          <t>1409/05/08</t>
        </is>
      </c>
      <c r="F2773" s="134" t="inlineStr">
        <is>
          <t>1409/05</t>
        </is>
      </c>
      <c r="G2773" s="61" t="inlineStr">
        <is>
          <t>مرداد</t>
        </is>
      </c>
      <c r="H2773" s="134" t="inlineStr">
        <is>
          <t>تابستان</t>
        </is>
      </c>
      <c r="I2773" s="134" t="inlineStr">
        <is>
          <t>سه‌شنبه</t>
        </is>
      </c>
      <c r="J2773" s="134" t="inlineStr">
        <is>
          <t>بله</t>
        </is>
      </c>
    </row>
    <row r="2774">
      <c r="A2774" s="173" t="n">
        <v>47695</v>
      </c>
      <c r="B2774" s="174" t="n">
        <v>47695</v>
      </c>
      <c r="C2774" s="174" t="n">
        <v>1409</v>
      </c>
      <c r="D2774" s="174" t="n">
        <v>5</v>
      </c>
      <c r="E2774" s="175" t="inlineStr">
        <is>
          <t>1409/05/09</t>
        </is>
      </c>
      <c r="F2774" s="128" t="inlineStr">
        <is>
          <t>1409/05</t>
        </is>
      </c>
      <c r="G2774" s="58" t="inlineStr">
        <is>
          <t>مرداد</t>
        </is>
      </c>
      <c r="H2774" s="128" t="inlineStr">
        <is>
          <t>تابستان</t>
        </is>
      </c>
      <c r="I2774" s="128" t="inlineStr">
        <is>
          <t>چهارشنبه</t>
        </is>
      </c>
      <c r="J2774" s="128" t="inlineStr">
        <is>
          <t>بله</t>
        </is>
      </c>
    </row>
    <row r="2775">
      <c r="A2775" s="176" t="n">
        <v>47696</v>
      </c>
      <c r="B2775" s="177" t="n">
        <v>47696</v>
      </c>
      <c r="C2775" s="177" t="n">
        <v>1409</v>
      </c>
      <c r="D2775" s="177" t="n">
        <v>5</v>
      </c>
      <c r="E2775" s="178" t="inlineStr">
        <is>
          <t>1409/05/10</t>
        </is>
      </c>
      <c r="F2775" s="134" t="inlineStr">
        <is>
          <t>1409/05</t>
        </is>
      </c>
      <c r="G2775" s="61" t="inlineStr">
        <is>
          <t>مرداد</t>
        </is>
      </c>
      <c r="H2775" s="134" t="inlineStr">
        <is>
          <t>تابستان</t>
        </is>
      </c>
      <c r="I2775" s="134" t="inlineStr">
        <is>
          <t>پنجشنبه</t>
        </is>
      </c>
      <c r="J2775" s="134" t="inlineStr">
        <is>
          <t>بله</t>
        </is>
      </c>
    </row>
    <row r="2776">
      <c r="A2776" s="173" t="n">
        <v>47697</v>
      </c>
      <c r="B2776" s="174" t="n">
        <v>47697</v>
      </c>
      <c r="C2776" s="174" t="n">
        <v>1409</v>
      </c>
      <c r="D2776" s="174" t="n">
        <v>5</v>
      </c>
      <c r="E2776" s="175" t="inlineStr">
        <is>
          <t>1409/05/11</t>
        </is>
      </c>
      <c r="F2776" s="128" t="inlineStr">
        <is>
          <t>1409/05</t>
        </is>
      </c>
      <c r="G2776" s="58" t="inlineStr">
        <is>
          <t>مرداد</t>
        </is>
      </c>
      <c r="H2776" s="128" t="inlineStr">
        <is>
          <t>تابستان</t>
        </is>
      </c>
      <c r="I2776" s="128" t="inlineStr">
        <is>
          <t>جمعه</t>
        </is>
      </c>
      <c r="J2776" s="128" t="inlineStr">
        <is>
          <t>بله</t>
        </is>
      </c>
    </row>
    <row r="2777">
      <c r="A2777" s="176" t="n">
        <v>47698</v>
      </c>
      <c r="B2777" s="177" t="n">
        <v>47698</v>
      </c>
      <c r="C2777" s="177" t="n">
        <v>1409</v>
      </c>
      <c r="D2777" s="177" t="n">
        <v>5</v>
      </c>
      <c r="E2777" s="178" t="inlineStr">
        <is>
          <t>1409/05/12</t>
        </is>
      </c>
      <c r="F2777" s="134" t="inlineStr">
        <is>
          <t>1409/05</t>
        </is>
      </c>
      <c r="G2777" s="61" t="inlineStr">
        <is>
          <t>مرداد</t>
        </is>
      </c>
      <c r="H2777" s="134" t="inlineStr">
        <is>
          <t>تابستان</t>
        </is>
      </c>
      <c r="I2777" s="134" t="inlineStr">
        <is>
          <t>شنبه</t>
        </is>
      </c>
      <c r="J2777" s="134" t="inlineStr">
        <is>
          <t>خیر</t>
        </is>
      </c>
    </row>
    <row r="2778">
      <c r="A2778" s="173" t="n">
        <v>47699</v>
      </c>
      <c r="B2778" s="174" t="n">
        <v>47699</v>
      </c>
      <c r="C2778" s="174" t="n">
        <v>1409</v>
      </c>
      <c r="D2778" s="174" t="n">
        <v>5</v>
      </c>
      <c r="E2778" s="175" t="inlineStr">
        <is>
          <t>1409/05/13</t>
        </is>
      </c>
      <c r="F2778" s="128" t="inlineStr">
        <is>
          <t>1409/05</t>
        </is>
      </c>
      <c r="G2778" s="58" t="inlineStr">
        <is>
          <t>مرداد</t>
        </is>
      </c>
      <c r="H2778" s="128" t="inlineStr">
        <is>
          <t>تابستان</t>
        </is>
      </c>
      <c r="I2778" s="128" t="inlineStr">
        <is>
          <t>یکشنبه</t>
        </is>
      </c>
      <c r="J2778" s="128" t="inlineStr">
        <is>
          <t>خیر</t>
        </is>
      </c>
    </row>
    <row r="2779">
      <c r="A2779" s="176" t="n">
        <v>47700</v>
      </c>
      <c r="B2779" s="177" t="n">
        <v>47700</v>
      </c>
      <c r="C2779" s="177" t="n">
        <v>1409</v>
      </c>
      <c r="D2779" s="177" t="n">
        <v>5</v>
      </c>
      <c r="E2779" s="178" t="inlineStr">
        <is>
          <t>1409/05/14</t>
        </is>
      </c>
      <c r="F2779" s="134" t="inlineStr">
        <is>
          <t>1409/05</t>
        </is>
      </c>
      <c r="G2779" s="61" t="inlineStr">
        <is>
          <t>مرداد</t>
        </is>
      </c>
      <c r="H2779" s="134" t="inlineStr">
        <is>
          <t>تابستان</t>
        </is>
      </c>
      <c r="I2779" s="134" t="inlineStr">
        <is>
          <t>دوشنبه</t>
        </is>
      </c>
      <c r="J2779" s="134" t="inlineStr">
        <is>
          <t>بله</t>
        </is>
      </c>
    </row>
    <row r="2780">
      <c r="A2780" s="173" t="n">
        <v>47701</v>
      </c>
      <c r="B2780" s="174" t="n">
        <v>47701</v>
      </c>
      <c r="C2780" s="174" t="n">
        <v>1409</v>
      </c>
      <c r="D2780" s="174" t="n">
        <v>5</v>
      </c>
      <c r="E2780" s="175" t="inlineStr">
        <is>
          <t>1409/05/15</t>
        </is>
      </c>
      <c r="F2780" s="128" t="inlineStr">
        <is>
          <t>1409/05</t>
        </is>
      </c>
      <c r="G2780" s="58" t="inlineStr">
        <is>
          <t>مرداد</t>
        </is>
      </c>
      <c r="H2780" s="128" t="inlineStr">
        <is>
          <t>تابستان</t>
        </is>
      </c>
      <c r="I2780" s="128" t="inlineStr">
        <is>
          <t>سه‌شنبه</t>
        </is>
      </c>
      <c r="J2780" s="128" t="inlineStr">
        <is>
          <t>بله</t>
        </is>
      </c>
    </row>
    <row r="2781">
      <c r="A2781" s="176" t="n">
        <v>47702</v>
      </c>
      <c r="B2781" s="177" t="n">
        <v>47702</v>
      </c>
      <c r="C2781" s="177" t="n">
        <v>1409</v>
      </c>
      <c r="D2781" s="177" t="n">
        <v>5</v>
      </c>
      <c r="E2781" s="178" t="inlineStr">
        <is>
          <t>1409/05/16</t>
        </is>
      </c>
      <c r="F2781" s="134" t="inlineStr">
        <is>
          <t>1409/05</t>
        </is>
      </c>
      <c r="G2781" s="61" t="inlineStr">
        <is>
          <t>مرداد</t>
        </is>
      </c>
      <c r="H2781" s="134" t="inlineStr">
        <is>
          <t>تابستان</t>
        </is>
      </c>
      <c r="I2781" s="134" t="inlineStr">
        <is>
          <t>چهارشنبه</t>
        </is>
      </c>
      <c r="J2781" s="134" t="inlineStr">
        <is>
          <t>بله</t>
        </is>
      </c>
    </row>
    <row r="2782">
      <c r="A2782" s="173" t="n">
        <v>47703</v>
      </c>
      <c r="B2782" s="174" t="n">
        <v>47703</v>
      </c>
      <c r="C2782" s="174" t="n">
        <v>1409</v>
      </c>
      <c r="D2782" s="174" t="n">
        <v>5</v>
      </c>
      <c r="E2782" s="175" t="inlineStr">
        <is>
          <t>1409/05/17</t>
        </is>
      </c>
      <c r="F2782" s="128" t="inlineStr">
        <is>
          <t>1409/05</t>
        </is>
      </c>
      <c r="G2782" s="58" t="inlineStr">
        <is>
          <t>مرداد</t>
        </is>
      </c>
      <c r="H2782" s="128" t="inlineStr">
        <is>
          <t>تابستان</t>
        </is>
      </c>
      <c r="I2782" s="128" t="inlineStr">
        <is>
          <t>پنجشنبه</t>
        </is>
      </c>
      <c r="J2782" s="128" t="inlineStr">
        <is>
          <t>بله</t>
        </is>
      </c>
    </row>
    <row r="2783">
      <c r="A2783" s="176" t="n">
        <v>47704</v>
      </c>
      <c r="B2783" s="177" t="n">
        <v>47704</v>
      </c>
      <c r="C2783" s="177" t="n">
        <v>1409</v>
      </c>
      <c r="D2783" s="177" t="n">
        <v>5</v>
      </c>
      <c r="E2783" s="178" t="inlineStr">
        <is>
          <t>1409/05/18</t>
        </is>
      </c>
      <c r="F2783" s="134" t="inlineStr">
        <is>
          <t>1409/05</t>
        </is>
      </c>
      <c r="G2783" s="61" t="inlineStr">
        <is>
          <t>مرداد</t>
        </is>
      </c>
      <c r="H2783" s="134" t="inlineStr">
        <is>
          <t>تابستان</t>
        </is>
      </c>
      <c r="I2783" s="134" t="inlineStr">
        <is>
          <t>جمعه</t>
        </is>
      </c>
      <c r="J2783" s="134" t="inlineStr">
        <is>
          <t>بله</t>
        </is>
      </c>
    </row>
    <row r="2784">
      <c r="A2784" s="173" t="n">
        <v>47705</v>
      </c>
      <c r="B2784" s="174" t="n">
        <v>47705</v>
      </c>
      <c r="C2784" s="174" t="n">
        <v>1409</v>
      </c>
      <c r="D2784" s="174" t="n">
        <v>5</v>
      </c>
      <c r="E2784" s="175" t="inlineStr">
        <is>
          <t>1409/05/19</t>
        </is>
      </c>
      <c r="F2784" s="128" t="inlineStr">
        <is>
          <t>1409/05</t>
        </is>
      </c>
      <c r="G2784" s="58" t="inlineStr">
        <is>
          <t>مرداد</t>
        </is>
      </c>
      <c r="H2784" s="128" t="inlineStr">
        <is>
          <t>تابستان</t>
        </is>
      </c>
      <c r="I2784" s="128" t="inlineStr">
        <is>
          <t>شنبه</t>
        </is>
      </c>
      <c r="J2784" s="128" t="inlineStr">
        <is>
          <t>خیر</t>
        </is>
      </c>
    </row>
    <row r="2785">
      <c r="A2785" s="176" t="n">
        <v>47706</v>
      </c>
      <c r="B2785" s="177" t="n">
        <v>47706</v>
      </c>
      <c r="C2785" s="177" t="n">
        <v>1409</v>
      </c>
      <c r="D2785" s="177" t="n">
        <v>5</v>
      </c>
      <c r="E2785" s="178" t="inlineStr">
        <is>
          <t>1409/05/20</t>
        </is>
      </c>
      <c r="F2785" s="134" t="inlineStr">
        <is>
          <t>1409/05</t>
        </is>
      </c>
      <c r="G2785" s="61" t="inlineStr">
        <is>
          <t>مرداد</t>
        </is>
      </c>
      <c r="H2785" s="134" t="inlineStr">
        <is>
          <t>تابستان</t>
        </is>
      </c>
      <c r="I2785" s="134" t="inlineStr">
        <is>
          <t>یکشنبه</t>
        </is>
      </c>
      <c r="J2785" s="134" t="inlineStr">
        <is>
          <t>خیر</t>
        </is>
      </c>
    </row>
    <row r="2786">
      <c r="A2786" s="173" t="n">
        <v>47707</v>
      </c>
      <c r="B2786" s="174" t="n">
        <v>47707</v>
      </c>
      <c r="C2786" s="174" t="n">
        <v>1409</v>
      </c>
      <c r="D2786" s="174" t="n">
        <v>5</v>
      </c>
      <c r="E2786" s="175" t="inlineStr">
        <is>
          <t>1409/05/21</t>
        </is>
      </c>
      <c r="F2786" s="128" t="inlineStr">
        <is>
          <t>1409/05</t>
        </is>
      </c>
      <c r="G2786" s="58" t="inlineStr">
        <is>
          <t>مرداد</t>
        </is>
      </c>
      <c r="H2786" s="128" t="inlineStr">
        <is>
          <t>تابستان</t>
        </is>
      </c>
      <c r="I2786" s="128" t="inlineStr">
        <is>
          <t>دوشنبه</t>
        </is>
      </c>
      <c r="J2786" s="128" t="inlineStr">
        <is>
          <t>بله</t>
        </is>
      </c>
    </row>
    <row r="2787">
      <c r="A2787" s="176" t="n">
        <v>47708</v>
      </c>
      <c r="B2787" s="177" t="n">
        <v>47708</v>
      </c>
      <c r="C2787" s="177" t="n">
        <v>1409</v>
      </c>
      <c r="D2787" s="177" t="n">
        <v>5</v>
      </c>
      <c r="E2787" s="178" t="inlineStr">
        <is>
          <t>1409/05/22</t>
        </is>
      </c>
      <c r="F2787" s="134" t="inlineStr">
        <is>
          <t>1409/05</t>
        </is>
      </c>
      <c r="G2787" s="61" t="inlineStr">
        <is>
          <t>مرداد</t>
        </is>
      </c>
      <c r="H2787" s="134" t="inlineStr">
        <is>
          <t>تابستان</t>
        </is>
      </c>
      <c r="I2787" s="134" t="inlineStr">
        <is>
          <t>سه‌شنبه</t>
        </is>
      </c>
      <c r="J2787" s="134" t="inlineStr">
        <is>
          <t>بله</t>
        </is>
      </c>
    </row>
    <row r="2788">
      <c r="A2788" s="173" t="n">
        <v>47709</v>
      </c>
      <c r="B2788" s="174" t="n">
        <v>47709</v>
      </c>
      <c r="C2788" s="174" t="n">
        <v>1409</v>
      </c>
      <c r="D2788" s="174" t="n">
        <v>5</v>
      </c>
      <c r="E2788" s="175" t="inlineStr">
        <is>
          <t>1409/05/23</t>
        </is>
      </c>
      <c r="F2788" s="128" t="inlineStr">
        <is>
          <t>1409/05</t>
        </is>
      </c>
      <c r="G2788" s="58" t="inlineStr">
        <is>
          <t>مرداد</t>
        </is>
      </c>
      <c r="H2788" s="128" t="inlineStr">
        <is>
          <t>تابستان</t>
        </is>
      </c>
      <c r="I2788" s="128" t="inlineStr">
        <is>
          <t>چهارشنبه</t>
        </is>
      </c>
      <c r="J2788" s="128" t="inlineStr">
        <is>
          <t>بله</t>
        </is>
      </c>
    </row>
    <row r="2789">
      <c r="A2789" s="176" t="n">
        <v>47710</v>
      </c>
      <c r="B2789" s="177" t="n">
        <v>47710</v>
      </c>
      <c r="C2789" s="177" t="n">
        <v>1409</v>
      </c>
      <c r="D2789" s="177" t="n">
        <v>5</v>
      </c>
      <c r="E2789" s="178" t="inlineStr">
        <is>
          <t>1409/05/24</t>
        </is>
      </c>
      <c r="F2789" s="134" t="inlineStr">
        <is>
          <t>1409/05</t>
        </is>
      </c>
      <c r="G2789" s="61" t="inlineStr">
        <is>
          <t>مرداد</t>
        </is>
      </c>
      <c r="H2789" s="134" t="inlineStr">
        <is>
          <t>تابستان</t>
        </is>
      </c>
      <c r="I2789" s="134" t="inlineStr">
        <is>
          <t>پنجشنبه</t>
        </is>
      </c>
      <c r="J2789" s="134" t="inlineStr">
        <is>
          <t>بله</t>
        </is>
      </c>
    </row>
    <row r="2790">
      <c r="A2790" s="173" t="n">
        <v>47711</v>
      </c>
      <c r="B2790" s="174" t="n">
        <v>47711</v>
      </c>
      <c r="C2790" s="174" t="n">
        <v>1409</v>
      </c>
      <c r="D2790" s="174" t="n">
        <v>5</v>
      </c>
      <c r="E2790" s="175" t="inlineStr">
        <is>
          <t>1409/05/25</t>
        </is>
      </c>
      <c r="F2790" s="128" t="inlineStr">
        <is>
          <t>1409/05</t>
        </is>
      </c>
      <c r="G2790" s="58" t="inlineStr">
        <is>
          <t>مرداد</t>
        </is>
      </c>
      <c r="H2790" s="128" t="inlineStr">
        <is>
          <t>تابستان</t>
        </is>
      </c>
      <c r="I2790" s="128" t="inlineStr">
        <is>
          <t>جمعه</t>
        </is>
      </c>
      <c r="J2790" s="128" t="inlineStr">
        <is>
          <t>بله</t>
        </is>
      </c>
    </row>
    <row r="2791">
      <c r="A2791" s="176" t="n">
        <v>47712</v>
      </c>
      <c r="B2791" s="177" t="n">
        <v>47712</v>
      </c>
      <c r="C2791" s="177" t="n">
        <v>1409</v>
      </c>
      <c r="D2791" s="177" t="n">
        <v>5</v>
      </c>
      <c r="E2791" s="178" t="inlineStr">
        <is>
          <t>1409/05/26</t>
        </is>
      </c>
      <c r="F2791" s="134" t="inlineStr">
        <is>
          <t>1409/05</t>
        </is>
      </c>
      <c r="G2791" s="61" t="inlineStr">
        <is>
          <t>مرداد</t>
        </is>
      </c>
      <c r="H2791" s="134" t="inlineStr">
        <is>
          <t>تابستان</t>
        </is>
      </c>
      <c r="I2791" s="134" t="inlineStr">
        <is>
          <t>شنبه</t>
        </is>
      </c>
      <c r="J2791" s="134" t="inlineStr">
        <is>
          <t>خیر</t>
        </is>
      </c>
    </row>
    <row r="2792">
      <c r="A2792" s="173" t="n">
        <v>47713</v>
      </c>
      <c r="B2792" s="174" t="n">
        <v>47713</v>
      </c>
      <c r="C2792" s="174" t="n">
        <v>1409</v>
      </c>
      <c r="D2792" s="174" t="n">
        <v>5</v>
      </c>
      <c r="E2792" s="175" t="inlineStr">
        <is>
          <t>1409/05/27</t>
        </is>
      </c>
      <c r="F2792" s="128" t="inlineStr">
        <is>
          <t>1409/05</t>
        </is>
      </c>
      <c r="G2792" s="58" t="inlineStr">
        <is>
          <t>مرداد</t>
        </is>
      </c>
      <c r="H2792" s="128" t="inlineStr">
        <is>
          <t>تابستان</t>
        </is>
      </c>
      <c r="I2792" s="128" t="inlineStr">
        <is>
          <t>یکشنبه</t>
        </is>
      </c>
      <c r="J2792" s="128" t="inlineStr">
        <is>
          <t>خیر</t>
        </is>
      </c>
    </row>
    <row r="2793">
      <c r="A2793" s="176" t="n">
        <v>47714</v>
      </c>
      <c r="B2793" s="177" t="n">
        <v>47714</v>
      </c>
      <c r="C2793" s="177" t="n">
        <v>1409</v>
      </c>
      <c r="D2793" s="177" t="n">
        <v>5</v>
      </c>
      <c r="E2793" s="178" t="inlineStr">
        <is>
          <t>1409/05/28</t>
        </is>
      </c>
      <c r="F2793" s="134" t="inlineStr">
        <is>
          <t>1409/05</t>
        </is>
      </c>
      <c r="G2793" s="61" t="inlineStr">
        <is>
          <t>مرداد</t>
        </is>
      </c>
      <c r="H2793" s="134" t="inlineStr">
        <is>
          <t>تابستان</t>
        </is>
      </c>
      <c r="I2793" s="134" t="inlineStr">
        <is>
          <t>دوشنبه</t>
        </is>
      </c>
      <c r="J2793" s="134" t="inlineStr">
        <is>
          <t>بله</t>
        </is>
      </c>
    </row>
    <row r="2794">
      <c r="A2794" s="173" t="n">
        <v>47715</v>
      </c>
      <c r="B2794" s="174" t="n">
        <v>47715</v>
      </c>
      <c r="C2794" s="174" t="n">
        <v>1409</v>
      </c>
      <c r="D2794" s="174" t="n">
        <v>5</v>
      </c>
      <c r="E2794" s="175" t="inlineStr">
        <is>
          <t>1409/05/29</t>
        </is>
      </c>
      <c r="F2794" s="128" t="inlineStr">
        <is>
          <t>1409/05</t>
        </is>
      </c>
      <c r="G2794" s="58" t="inlineStr">
        <is>
          <t>مرداد</t>
        </is>
      </c>
      <c r="H2794" s="128" t="inlineStr">
        <is>
          <t>تابستان</t>
        </is>
      </c>
      <c r="I2794" s="128" t="inlineStr">
        <is>
          <t>سه‌شنبه</t>
        </is>
      </c>
      <c r="J2794" s="128" t="inlineStr">
        <is>
          <t>بله</t>
        </is>
      </c>
    </row>
    <row r="2795">
      <c r="A2795" s="176" t="n">
        <v>47716</v>
      </c>
      <c r="B2795" s="177" t="n">
        <v>47716</v>
      </c>
      <c r="C2795" s="177" t="n">
        <v>1409</v>
      </c>
      <c r="D2795" s="177" t="n">
        <v>5</v>
      </c>
      <c r="E2795" s="178" t="inlineStr">
        <is>
          <t>1409/05/30</t>
        </is>
      </c>
      <c r="F2795" s="134" t="inlineStr">
        <is>
          <t>1409/05</t>
        </is>
      </c>
      <c r="G2795" s="61" t="inlineStr">
        <is>
          <t>مرداد</t>
        </is>
      </c>
      <c r="H2795" s="134" t="inlineStr">
        <is>
          <t>تابستان</t>
        </is>
      </c>
      <c r="I2795" s="134" t="inlineStr">
        <is>
          <t>چهارشنبه</t>
        </is>
      </c>
      <c r="J2795" s="134" t="inlineStr">
        <is>
          <t>بله</t>
        </is>
      </c>
    </row>
    <row r="2796">
      <c r="A2796" s="173" t="n">
        <v>47717</v>
      </c>
      <c r="B2796" s="174" t="n">
        <v>47717</v>
      </c>
      <c r="C2796" s="174" t="n">
        <v>1409</v>
      </c>
      <c r="D2796" s="174" t="n">
        <v>5</v>
      </c>
      <c r="E2796" s="175" t="inlineStr">
        <is>
          <t>1409/05/31</t>
        </is>
      </c>
      <c r="F2796" s="128" t="inlineStr">
        <is>
          <t>1409/05</t>
        </is>
      </c>
      <c r="G2796" s="58" t="inlineStr">
        <is>
          <t>مرداد</t>
        </is>
      </c>
      <c r="H2796" s="128" t="inlineStr">
        <is>
          <t>تابستان</t>
        </is>
      </c>
      <c r="I2796" s="128" t="inlineStr">
        <is>
          <t>پنجشنبه</t>
        </is>
      </c>
      <c r="J2796" s="128" t="inlineStr">
        <is>
          <t>بله</t>
        </is>
      </c>
    </row>
    <row r="2797">
      <c r="A2797" s="176" t="n">
        <v>47718</v>
      </c>
      <c r="B2797" s="177" t="n">
        <v>47718</v>
      </c>
      <c r="C2797" s="177" t="n">
        <v>1409</v>
      </c>
      <c r="D2797" s="177" t="n">
        <v>6</v>
      </c>
      <c r="E2797" s="178" t="inlineStr">
        <is>
          <t>1409/06/01</t>
        </is>
      </c>
      <c r="F2797" s="134" t="inlineStr">
        <is>
          <t>1409/06</t>
        </is>
      </c>
      <c r="G2797" s="61" t="inlineStr">
        <is>
          <t>شهریور</t>
        </is>
      </c>
      <c r="H2797" s="134" t="inlineStr">
        <is>
          <t>تابستان</t>
        </is>
      </c>
      <c r="I2797" s="134" t="inlineStr">
        <is>
          <t>جمعه</t>
        </is>
      </c>
      <c r="J2797" s="134" t="inlineStr">
        <is>
          <t>بله</t>
        </is>
      </c>
    </row>
    <row r="2798">
      <c r="A2798" s="173" t="n">
        <v>47719</v>
      </c>
      <c r="B2798" s="174" t="n">
        <v>47719</v>
      </c>
      <c r="C2798" s="174" t="n">
        <v>1409</v>
      </c>
      <c r="D2798" s="174" t="n">
        <v>6</v>
      </c>
      <c r="E2798" s="175" t="inlineStr">
        <is>
          <t>1409/06/02</t>
        </is>
      </c>
      <c r="F2798" s="128" t="inlineStr">
        <is>
          <t>1409/06</t>
        </is>
      </c>
      <c r="G2798" s="58" t="inlineStr">
        <is>
          <t>شهریور</t>
        </is>
      </c>
      <c r="H2798" s="128" t="inlineStr">
        <is>
          <t>تابستان</t>
        </is>
      </c>
      <c r="I2798" s="128" t="inlineStr">
        <is>
          <t>شنبه</t>
        </is>
      </c>
      <c r="J2798" s="128" t="inlineStr">
        <is>
          <t>خیر</t>
        </is>
      </c>
    </row>
    <row r="2799">
      <c r="A2799" s="176" t="n">
        <v>47720</v>
      </c>
      <c r="B2799" s="177" t="n">
        <v>47720</v>
      </c>
      <c r="C2799" s="177" t="n">
        <v>1409</v>
      </c>
      <c r="D2799" s="177" t="n">
        <v>6</v>
      </c>
      <c r="E2799" s="178" t="inlineStr">
        <is>
          <t>1409/06/03</t>
        </is>
      </c>
      <c r="F2799" s="134" t="inlineStr">
        <is>
          <t>1409/06</t>
        </is>
      </c>
      <c r="G2799" s="61" t="inlineStr">
        <is>
          <t>شهریور</t>
        </is>
      </c>
      <c r="H2799" s="134" t="inlineStr">
        <is>
          <t>تابستان</t>
        </is>
      </c>
      <c r="I2799" s="134" t="inlineStr">
        <is>
          <t>یکشنبه</t>
        </is>
      </c>
      <c r="J2799" s="134" t="inlineStr">
        <is>
          <t>خیر</t>
        </is>
      </c>
    </row>
    <row r="2800">
      <c r="A2800" s="173" t="n">
        <v>47721</v>
      </c>
      <c r="B2800" s="174" t="n">
        <v>47721</v>
      </c>
      <c r="C2800" s="174" t="n">
        <v>1409</v>
      </c>
      <c r="D2800" s="174" t="n">
        <v>6</v>
      </c>
      <c r="E2800" s="175" t="inlineStr">
        <is>
          <t>1409/06/04</t>
        </is>
      </c>
      <c r="F2800" s="128" t="inlineStr">
        <is>
          <t>1409/06</t>
        </is>
      </c>
      <c r="G2800" s="58" t="inlineStr">
        <is>
          <t>شهریور</t>
        </is>
      </c>
      <c r="H2800" s="128" t="inlineStr">
        <is>
          <t>تابستان</t>
        </is>
      </c>
      <c r="I2800" s="128" t="inlineStr">
        <is>
          <t>دوشنبه</t>
        </is>
      </c>
      <c r="J2800" s="128" t="inlineStr">
        <is>
          <t>بله</t>
        </is>
      </c>
    </row>
    <row r="2801">
      <c r="A2801" s="176" t="n">
        <v>47722</v>
      </c>
      <c r="B2801" s="177" t="n">
        <v>47722</v>
      </c>
      <c r="C2801" s="177" t="n">
        <v>1409</v>
      </c>
      <c r="D2801" s="177" t="n">
        <v>6</v>
      </c>
      <c r="E2801" s="178" t="inlineStr">
        <is>
          <t>1409/06/05</t>
        </is>
      </c>
      <c r="F2801" s="134" t="inlineStr">
        <is>
          <t>1409/06</t>
        </is>
      </c>
      <c r="G2801" s="61" t="inlineStr">
        <is>
          <t>شهریور</t>
        </is>
      </c>
      <c r="H2801" s="134" t="inlineStr">
        <is>
          <t>تابستان</t>
        </is>
      </c>
      <c r="I2801" s="134" t="inlineStr">
        <is>
          <t>سه‌شنبه</t>
        </is>
      </c>
      <c r="J2801" s="134" t="inlineStr">
        <is>
          <t>بله</t>
        </is>
      </c>
    </row>
    <row r="2802">
      <c r="A2802" s="173" t="n">
        <v>47723</v>
      </c>
      <c r="B2802" s="174" t="n">
        <v>47723</v>
      </c>
      <c r="C2802" s="174" t="n">
        <v>1409</v>
      </c>
      <c r="D2802" s="174" t="n">
        <v>6</v>
      </c>
      <c r="E2802" s="175" t="inlineStr">
        <is>
          <t>1409/06/06</t>
        </is>
      </c>
      <c r="F2802" s="128" t="inlineStr">
        <is>
          <t>1409/06</t>
        </is>
      </c>
      <c r="G2802" s="58" t="inlineStr">
        <is>
          <t>شهریور</t>
        </is>
      </c>
      <c r="H2802" s="128" t="inlineStr">
        <is>
          <t>تابستان</t>
        </is>
      </c>
      <c r="I2802" s="128" t="inlineStr">
        <is>
          <t>چهارشنبه</t>
        </is>
      </c>
      <c r="J2802" s="128" t="inlineStr">
        <is>
          <t>بله</t>
        </is>
      </c>
    </row>
    <row r="2803">
      <c r="A2803" s="176" t="n">
        <v>47724</v>
      </c>
      <c r="B2803" s="177" t="n">
        <v>47724</v>
      </c>
      <c r="C2803" s="177" t="n">
        <v>1409</v>
      </c>
      <c r="D2803" s="177" t="n">
        <v>6</v>
      </c>
      <c r="E2803" s="178" t="inlineStr">
        <is>
          <t>1409/06/07</t>
        </is>
      </c>
      <c r="F2803" s="134" t="inlineStr">
        <is>
          <t>1409/06</t>
        </is>
      </c>
      <c r="G2803" s="61" t="inlineStr">
        <is>
          <t>شهریور</t>
        </is>
      </c>
      <c r="H2803" s="134" t="inlineStr">
        <is>
          <t>تابستان</t>
        </is>
      </c>
      <c r="I2803" s="134" t="inlineStr">
        <is>
          <t>پنجشنبه</t>
        </is>
      </c>
      <c r="J2803" s="134" t="inlineStr">
        <is>
          <t>بله</t>
        </is>
      </c>
    </row>
    <row r="2804">
      <c r="A2804" s="173" t="n">
        <v>47725</v>
      </c>
      <c r="B2804" s="174" t="n">
        <v>47725</v>
      </c>
      <c r="C2804" s="174" t="n">
        <v>1409</v>
      </c>
      <c r="D2804" s="174" t="n">
        <v>6</v>
      </c>
      <c r="E2804" s="175" t="inlineStr">
        <is>
          <t>1409/06/08</t>
        </is>
      </c>
      <c r="F2804" s="128" t="inlineStr">
        <is>
          <t>1409/06</t>
        </is>
      </c>
      <c r="G2804" s="58" t="inlineStr">
        <is>
          <t>شهریور</t>
        </is>
      </c>
      <c r="H2804" s="128" t="inlineStr">
        <is>
          <t>تابستان</t>
        </is>
      </c>
      <c r="I2804" s="128" t="inlineStr">
        <is>
          <t>جمعه</t>
        </is>
      </c>
      <c r="J2804" s="128" t="inlineStr">
        <is>
          <t>بله</t>
        </is>
      </c>
    </row>
    <row r="2805">
      <c r="A2805" s="176" t="n">
        <v>47726</v>
      </c>
      <c r="B2805" s="177" t="n">
        <v>47726</v>
      </c>
      <c r="C2805" s="177" t="n">
        <v>1409</v>
      </c>
      <c r="D2805" s="177" t="n">
        <v>6</v>
      </c>
      <c r="E2805" s="178" t="inlineStr">
        <is>
          <t>1409/06/09</t>
        </is>
      </c>
      <c r="F2805" s="134" t="inlineStr">
        <is>
          <t>1409/06</t>
        </is>
      </c>
      <c r="G2805" s="61" t="inlineStr">
        <is>
          <t>شهریور</t>
        </is>
      </c>
      <c r="H2805" s="134" t="inlineStr">
        <is>
          <t>تابستان</t>
        </is>
      </c>
      <c r="I2805" s="134" t="inlineStr">
        <is>
          <t>شنبه</t>
        </is>
      </c>
      <c r="J2805" s="134" t="inlineStr">
        <is>
          <t>خیر</t>
        </is>
      </c>
    </row>
    <row r="2806">
      <c r="A2806" s="173" t="n">
        <v>47727</v>
      </c>
      <c r="B2806" s="174" t="n">
        <v>47727</v>
      </c>
      <c r="C2806" s="174" t="n">
        <v>1409</v>
      </c>
      <c r="D2806" s="174" t="n">
        <v>6</v>
      </c>
      <c r="E2806" s="175" t="inlineStr">
        <is>
          <t>1409/06/10</t>
        </is>
      </c>
      <c r="F2806" s="128" t="inlineStr">
        <is>
          <t>1409/06</t>
        </is>
      </c>
      <c r="G2806" s="58" t="inlineStr">
        <is>
          <t>شهریور</t>
        </is>
      </c>
      <c r="H2806" s="128" t="inlineStr">
        <is>
          <t>تابستان</t>
        </is>
      </c>
      <c r="I2806" s="128" t="inlineStr">
        <is>
          <t>یکشنبه</t>
        </is>
      </c>
      <c r="J2806" s="128" t="inlineStr">
        <is>
          <t>خیر</t>
        </is>
      </c>
    </row>
    <row r="2807">
      <c r="A2807" s="176" t="n">
        <v>47728</v>
      </c>
      <c r="B2807" s="177" t="n">
        <v>47728</v>
      </c>
      <c r="C2807" s="177" t="n">
        <v>1409</v>
      </c>
      <c r="D2807" s="177" t="n">
        <v>6</v>
      </c>
      <c r="E2807" s="178" t="inlineStr">
        <is>
          <t>1409/06/11</t>
        </is>
      </c>
      <c r="F2807" s="134" t="inlineStr">
        <is>
          <t>1409/06</t>
        </is>
      </c>
      <c r="G2807" s="61" t="inlineStr">
        <is>
          <t>شهریور</t>
        </is>
      </c>
      <c r="H2807" s="134" t="inlineStr">
        <is>
          <t>تابستان</t>
        </is>
      </c>
      <c r="I2807" s="134" t="inlineStr">
        <is>
          <t>دوشنبه</t>
        </is>
      </c>
      <c r="J2807" s="134" t="inlineStr">
        <is>
          <t>بله</t>
        </is>
      </c>
    </row>
    <row r="2808">
      <c r="A2808" s="173" t="n">
        <v>47729</v>
      </c>
      <c r="B2808" s="174" t="n">
        <v>47729</v>
      </c>
      <c r="C2808" s="174" t="n">
        <v>1409</v>
      </c>
      <c r="D2808" s="174" t="n">
        <v>6</v>
      </c>
      <c r="E2808" s="175" t="inlineStr">
        <is>
          <t>1409/06/12</t>
        </is>
      </c>
      <c r="F2808" s="128" t="inlineStr">
        <is>
          <t>1409/06</t>
        </is>
      </c>
      <c r="G2808" s="58" t="inlineStr">
        <is>
          <t>شهریور</t>
        </is>
      </c>
      <c r="H2808" s="128" t="inlineStr">
        <is>
          <t>تابستان</t>
        </is>
      </c>
      <c r="I2808" s="128" t="inlineStr">
        <is>
          <t>سه‌شنبه</t>
        </is>
      </c>
      <c r="J2808" s="128" t="inlineStr">
        <is>
          <t>بله</t>
        </is>
      </c>
    </row>
    <row r="2809">
      <c r="A2809" s="176" t="n">
        <v>47730</v>
      </c>
      <c r="B2809" s="177" t="n">
        <v>47730</v>
      </c>
      <c r="C2809" s="177" t="n">
        <v>1409</v>
      </c>
      <c r="D2809" s="177" t="n">
        <v>6</v>
      </c>
      <c r="E2809" s="178" t="inlineStr">
        <is>
          <t>1409/06/13</t>
        </is>
      </c>
      <c r="F2809" s="134" t="inlineStr">
        <is>
          <t>1409/06</t>
        </is>
      </c>
      <c r="G2809" s="61" t="inlineStr">
        <is>
          <t>شهریور</t>
        </is>
      </c>
      <c r="H2809" s="134" t="inlineStr">
        <is>
          <t>تابستان</t>
        </is>
      </c>
      <c r="I2809" s="134" t="inlineStr">
        <is>
          <t>چهارشنبه</t>
        </is>
      </c>
      <c r="J2809" s="134" t="inlineStr">
        <is>
          <t>بله</t>
        </is>
      </c>
    </row>
    <row r="2810">
      <c r="A2810" s="173" t="n">
        <v>47731</v>
      </c>
      <c r="B2810" s="174" t="n">
        <v>47731</v>
      </c>
      <c r="C2810" s="174" t="n">
        <v>1409</v>
      </c>
      <c r="D2810" s="174" t="n">
        <v>6</v>
      </c>
      <c r="E2810" s="175" t="inlineStr">
        <is>
          <t>1409/06/14</t>
        </is>
      </c>
      <c r="F2810" s="128" t="inlineStr">
        <is>
          <t>1409/06</t>
        </is>
      </c>
      <c r="G2810" s="58" t="inlineStr">
        <is>
          <t>شهریور</t>
        </is>
      </c>
      <c r="H2810" s="128" t="inlineStr">
        <is>
          <t>تابستان</t>
        </is>
      </c>
      <c r="I2810" s="128" t="inlineStr">
        <is>
          <t>پنجشنبه</t>
        </is>
      </c>
      <c r="J2810" s="128" t="inlineStr">
        <is>
          <t>بله</t>
        </is>
      </c>
    </row>
    <row r="2811">
      <c r="A2811" s="176" t="n">
        <v>47732</v>
      </c>
      <c r="B2811" s="177" t="n">
        <v>47732</v>
      </c>
      <c r="C2811" s="177" t="n">
        <v>1409</v>
      </c>
      <c r="D2811" s="177" t="n">
        <v>6</v>
      </c>
      <c r="E2811" s="178" t="inlineStr">
        <is>
          <t>1409/06/15</t>
        </is>
      </c>
      <c r="F2811" s="134" t="inlineStr">
        <is>
          <t>1409/06</t>
        </is>
      </c>
      <c r="G2811" s="61" t="inlineStr">
        <is>
          <t>شهریور</t>
        </is>
      </c>
      <c r="H2811" s="134" t="inlineStr">
        <is>
          <t>تابستان</t>
        </is>
      </c>
      <c r="I2811" s="134" t="inlineStr">
        <is>
          <t>جمعه</t>
        </is>
      </c>
      <c r="J2811" s="134" t="inlineStr">
        <is>
          <t>بله</t>
        </is>
      </c>
    </row>
    <row r="2812">
      <c r="A2812" s="173" t="n">
        <v>47733</v>
      </c>
      <c r="B2812" s="174" t="n">
        <v>47733</v>
      </c>
      <c r="C2812" s="174" t="n">
        <v>1409</v>
      </c>
      <c r="D2812" s="174" t="n">
        <v>6</v>
      </c>
      <c r="E2812" s="175" t="inlineStr">
        <is>
          <t>1409/06/16</t>
        </is>
      </c>
      <c r="F2812" s="128" t="inlineStr">
        <is>
          <t>1409/06</t>
        </is>
      </c>
      <c r="G2812" s="58" t="inlineStr">
        <is>
          <t>شهریور</t>
        </is>
      </c>
      <c r="H2812" s="128" t="inlineStr">
        <is>
          <t>تابستان</t>
        </is>
      </c>
      <c r="I2812" s="128" t="inlineStr">
        <is>
          <t>شنبه</t>
        </is>
      </c>
      <c r="J2812" s="128" t="inlineStr">
        <is>
          <t>خیر</t>
        </is>
      </c>
    </row>
    <row r="2813">
      <c r="A2813" s="176" t="n">
        <v>47734</v>
      </c>
      <c r="B2813" s="177" t="n">
        <v>47734</v>
      </c>
      <c r="C2813" s="177" t="n">
        <v>1409</v>
      </c>
      <c r="D2813" s="177" t="n">
        <v>6</v>
      </c>
      <c r="E2813" s="178" t="inlineStr">
        <is>
          <t>1409/06/17</t>
        </is>
      </c>
      <c r="F2813" s="134" t="inlineStr">
        <is>
          <t>1409/06</t>
        </is>
      </c>
      <c r="G2813" s="61" t="inlineStr">
        <is>
          <t>شهریور</t>
        </is>
      </c>
      <c r="H2813" s="134" t="inlineStr">
        <is>
          <t>تابستان</t>
        </is>
      </c>
      <c r="I2813" s="134" t="inlineStr">
        <is>
          <t>یکشنبه</t>
        </is>
      </c>
      <c r="J2813" s="134" t="inlineStr">
        <is>
          <t>خیر</t>
        </is>
      </c>
    </row>
    <row r="2814">
      <c r="A2814" s="173" t="n">
        <v>47735</v>
      </c>
      <c r="B2814" s="174" t="n">
        <v>47735</v>
      </c>
      <c r="C2814" s="174" t="n">
        <v>1409</v>
      </c>
      <c r="D2814" s="174" t="n">
        <v>6</v>
      </c>
      <c r="E2814" s="175" t="inlineStr">
        <is>
          <t>1409/06/18</t>
        </is>
      </c>
      <c r="F2814" s="128" t="inlineStr">
        <is>
          <t>1409/06</t>
        </is>
      </c>
      <c r="G2814" s="58" t="inlineStr">
        <is>
          <t>شهریور</t>
        </is>
      </c>
      <c r="H2814" s="128" t="inlineStr">
        <is>
          <t>تابستان</t>
        </is>
      </c>
      <c r="I2814" s="128" t="inlineStr">
        <is>
          <t>دوشنبه</t>
        </is>
      </c>
      <c r="J2814" s="128" t="inlineStr">
        <is>
          <t>بله</t>
        </is>
      </c>
    </row>
    <row r="2815">
      <c r="A2815" s="176" t="n">
        <v>47736</v>
      </c>
      <c r="B2815" s="177" t="n">
        <v>47736</v>
      </c>
      <c r="C2815" s="177" t="n">
        <v>1409</v>
      </c>
      <c r="D2815" s="177" t="n">
        <v>6</v>
      </c>
      <c r="E2815" s="178" t="inlineStr">
        <is>
          <t>1409/06/19</t>
        </is>
      </c>
      <c r="F2815" s="134" t="inlineStr">
        <is>
          <t>1409/06</t>
        </is>
      </c>
      <c r="G2815" s="61" t="inlineStr">
        <is>
          <t>شهریور</t>
        </is>
      </c>
      <c r="H2815" s="134" t="inlineStr">
        <is>
          <t>تابستان</t>
        </is>
      </c>
      <c r="I2815" s="134" t="inlineStr">
        <is>
          <t>سه‌شنبه</t>
        </is>
      </c>
      <c r="J2815" s="134" t="inlineStr">
        <is>
          <t>بله</t>
        </is>
      </c>
    </row>
    <row r="2816">
      <c r="A2816" s="173" t="n">
        <v>47737</v>
      </c>
      <c r="B2816" s="174" t="n">
        <v>47737</v>
      </c>
      <c r="C2816" s="174" t="n">
        <v>1409</v>
      </c>
      <c r="D2816" s="174" t="n">
        <v>6</v>
      </c>
      <c r="E2816" s="175" t="inlineStr">
        <is>
          <t>1409/06/20</t>
        </is>
      </c>
      <c r="F2816" s="128" t="inlineStr">
        <is>
          <t>1409/06</t>
        </is>
      </c>
      <c r="G2816" s="58" t="inlineStr">
        <is>
          <t>شهریور</t>
        </is>
      </c>
      <c r="H2816" s="128" t="inlineStr">
        <is>
          <t>تابستان</t>
        </is>
      </c>
      <c r="I2816" s="128" t="inlineStr">
        <is>
          <t>چهارشنبه</t>
        </is>
      </c>
      <c r="J2816" s="128" t="inlineStr">
        <is>
          <t>بله</t>
        </is>
      </c>
    </row>
    <row r="2817">
      <c r="A2817" s="176" t="n">
        <v>47738</v>
      </c>
      <c r="B2817" s="177" t="n">
        <v>47738</v>
      </c>
      <c r="C2817" s="177" t="n">
        <v>1409</v>
      </c>
      <c r="D2817" s="177" t="n">
        <v>6</v>
      </c>
      <c r="E2817" s="178" t="inlineStr">
        <is>
          <t>1409/06/21</t>
        </is>
      </c>
      <c r="F2817" s="134" t="inlineStr">
        <is>
          <t>1409/06</t>
        </is>
      </c>
      <c r="G2817" s="61" t="inlineStr">
        <is>
          <t>شهریور</t>
        </is>
      </c>
      <c r="H2817" s="134" t="inlineStr">
        <is>
          <t>تابستان</t>
        </is>
      </c>
      <c r="I2817" s="134" t="inlineStr">
        <is>
          <t>پنجشنبه</t>
        </is>
      </c>
      <c r="J2817" s="134" t="inlineStr">
        <is>
          <t>بله</t>
        </is>
      </c>
    </row>
    <row r="2818">
      <c r="A2818" s="173" t="n">
        <v>47739</v>
      </c>
      <c r="B2818" s="174" t="n">
        <v>47739</v>
      </c>
      <c r="C2818" s="174" t="n">
        <v>1409</v>
      </c>
      <c r="D2818" s="174" t="n">
        <v>6</v>
      </c>
      <c r="E2818" s="175" t="inlineStr">
        <is>
          <t>1409/06/22</t>
        </is>
      </c>
      <c r="F2818" s="128" t="inlineStr">
        <is>
          <t>1409/06</t>
        </is>
      </c>
      <c r="G2818" s="58" t="inlineStr">
        <is>
          <t>شهریور</t>
        </is>
      </c>
      <c r="H2818" s="128" t="inlineStr">
        <is>
          <t>تابستان</t>
        </is>
      </c>
      <c r="I2818" s="128" t="inlineStr">
        <is>
          <t>جمعه</t>
        </is>
      </c>
      <c r="J2818" s="128" t="inlineStr">
        <is>
          <t>بله</t>
        </is>
      </c>
    </row>
    <row r="2819">
      <c r="A2819" s="176" t="n">
        <v>47740</v>
      </c>
      <c r="B2819" s="177" t="n">
        <v>47740</v>
      </c>
      <c r="C2819" s="177" t="n">
        <v>1409</v>
      </c>
      <c r="D2819" s="177" t="n">
        <v>6</v>
      </c>
      <c r="E2819" s="178" t="inlineStr">
        <is>
          <t>1409/06/23</t>
        </is>
      </c>
      <c r="F2819" s="134" t="inlineStr">
        <is>
          <t>1409/06</t>
        </is>
      </c>
      <c r="G2819" s="61" t="inlineStr">
        <is>
          <t>شهریور</t>
        </is>
      </c>
      <c r="H2819" s="134" t="inlineStr">
        <is>
          <t>تابستان</t>
        </is>
      </c>
      <c r="I2819" s="134" t="inlineStr">
        <is>
          <t>شنبه</t>
        </is>
      </c>
      <c r="J2819" s="134" t="inlineStr">
        <is>
          <t>خیر</t>
        </is>
      </c>
    </row>
    <row r="2820">
      <c r="A2820" s="173" t="n">
        <v>47741</v>
      </c>
      <c r="B2820" s="174" t="n">
        <v>47741</v>
      </c>
      <c r="C2820" s="174" t="n">
        <v>1409</v>
      </c>
      <c r="D2820" s="174" t="n">
        <v>6</v>
      </c>
      <c r="E2820" s="175" t="inlineStr">
        <is>
          <t>1409/06/24</t>
        </is>
      </c>
      <c r="F2820" s="128" t="inlineStr">
        <is>
          <t>1409/06</t>
        </is>
      </c>
      <c r="G2820" s="58" t="inlineStr">
        <is>
          <t>شهریور</t>
        </is>
      </c>
      <c r="H2820" s="128" t="inlineStr">
        <is>
          <t>تابستان</t>
        </is>
      </c>
      <c r="I2820" s="128" t="inlineStr">
        <is>
          <t>یکشنبه</t>
        </is>
      </c>
      <c r="J2820" s="128" t="inlineStr">
        <is>
          <t>خیر</t>
        </is>
      </c>
    </row>
    <row r="2821">
      <c r="A2821" s="176" t="n">
        <v>47742</v>
      </c>
      <c r="B2821" s="177" t="n">
        <v>47742</v>
      </c>
      <c r="C2821" s="177" t="n">
        <v>1409</v>
      </c>
      <c r="D2821" s="177" t="n">
        <v>6</v>
      </c>
      <c r="E2821" s="178" t="inlineStr">
        <is>
          <t>1409/06/25</t>
        </is>
      </c>
      <c r="F2821" s="134" t="inlineStr">
        <is>
          <t>1409/06</t>
        </is>
      </c>
      <c r="G2821" s="61" t="inlineStr">
        <is>
          <t>شهریور</t>
        </is>
      </c>
      <c r="H2821" s="134" t="inlineStr">
        <is>
          <t>تابستان</t>
        </is>
      </c>
      <c r="I2821" s="134" t="inlineStr">
        <is>
          <t>دوشنبه</t>
        </is>
      </c>
      <c r="J2821" s="134" t="inlineStr">
        <is>
          <t>بله</t>
        </is>
      </c>
    </row>
    <row r="2822">
      <c r="A2822" s="173" t="n">
        <v>47743</v>
      </c>
      <c r="B2822" s="174" t="n">
        <v>47743</v>
      </c>
      <c r="C2822" s="174" t="n">
        <v>1409</v>
      </c>
      <c r="D2822" s="174" t="n">
        <v>6</v>
      </c>
      <c r="E2822" s="175" t="inlineStr">
        <is>
          <t>1409/06/26</t>
        </is>
      </c>
      <c r="F2822" s="128" t="inlineStr">
        <is>
          <t>1409/06</t>
        </is>
      </c>
      <c r="G2822" s="58" t="inlineStr">
        <is>
          <t>شهریور</t>
        </is>
      </c>
      <c r="H2822" s="128" t="inlineStr">
        <is>
          <t>تابستان</t>
        </is>
      </c>
      <c r="I2822" s="128" t="inlineStr">
        <is>
          <t>سه‌شنبه</t>
        </is>
      </c>
      <c r="J2822" s="128" t="inlineStr">
        <is>
          <t>بله</t>
        </is>
      </c>
    </row>
    <row r="2823">
      <c r="A2823" s="176" t="n">
        <v>47744</v>
      </c>
      <c r="B2823" s="177" t="n">
        <v>47744</v>
      </c>
      <c r="C2823" s="177" t="n">
        <v>1409</v>
      </c>
      <c r="D2823" s="177" t="n">
        <v>6</v>
      </c>
      <c r="E2823" s="178" t="inlineStr">
        <is>
          <t>1409/06/27</t>
        </is>
      </c>
      <c r="F2823" s="134" t="inlineStr">
        <is>
          <t>1409/06</t>
        </is>
      </c>
      <c r="G2823" s="61" t="inlineStr">
        <is>
          <t>شهریور</t>
        </is>
      </c>
      <c r="H2823" s="134" t="inlineStr">
        <is>
          <t>تابستان</t>
        </is>
      </c>
      <c r="I2823" s="134" t="inlineStr">
        <is>
          <t>چهارشنبه</t>
        </is>
      </c>
      <c r="J2823" s="134" t="inlineStr">
        <is>
          <t>بله</t>
        </is>
      </c>
    </row>
    <row r="2824">
      <c r="A2824" s="173" t="n">
        <v>47745</v>
      </c>
      <c r="B2824" s="174" t="n">
        <v>47745</v>
      </c>
      <c r="C2824" s="174" t="n">
        <v>1409</v>
      </c>
      <c r="D2824" s="174" t="n">
        <v>6</v>
      </c>
      <c r="E2824" s="175" t="inlineStr">
        <is>
          <t>1409/06/28</t>
        </is>
      </c>
      <c r="F2824" s="128" t="inlineStr">
        <is>
          <t>1409/06</t>
        </is>
      </c>
      <c r="G2824" s="58" t="inlineStr">
        <is>
          <t>شهریور</t>
        </is>
      </c>
      <c r="H2824" s="128" t="inlineStr">
        <is>
          <t>تابستان</t>
        </is>
      </c>
      <c r="I2824" s="128" t="inlineStr">
        <is>
          <t>پنجشنبه</t>
        </is>
      </c>
      <c r="J2824" s="128" t="inlineStr">
        <is>
          <t>بله</t>
        </is>
      </c>
    </row>
    <row r="2825">
      <c r="A2825" s="176" t="n">
        <v>47746</v>
      </c>
      <c r="B2825" s="177" t="n">
        <v>47746</v>
      </c>
      <c r="C2825" s="177" t="n">
        <v>1409</v>
      </c>
      <c r="D2825" s="177" t="n">
        <v>6</v>
      </c>
      <c r="E2825" s="178" t="inlineStr">
        <is>
          <t>1409/06/29</t>
        </is>
      </c>
      <c r="F2825" s="134" t="inlineStr">
        <is>
          <t>1409/06</t>
        </is>
      </c>
      <c r="G2825" s="61" t="inlineStr">
        <is>
          <t>شهریور</t>
        </is>
      </c>
      <c r="H2825" s="134" t="inlineStr">
        <is>
          <t>تابستان</t>
        </is>
      </c>
      <c r="I2825" s="134" t="inlineStr">
        <is>
          <t>جمعه</t>
        </is>
      </c>
      <c r="J2825" s="134" t="inlineStr">
        <is>
          <t>بله</t>
        </is>
      </c>
    </row>
    <row r="2826">
      <c r="A2826" s="173" t="n">
        <v>47747</v>
      </c>
      <c r="B2826" s="174" t="n">
        <v>47747</v>
      </c>
      <c r="C2826" s="174" t="n">
        <v>1409</v>
      </c>
      <c r="D2826" s="174" t="n">
        <v>6</v>
      </c>
      <c r="E2826" s="175" t="inlineStr">
        <is>
          <t>1409/06/30</t>
        </is>
      </c>
      <c r="F2826" s="128" t="inlineStr">
        <is>
          <t>1409/06</t>
        </is>
      </c>
      <c r="G2826" s="58" t="inlineStr">
        <is>
          <t>شهریور</t>
        </is>
      </c>
      <c r="H2826" s="128" t="inlineStr">
        <is>
          <t>تابستان</t>
        </is>
      </c>
      <c r="I2826" s="128" t="inlineStr">
        <is>
          <t>شنبه</t>
        </is>
      </c>
      <c r="J2826" s="128" t="inlineStr">
        <is>
          <t>خیر</t>
        </is>
      </c>
    </row>
    <row r="2827">
      <c r="A2827" s="176" t="n">
        <v>47748</v>
      </c>
      <c r="B2827" s="177" t="n">
        <v>47748</v>
      </c>
      <c r="C2827" s="177" t="n">
        <v>1409</v>
      </c>
      <c r="D2827" s="177" t="n">
        <v>6</v>
      </c>
      <c r="E2827" s="178" t="inlineStr">
        <is>
          <t>1409/06/31</t>
        </is>
      </c>
      <c r="F2827" s="134" t="inlineStr">
        <is>
          <t>1409/06</t>
        </is>
      </c>
      <c r="G2827" s="61" t="inlineStr">
        <is>
          <t>شهریور</t>
        </is>
      </c>
      <c r="H2827" s="134" t="inlineStr">
        <is>
          <t>تابستان</t>
        </is>
      </c>
      <c r="I2827" s="134" t="inlineStr">
        <is>
          <t>یکشنبه</t>
        </is>
      </c>
      <c r="J2827" s="134" t="inlineStr">
        <is>
          <t>خیر</t>
        </is>
      </c>
    </row>
    <row r="2828">
      <c r="A2828" s="173" t="n">
        <v>47749</v>
      </c>
      <c r="B2828" s="174" t="n">
        <v>47749</v>
      </c>
      <c r="C2828" s="174" t="n">
        <v>1409</v>
      </c>
      <c r="D2828" s="174" t="n">
        <v>7</v>
      </c>
      <c r="E2828" s="175" t="inlineStr">
        <is>
          <t>1409/07/01</t>
        </is>
      </c>
      <c r="F2828" s="128" t="inlineStr">
        <is>
          <t>1409/07</t>
        </is>
      </c>
      <c r="G2828" s="58" t="inlineStr">
        <is>
          <t>مهر</t>
        </is>
      </c>
      <c r="H2828" s="128" t="inlineStr">
        <is>
          <t>پاییز</t>
        </is>
      </c>
      <c r="I2828" s="128" t="inlineStr">
        <is>
          <t>دوشنبه</t>
        </is>
      </c>
      <c r="J2828" s="128" t="inlineStr">
        <is>
          <t>بله</t>
        </is>
      </c>
    </row>
    <row r="2829">
      <c r="A2829" s="176" t="n">
        <v>47750</v>
      </c>
      <c r="B2829" s="177" t="n">
        <v>47750</v>
      </c>
      <c r="C2829" s="177" t="n">
        <v>1409</v>
      </c>
      <c r="D2829" s="177" t="n">
        <v>7</v>
      </c>
      <c r="E2829" s="178" t="inlineStr">
        <is>
          <t>1409/07/02</t>
        </is>
      </c>
      <c r="F2829" s="134" t="inlineStr">
        <is>
          <t>1409/07</t>
        </is>
      </c>
      <c r="G2829" s="61" t="inlineStr">
        <is>
          <t>مهر</t>
        </is>
      </c>
      <c r="H2829" s="134" t="inlineStr">
        <is>
          <t>پاییز</t>
        </is>
      </c>
      <c r="I2829" s="134" t="inlineStr">
        <is>
          <t>سه‌شنبه</t>
        </is>
      </c>
      <c r="J2829" s="134" t="inlineStr">
        <is>
          <t>بله</t>
        </is>
      </c>
    </row>
    <row r="2830">
      <c r="A2830" s="173" t="n">
        <v>47751</v>
      </c>
      <c r="B2830" s="174" t="n">
        <v>47751</v>
      </c>
      <c r="C2830" s="174" t="n">
        <v>1409</v>
      </c>
      <c r="D2830" s="174" t="n">
        <v>7</v>
      </c>
      <c r="E2830" s="175" t="inlineStr">
        <is>
          <t>1409/07/03</t>
        </is>
      </c>
      <c r="F2830" s="128" t="inlineStr">
        <is>
          <t>1409/07</t>
        </is>
      </c>
      <c r="G2830" s="58" t="inlineStr">
        <is>
          <t>مهر</t>
        </is>
      </c>
      <c r="H2830" s="128" t="inlineStr">
        <is>
          <t>پاییز</t>
        </is>
      </c>
      <c r="I2830" s="128" t="inlineStr">
        <is>
          <t>چهارشنبه</t>
        </is>
      </c>
      <c r="J2830" s="128" t="inlineStr">
        <is>
          <t>بله</t>
        </is>
      </c>
    </row>
    <row r="2831">
      <c r="A2831" s="176" t="n">
        <v>47752</v>
      </c>
      <c r="B2831" s="177" t="n">
        <v>47752</v>
      </c>
      <c r="C2831" s="177" t="n">
        <v>1409</v>
      </c>
      <c r="D2831" s="177" t="n">
        <v>7</v>
      </c>
      <c r="E2831" s="178" t="inlineStr">
        <is>
          <t>1409/07/04</t>
        </is>
      </c>
      <c r="F2831" s="134" t="inlineStr">
        <is>
          <t>1409/07</t>
        </is>
      </c>
      <c r="G2831" s="61" t="inlineStr">
        <is>
          <t>مهر</t>
        </is>
      </c>
      <c r="H2831" s="134" t="inlineStr">
        <is>
          <t>پاییز</t>
        </is>
      </c>
      <c r="I2831" s="134" t="inlineStr">
        <is>
          <t>پنجشنبه</t>
        </is>
      </c>
      <c r="J2831" s="134" t="inlineStr">
        <is>
          <t>بله</t>
        </is>
      </c>
    </row>
    <row r="2832">
      <c r="A2832" s="173" t="n">
        <v>47753</v>
      </c>
      <c r="B2832" s="174" t="n">
        <v>47753</v>
      </c>
      <c r="C2832" s="174" t="n">
        <v>1409</v>
      </c>
      <c r="D2832" s="174" t="n">
        <v>7</v>
      </c>
      <c r="E2832" s="175" t="inlineStr">
        <is>
          <t>1409/07/05</t>
        </is>
      </c>
      <c r="F2832" s="128" t="inlineStr">
        <is>
          <t>1409/07</t>
        </is>
      </c>
      <c r="G2832" s="58" t="inlineStr">
        <is>
          <t>مهر</t>
        </is>
      </c>
      <c r="H2832" s="128" t="inlineStr">
        <is>
          <t>پاییز</t>
        </is>
      </c>
      <c r="I2832" s="128" t="inlineStr">
        <is>
          <t>جمعه</t>
        </is>
      </c>
      <c r="J2832" s="128" t="inlineStr">
        <is>
          <t>بله</t>
        </is>
      </c>
    </row>
    <row r="2833">
      <c r="A2833" s="176" t="n">
        <v>47754</v>
      </c>
      <c r="B2833" s="177" t="n">
        <v>47754</v>
      </c>
      <c r="C2833" s="177" t="n">
        <v>1409</v>
      </c>
      <c r="D2833" s="177" t="n">
        <v>7</v>
      </c>
      <c r="E2833" s="178" t="inlineStr">
        <is>
          <t>1409/07/06</t>
        </is>
      </c>
      <c r="F2833" s="134" t="inlineStr">
        <is>
          <t>1409/07</t>
        </is>
      </c>
      <c r="G2833" s="61" t="inlineStr">
        <is>
          <t>مهر</t>
        </is>
      </c>
      <c r="H2833" s="134" t="inlineStr">
        <is>
          <t>پاییز</t>
        </is>
      </c>
      <c r="I2833" s="134" t="inlineStr">
        <is>
          <t>شنبه</t>
        </is>
      </c>
      <c r="J2833" s="134" t="inlineStr">
        <is>
          <t>خیر</t>
        </is>
      </c>
    </row>
    <row r="2834">
      <c r="A2834" s="173" t="n">
        <v>47755</v>
      </c>
      <c r="B2834" s="174" t="n">
        <v>47755</v>
      </c>
      <c r="C2834" s="174" t="n">
        <v>1409</v>
      </c>
      <c r="D2834" s="174" t="n">
        <v>7</v>
      </c>
      <c r="E2834" s="175" t="inlineStr">
        <is>
          <t>1409/07/07</t>
        </is>
      </c>
      <c r="F2834" s="128" t="inlineStr">
        <is>
          <t>1409/07</t>
        </is>
      </c>
      <c r="G2834" s="58" t="inlineStr">
        <is>
          <t>مهر</t>
        </is>
      </c>
      <c r="H2834" s="128" t="inlineStr">
        <is>
          <t>پاییز</t>
        </is>
      </c>
      <c r="I2834" s="128" t="inlineStr">
        <is>
          <t>یکشنبه</t>
        </is>
      </c>
      <c r="J2834" s="128" t="inlineStr">
        <is>
          <t>خیر</t>
        </is>
      </c>
    </row>
    <row r="2835">
      <c r="A2835" s="176" t="n">
        <v>47756</v>
      </c>
      <c r="B2835" s="177" t="n">
        <v>47756</v>
      </c>
      <c r="C2835" s="177" t="n">
        <v>1409</v>
      </c>
      <c r="D2835" s="177" t="n">
        <v>7</v>
      </c>
      <c r="E2835" s="178" t="inlineStr">
        <is>
          <t>1409/07/08</t>
        </is>
      </c>
      <c r="F2835" s="134" t="inlineStr">
        <is>
          <t>1409/07</t>
        </is>
      </c>
      <c r="G2835" s="61" t="inlineStr">
        <is>
          <t>مهر</t>
        </is>
      </c>
      <c r="H2835" s="134" t="inlineStr">
        <is>
          <t>پاییز</t>
        </is>
      </c>
      <c r="I2835" s="134" t="inlineStr">
        <is>
          <t>دوشنبه</t>
        </is>
      </c>
      <c r="J2835" s="134" t="inlineStr">
        <is>
          <t>بله</t>
        </is>
      </c>
    </row>
    <row r="2836">
      <c r="A2836" s="173" t="n">
        <v>47757</v>
      </c>
      <c r="B2836" s="174" t="n">
        <v>47757</v>
      </c>
      <c r="C2836" s="174" t="n">
        <v>1409</v>
      </c>
      <c r="D2836" s="174" t="n">
        <v>7</v>
      </c>
      <c r="E2836" s="175" t="inlineStr">
        <is>
          <t>1409/07/09</t>
        </is>
      </c>
      <c r="F2836" s="128" t="inlineStr">
        <is>
          <t>1409/07</t>
        </is>
      </c>
      <c r="G2836" s="58" t="inlineStr">
        <is>
          <t>مهر</t>
        </is>
      </c>
      <c r="H2836" s="128" t="inlineStr">
        <is>
          <t>پاییز</t>
        </is>
      </c>
      <c r="I2836" s="128" t="inlineStr">
        <is>
          <t>سه‌شنبه</t>
        </is>
      </c>
      <c r="J2836" s="128" t="inlineStr">
        <is>
          <t>بله</t>
        </is>
      </c>
    </row>
    <row r="2837">
      <c r="A2837" s="176" t="n">
        <v>47758</v>
      </c>
      <c r="B2837" s="177" t="n">
        <v>47758</v>
      </c>
      <c r="C2837" s="177" t="n">
        <v>1409</v>
      </c>
      <c r="D2837" s="177" t="n">
        <v>7</v>
      </c>
      <c r="E2837" s="178" t="inlineStr">
        <is>
          <t>1409/07/10</t>
        </is>
      </c>
      <c r="F2837" s="134" t="inlineStr">
        <is>
          <t>1409/07</t>
        </is>
      </c>
      <c r="G2837" s="61" t="inlineStr">
        <is>
          <t>مهر</t>
        </is>
      </c>
      <c r="H2837" s="134" t="inlineStr">
        <is>
          <t>پاییز</t>
        </is>
      </c>
      <c r="I2837" s="134" t="inlineStr">
        <is>
          <t>چهارشنبه</t>
        </is>
      </c>
      <c r="J2837" s="134" t="inlineStr">
        <is>
          <t>بله</t>
        </is>
      </c>
    </row>
    <row r="2838">
      <c r="A2838" s="173" t="n">
        <v>47759</v>
      </c>
      <c r="B2838" s="174" t="n">
        <v>47759</v>
      </c>
      <c r="C2838" s="174" t="n">
        <v>1409</v>
      </c>
      <c r="D2838" s="174" t="n">
        <v>7</v>
      </c>
      <c r="E2838" s="175" t="inlineStr">
        <is>
          <t>1409/07/11</t>
        </is>
      </c>
      <c r="F2838" s="128" t="inlineStr">
        <is>
          <t>1409/07</t>
        </is>
      </c>
      <c r="G2838" s="58" t="inlineStr">
        <is>
          <t>مهر</t>
        </is>
      </c>
      <c r="H2838" s="128" t="inlineStr">
        <is>
          <t>پاییز</t>
        </is>
      </c>
      <c r="I2838" s="128" t="inlineStr">
        <is>
          <t>پنجشنبه</t>
        </is>
      </c>
      <c r="J2838" s="128" t="inlineStr">
        <is>
          <t>بله</t>
        </is>
      </c>
    </row>
    <row r="2839">
      <c r="A2839" s="176" t="n">
        <v>47760</v>
      </c>
      <c r="B2839" s="177" t="n">
        <v>47760</v>
      </c>
      <c r="C2839" s="177" t="n">
        <v>1409</v>
      </c>
      <c r="D2839" s="177" t="n">
        <v>7</v>
      </c>
      <c r="E2839" s="178" t="inlineStr">
        <is>
          <t>1409/07/12</t>
        </is>
      </c>
      <c r="F2839" s="134" t="inlineStr">
        <is>
          <t>1409/07</t>
        </is>
      </c>
      <c r="G2839" s="61" t="inlineStr">
        <is>
          <t>مهر</t>
        </is>
      </c>
      <c r="H2839" s="134" t="inlineStr">
        <is>
          <t>پاییز</t>
        </is>
      </c>
      <c r="I2839" s="134" t="inlineStr">
        <is>
          <t>جمعه</t>
        </is>
      </c>
      <c r="J2839" s="134" t="inlineStr">
        <is>
          <t>بله</t>
        </is>
      </c>
    </row>
    <row r="2840">
      <c r="A2840" s="173" t="n">
        <v>47761</v>
      </c>
      <c r="B2840" s="174" t="n">
        <v>47761</v>
      </c>
      <c r="C2840" s="174" t="n">
        <v>1409</v>
      </c>
      <c r="D2840" s="174" t="n">
        <v>7</v>
      </c>
      <c r="E2840" s="175" t="inlineStr">
        <is>
          <t>1409/07/13</t>
        </is>
      </c>
      <c r="F2840" s="128" t="inlineStr">
        <is>
          <t>1409/07</t>
        </is>
      </c>
      <c r="G2840" s="58" t="inlineStr">
        <is>
          <t>مهر</t>
        </is>
      </c>
      <c r="H2840" s="128" t="inlineStr">
        <is>
          <t>پاییز</t>
        </is>
      </c>
      <c r="I2840" s="128" t="inlineStr">
        <is>
          <t>شنبه</t>
        </is>
      </c>
      <c r="J2840" s="128" t="inlineStr">
        <is>
          <t>خیر</t>
        </is>
      </c>
    </row>
    <row r="2841">
      <c r="A2841" s="176" t="n">
        <v>47762</v>
      </c>
      <c r="B2841" s="177" t="n">
        <v>47762</v>
      </c>
      <c r="C2841" s="177" t="n">
        <v>1409</v>
      </c>
      <c r="D2841" s="177" t="n">
        <v>7</v>
      </c>
      <c r="E2841" s="178" t="inlineStr">
        <is>
          <t>1409/07/14</t>
        </is>
      </c>
      <c r="F2841" s="134" t="inlineStr">
        <is>
          <t>1409/07</t>
        </is>
      </c>
      <c r="G2841" s="61" t="inlineStr">
        <is>
          <t>مهر</t>
        </is>
      </c>
      <c r="H2841" s="134" t="inlineStr">
        <is>
          <t>پاییز</t>
        </is>
      </c>
      <c r="I2841" s="134" t="inlineStr">
        <is>
          <t>یکشنبه</t>
        </is>
      </c>
      <c r="J2841" s="134" t="inlineStr">
        <is>
          <t>خیر</t>
        </is>
      </c>
    </row>
    <row r="2842">
      <c r="A2842" s="173" t="n">
        <v>47763</v>
      </c>
      <c r="B2842" s="174" t="n">
        <v>47763</v>
      </c>
      <c r="C2842" s="174" t="n">
        <v>1409</v>
      </c>
      <c r="D2842" s="174" t="n">
        <v>7</v>
      </c>
      <c r="E2842" s="175" t="inlineStr">
        <is>
          <t>1409/07/15</t>
        </is>
      </c>
      <c r="F2842" s="128" t="inlineStr">
        <is>
          <t>1409/07</t>
        </is>
      </c>
      <c r="G2842" s="58" t="inlineStr">
        <is>
          <t>مهر</t>
        </is>
      </c>
      <c r="H2842" s="128" t="inlineStr">
        <is>
          <t>پاییز</t>
        </is>
      </c>
      <c r="I2842" s="128" t="inlineStr">
        <is>
          <t>دوشنبه</t>
        </is>
      </c>
      <c r="J2842" s="128" t="inlineStr">
        <is>
          <t>بله</t>
        </is>
      </c>
    </row>
    <row r="2843">
      <c r="A2843" s="176" t="n">
        <v>47764</v>
      </c>
      <c r="B2843" s="177" t="n">
        <v>47764</v>
      </c>
      <c r="C2843" s="177" t="n">
        <v>1409</v>
      </c>
      <c r="D2843" s="177" t="n">
        <v>7</v>
      </c>
      <c r="E2843" s="178" t="inlineStr">
        <is>
          <t>1409/07/16</t>
        </is>
      </c>
      <c r="F2843" s="134" t="inlineStr">
        <is>
          <t>1409/07</t>
        </is>
      </c>
      <c r="G2843" s="61" t="inlineStr">
        <is>
          <t>مهر</t>
        </is>
      </c>
      <c r="H2843" s="134" t="inlineStr">
        <is>
          <t>پاییز</t>
        </is>
      </c>
      <c r="I2843" s="134" t="inlineStr">
        <is>
          <t>سه‌شنبه</t>
        </is>
      </c>
      <c r="J2843" s="134" t="inlineStr">
        <is>
          <t>بله</t>
        </is>
      </c>
    </row>
    <row r="2844">
      <c r="A2844" s="173" t="n">
        <v>47765</v>
      </c>
      <c r="B2844" s="174" t="n">
        <v>47765</v>
      </c>
      <c r="C2844" s="174" t="n">
        <v>1409</v>
      </c>
      <c r="D2844" s="174" t="n">
        <v>7</v>
      </c>
      <c r="E2844" s="175" t="inlineStr">
        <is>
          <t>1409/07/17</t>
        </is>
      </c>
      <c r="F2844" s="128" t="inlineStr">
        <is>
          <t>1409/07</t>
        </is>
      </c>
      <c r="G2844" s="58" t="inlineStr">
        <is>
          <t>مهر</t>
        </is>
      </c>
      <c r="H2844" s="128" t="inlineStr">
        <is>
          <t>پاییز</t>
        </is>
      </c>
      <c r="I2844" s="128" t="inlineStr">
        <is>
          <t>چهارشنبه</t>
        </is>
      </c>
      <c r="J2844" s="128" t="inlineStr">
        <is>
          <t>بله</t>
        </is>
      </c>
    </row>
    <row r="2845">
      <c r="A2845" s="176" t="n">
        <v>47766</v>
      </c>
      <c r="B2845" s="177" t="n">
        <v>47766</v>
      </c>
      <c r="C2845" s="177" t="n">
        <v>1409</v>
      </c>
      <c r="D2845" s="177" t="n">
        <v>7</v>
      </c>
      <c r="E2845" s="178" t="inlineStr">
        <is>
          <t>1409/07/18</t>
        </is>
      </c>
      <c r="F2845" s="134" t="inlineStr">
        <is>
          <t>1409/07</t>
        </is>
      </c>
      <c r="G2845" s="61" t="inlineStr">
        <is>
          <t>مهر</t>
        </is>
      </c>
      <c r="H2845" s="134" t="inlineStr">
        <is>
          <t>پاییز</t>
        </is>
      </c>
      <c r="I2845" s="134" t="inlineStr">
        <is>
          <t>پنجشنبه</t>
        </is>
      </c>
      <c r="J2845" s="134" t="inlineStr">
        <is>
          <t>بله</t>
        </is>
      </c>
    </row>
    <row r="2846">
      <c r="A2846" s="173" t="n">
        <v>47767</v>
      </c>
      <c r="B2846" s="174" t="n">
        <v>47767</v>
      </c>
      <c r="C2846" s="174" t="n">
        <v>1409</v>
      </c>
      <c r="D2846" s="174" t="n">
        <v>7</v>
      </c>
      <c r="E2846" s="175" t="inlineStr">
        <is>
          <t>1409/07/19</t>
        </is>
      </c>
      <c r="F2846" s="128" t="inlineStr">
        <is>
          <t>1409/07</t>
        </is>
      </c>
      <c r="G2846" s="58" t="inlineStr">
        <is>
          <t>مهر</t>
        </is>
      </c>
      <c r="H2846" s="128" t="inlineStr">
        <is>
          <t>پاییز</t>
        </is>
      </c>
      <c r="I2846" s="128" t="inlineStr">
        <is>
          <t>جمعه</t>
        </is>
      </c>
      <c r="J2846" s="128" t="inlineStr">
        <is>
          <t>بله</t>
        </is>
      </c>
    </row>
    <row r="2847">
      <c r="A2847" s="176" t="n">
        <v>47768</v>
      </c>
      <c r="B2847" s="177" t="n">
        <v>47768</v>
      </c>
      <c r="C2847" s="177" t="n">
        <v>1409</v>
      </c>
      <c r="D2847" s="177" t="n">
        <v>7</v>
      </c>
      <c r="E2847" s="178" t="inlineStr">
        <is>
          <t>1409/07/20</t>
        </is>
      </c>
      <c r="F2847" s="134" t="inlineStr">
        <is>
          <t>1409/07</t>
        </is>
      </c>
      <c r="G2847" s="61" t="inlineStr">
        <is>
          <t>مهر</t>
        </is>
      </c>
      <c r="H2847" s="134" t="inlineStr">
        <is>
          <t>پاییز</t>
        </is>
      </c>
      <c r="I2847" s="134" t="inlineStr">
        <is>
          <t>شنبه</t>
        </is>
      </c>
      <c r="J2847" s="134" t="inlineStr">
        <is>
          <t>خیر</t>
        </is>
      </c>
    </row>
    <row r="2848">
      <c r="A2848" s="173" t="n">
        <v>47769</v>
      </c>
      <c r="B2848" s="174" t="n">
        <v>47769</v>
      </c>
      <c r="C2848" s="174" t="n">
        <v>1409</v>
      </c>
      <c r="D2848" s="174" t="n">
        <v>7</v>
      </c>
      <c r="E2848" s="175" t="inlineStr">
        <is>
          <t>1409/07/21</t>
        </is>
      </c>
      <c r="F2848" s="128" t="inlineStr">
        <is>
          <t>1409/07</t>
        </is>
      </c>
      <c r="G2848" s="58" t="inlineStr">
        <is>
          <t>مهر</t>
        </is>
      </c>
      <c r="H2848" s="128" t="inlineStr">
        <is>
          <t>پاییز</t>
        </is>
      </c>
      <c r="I2848" s="128" t="inlineStr">
        <is>
          <t>یکشنبه</t>
        </is>
      </c>
      <c r="J2848" s="128" t="inlineStr">
        <is>
          <t>خیر</t>
        </is>
      </c>
    </row>
    <row r="2849">
      <c r="A2849" s="176" t="n">
        <v>47770</v>
      </c>
      <c r="B2849" s="177" t="n">
        <v>47770</v>
      </c>
      <c r="C2849" s="177" t="n">
        <v>1409</v>
      </c>
      <c r="D2849" s="177" t="n">
        <v>7</v>
      </c>
      <c r="E2849" s="178" t="inlineStr">
        <is>
          <t>1409/07/22</t>
        </is>
      </c>
      <c r="F2849" s="134" t="inlineStr">
        <is>
          <t>1409/07</t>
        </is>
      </c>
      <c r="G2849" s="61" t="inlineStr">
        <is>
          <t>مهر</t>
        </is>
      </c>
      <c r="H2849" s="134" t="inlineStr">
        <is>
          <t>پاییز</t>
        </is>
      </c>
      <c r="I2849" s="134" t="inlineStr">
        <is>
          <t>دوشنبه</t>
        </is>
      </c>
      <c r="J2849" s="134" t="inlineStr">
        <is>
          <t>بله</t>
        </is>
      </c>
    </row>
    <row r="2850">
      <c r="A2850" s="173" t="n">
        <v>47771</v>
      </c>
      <c r="B2850" s="174" t="n">
        <v>47771</v>
      </c>
      <c r="C2850" s="174" t="n">
        <v>1409</v>
      </c>
      <c r="D2850" s="174" t="n">
        <v>7</v>
      </c>
      <c r="E2850" s="175" t="inlineStr">
        <is>
          <t>1409/07/23</t>
        </is>
      </c>
      <c r="F2850" s="128" t="inlineStr">
        <is>
          <t>1409/07</t>
        </is>
      </c>
      <c r="G2850" s="58" t="inlineStr">
        <is>
          <t>مهر</t>
        </is>
      </c>
      <c r="H2850" s="128" t="inlineStr">
        <is>
          <t>پاییز</t>
        </is>
      </c>
      <c r="I2850" s="128" t="inlineStr">
        <is>
          <t>سه‌شنبه</t>
        </is>
      </c>
      <c r="J2850" s="128" t="inlineStr">
        <is>
          <t>بله</t>
        </is>
      </c>
    </row>
    <row r="2851">
      <c r="A2851" s="176" t="n">
        <v>47772</v>
      </c>
      <c r="B2851" s="177" t="n">
        <v>47772</v>
      </c>
      <c r="C2851" s="177" t="n">
        <v>1409</v>
      </c>
      <c r="D2851" s="177" t="n">
        <v>7</v>
      </c>
      <c r="E2851" s="178" t="inlineStr">
        <is>
          <t>1409/07/24</t>
        </is>
      </c>
      <c r="F2851" s="134" t="inlineStr">
        <is>
          <t>1409/07</t>
        </is>
      </c>
      <c r="G2851" s="61" t="inlineStr">
        <is>
          <t>مهر</t>
        </is>
      </c>
      <c r="H2851" s="134" t="inlineStr">
        <is>
          <t>پاییز</t>
        </is>
      </c>
      <c r="I2851" s="134" t="inlineStr">
        <is>
          <t>چهارشنبه</t>
        </is>
      </c>
      <c r="J2851" s="134" t="inlineStr">
        <is>
          <t>بله</t>
        </is>
      </c>
    </row>
    <row r="2852">
      <c r="A2852" s="173" t="n">
        <v>47773</v>
      </c>
      <c r="B2852" s="174" t="n">
        <v>47773</v>
      </c>
      <c r="C2852" s="174" t="n">
        <v>1409</v>
      </c>
      <c r="D2852" s="174" t="n">
        <v>7</v>
      </c>
      <c r="E2852" s="175" t="inlineStr">
        <is>
          <t>1409/07/25</t>
        </is>
      </c>
      <c r="F2852" s="128" t="inlineStr">
        <is>
          <t>1409/07</t>
        </is>
      </c>
      <c r="G2852" s="58" t="inlineStr">
        <is>
          <t>مهر</t>
        </is>
      </c>
      <c r="H2852" s="128" t="inlineStr">
        <is>
          <t>پاییز</t>
        </is>
      </c>
      <c r="I2852" s="128" t="inlineStr">
        <is>
          <t>پنجشنبه</t>
        </is>
      </c>
      <c r="J2852" s="128" t="inlineStr">
        <is>
          <t>بله</t>
        </is>
      </c>
    </row>
    <row r="2853">
      <c r="A2853" s="176" t="n">
        <v>47774</v>
      </c>
      <c r="B2853" s="177" t="n">
        <v>47774</v>
      </c>
      <c r="C2853" s="177" t="n">
        <v>1409</v>
      </c>
      <c r="D2853" s="177" t="n">
        <v>7</v>
      </c>
      <c r="E2853" s="178" t="inlineStr">
        <is>
          <t>1409/07/26</t>
        </is>
      </c>
      <c r="F2853" s="134" t="inlineStr">
        <is>
          <t>1409/07</t>
        </is>
      </c>
      <c r="G2853" s="61" t="inlineStr">
        <is>
          <t>مهر</t>
        </is>
      </c>
      <c r="H2853" s="134" t="inlineStr">
        <is>
          <t>پاییز</t>
        </is>
      </c>
      <c r="I2853" s="134" t="inlineStr">
        <is>
          <t>جمعه</t>
        </is>
      </c>
      <c r="J2853" s="134" t="inlineStr">
        <is>
          <t>بله</t>
        </is>
      </c>
    </row>
    <row r="2854">
      <c r="A2854" s="173" t="n">
        <v>47775</v>
      </c>
      <c r="B2854" s="174" t="n">
        <v>47775</v>
      </c>
      <c r="C2854" s="174" t="n">
        <v>1409</v>
      </c>
      <c r="D2854" s="174" t="n">
        <v>7</v>
      </c>
      <c r="E2854" s="175" t="inlineStr">
        <is>
          <t>1409/07/27</t>
        </is>
      </c>
      <c r="F2854" s="128" t="inlineStr">
        <is>
          <t>1409/07</t>
        </is>
      </c>
      <c r="G2854" s="58" t="inlineStr">
        <is>
          <t>مهر</t>
        </is>
      </c>
      <c r="H2854" s="128" t="inlineStr">
        <is>
          <t>پاییز</t>
        </is>
      </c>
      <c r="I2854" s="128" t="inlineStr">
        <is>
          <t>شنبه</t>
        </is>
      </c>
      <c r="J2854" s="128" t="inlineStr">
        <is>
          <t>خیر</t>
        </is>
      </c>
    </row>
    <row r="2855">
      <c r="A2855" s="176" t="n">
        <v>47776</v>
      </c>
      <c r="B2855" s="177" t="n">
        <v>47776</v>
      </c>
      <c r="C2855" s="177" t="n">
        <v>1409</v>
      </c>
      <c r="D2855" s="177" t="n">
        <v>7</v>
      </c>
      <c r="E2855" s="178" t="inlineStr">
        <is>
          <t>1409/07/28</t>
        </is>
      </c>
      <c r="F2855" s="134" t="inlineStr">
        <is>
          <t>1409/07</t>
        </is>
      </c>
      <c r="G2855" s="61" t="inlineStr">
        <is>
          <t>مهر</t>
        </is>
      </c>
      <c r="H2855" s="134" t="inlineStr">
        <is>
          <t>پاییز</t>
        </is>
      </c>
      <c r="I2855" s="134" t="inlineStr">
        <is>
          <t>یکشنبه</t>
        </is>
      </c>
      <c r="J2855" s="134" t="inlineStr">
        <is>
          <t>خیر</t>
        </is>
      </c>
    </row>
    <row r="2856">
      <c r="A2856" s="173" t="n">
        <v>47777</v>
      </c>
      <c r="B2856" s="174" t="n">
        <v>47777</v>
      </c>
      <c r="C2856" s="174" t="n">
        <v>1409</v>
      </c>
      <c r="D2856" s="174" t="n">
        <v>7</v>
      </c>
      <c r="E2856" s="175" t="inlineStr">
        <is>
          <t>1409/07/29</t>
        </is>
      </c>
      <c r="F2856" s="128" t="inlineStr">
        <is>
          <t>1409/07</t>
        </is>
      </c>
      <c r="G2856" s="58" t="inlineStr">
        <is>
          <t>مهر</t>
        </is>
      </c>
      <c r="H2856" s="128" t="inlineStr">
        <is>
          <t>پاییز</t>
        </is>
      </c>
      <c r="I2856" s="128" t="inlineStr">
        <is>
          <t>دوشنبه</t>
        </is>
      </c>
      <c r="J2856" s="128" t="inlineStr">
        <is>
          <t>بله</t>
        </is>
      </c>
    </row>
    <row r="2857">
      <c r="A2857" s="176" t="n">
        <v>47778</v>
      </c>
      <c r="B2857" s="177" t="n">
        <v>47778</v>
      </c>
      <c r="C2857" s="177" t="n">
        <v>1409</v>
      </c>
      <c r="D2857" s="177" t="n">
        <v>7</v>
      </c>
      <c r="E2857" s="178" t="inlineStr">
        <is>
          <t>1409/07/30</t>
        </is>
      </c>
      <c r="F2857" s="134" t="inlineStr">
        <is>
          <t>1409/07</t>
        </is>
      </c>
      <c r="G2857" s="61" t="inlineStr">
        <is>
          <t>مهر</t>
        </is>
      </c>
      <c r="H2857" s="134" t="inlineStr">
        <is>
          <t>پاییز</t>
        </is>
      </c>
      <c r="I2857" s="134" t="inlineStr">
        <is>
          <t>سه‌شنبه</t>
        </is>
      </c>
      <c r="J2857" s="134" t="inlineStr">
        <is>
          <t>بله</t>
        </is>
      </c>
    </row>
    <row r="2858">
      <c r="A2858" s="173" t="n">
        <v>47779</v>
      </c>
      <c r="B2858" s="174" t="n">
        <v>47779</v>
      </c>
      <c r="C2858" s="174" t="n">
        <v>1409</v>
      </c>
      <c r="D2858" s="174" t="n">
        <v>8</v>
      </c>
      <c r="E2858" s="175" t="inlineStr">
        <is>
          <t>1409/08/01</t>
        </is>
      </c>
      <c r="F2858" s="128" t="inlineStr">
        <is>
          <t>1409/08</t>
        </is>
      </c>
      <c r="G2858" s="58" t="inlineStr">
        <is>
          <t>آبان</t>
        </is>
      </c>
      <c r="H2858" s="128" t="inlineStr">
        <is>
          <t>پاییز</t>
        </is>
      </c>
      <c r="I2858" s="128" t="inlineStr">
        <is>
          <t>چهارشنبه</t>
        </is>
      </c>
      <c r="J2858" s="128" t="inlineStr">
        <is>
          <t>بله</t>
        </is>
      </c>
    </row>
    <row r="2859">
      <c r="A2859" s="176" t="n">
        <v>47780</v>
      </c>
      <c r="B2859" s="177" t="n">
        <v>47780</v>
      </c>
      <c r="C2859" s="177" t="n">
        <v>1409</v>
      </c>
      <c r="D2859" s="177" t="n">
        <v>8</v>
      </c>
      <c r="E2859" s="178" t="inlineStr">
        <is>
          <t>1409/08/02</t>
        </is>
      </c>
      <c r="F2859" s="134" t="inlineStr">
        <is>
          <t>1409/08</t>
        </is>
      </c>
      <c r="G2859" s="61" t="inlineStr">
        <is>
          <t>آبان</t>
        </is>
      </c>
      <c r="H2859" s="134" t="inlineStr">
        <is>
          <t>پاییز</t>
        </is>
      </c>
      <c r="I2859" s="134" t="inlineStr">
        <is>
          <t>پنجشنبه</t>
        </is>
      </c>
      <c r="J2859" s="134" t="inlineStr">
        <is>
          <t>بله</t>
        </is>
      </c>
    </row>
    <row r="2860">
      <c r="A2860" s="173" t="n">
        <v>47781</v>
      </c>
      <c r="B2860" s="174" t="n">
        <v>47781</v>
      </c>
      <c r="C2860" s="174" t="n">
        <v>1409</v>
      </c>
      <c r="D2860" s="174" t="n">
        <v>8</v>
      </c>
      <c r="E2860" s="175" t="inlineStr">
        <is>
          <t>1409/08/03</t>
        </is>
      </c>
      <c r="F2860" s="128" t="inlineStr">
        <is>
          <t>1409/08</t>
        </is>
      </c>
      <c r="G2860" s="58" t="inlineStr">
        <is>
          <t>آبان</t>
        </is>
      </c>
      <c r="H2860" s="128" t="inlineStr">
        <is>
          <t>پاییز</t>
        </is>
      </c>
      <c r="I2860" s="128" t="inlineStr">
        <is>
          <t>جمعه</t>
        </is>
      </c>
      <c r="J2860" s="128" t="inlineStr">
        <is>
          <t>بله</t>
        </is>
      </c>
    </row>
    <row r="2861">
      <c r="A2861" s="176" t="n">
        <v>47782</v>
      </c>
      <c r="B2861" s="177" t="n">
        <v>47782</v>
      </c>
      <c r="C2861" s="177" t="n">
        <v>1409</v>
      </c>
      <c r="D2861" s="177" t="n">
        <v>8</v>
      </c>
      <c r="E2861" s="178" t="inlineStr">
        <is>
          <t>1409/08/04</t>
        </is>
      </c>
      <c r="F2861" s="134" t="inlineStr">
        <is>
          <t>1409/08</t>
        </is>
      </c>
      <c r="G2861" s="61" t="inlineStr">
        <is>
          <t>آبان</t>
        </is>
      </c>
      <c r="H2861" s="134" t="inlineStr">
        <is>
          <t>پاییز</t>
        </is>
      </c>
      <c r="I2861" s="134" t="inlineStr">
        <is>
          <t>شنبه</t>
        </is>
      </c>
      <c r="J2861" s="134" t="inlineStr">
        <is>
          <t>خیر</t>
        </is>
      </c>
    </row>
    <row r="2862">
      <c r="A2862" s="173" t="n">
        <v>47783</v>
      </c>
      <c r="B2862" s="174" t="n">
        <v>47783</v>
      </c>
      <c r="C2862" s="174" t="n">
        <v>1409</v>
      </c>
      <c r="D2862" s="174" t="n">
        <v>8</v>
      </c>
      <c r="E2862" s="175" t="inlineStr">
        <is>
          <t>1409/08/05</t>
        </is>
      </c>
      <c r="F2862" s="128" t="inlineStr">
        <is>
          <t>1409/08</t>
        </is>
      </c>
      <c r="G2862" s="58" t="inlineStr">
        <is>
          <t>آبان</t>
        </is>
      </c>
      <c r="H2862" s="128" t="inlineStr">
        <is>
          <t>پاییز</t>
        </is>
      </c>
      <c r="I2862" s="128" t="inlineStr">
        <is>
          <t>یکشنبه</t>
        </is>
      </c>
      <c r="J2862" s="128" t="inlineStr">
        <is>
          <t>خیر</t>
        </is>
      </c>
    </row>
    <row r="2863">
      <c r="A2863" s="176" t="n">
        <v>47784</v>
      </c>
      <c r="B2863" s="177" t="n">
        <v>47784</v>
      </c>
      <c r="C2863" s="177" t="n">
        <v>1409</v>
      </c>
      <c r="D2863" s="177" t="n">
        <v>8</v>
      </c>
      <c r="E2863" s="178" t="inlineStr">
        <is>
          <t>1409/08/06</t>
        </is>
      </c>
      <c r="F2863" s="134" t="inlineStr">
        <is>
          <t>1409/08</t>
        </is>
      </c>
      <c r="G2863" s="61" t="inlineStr">
        <is>
          <t>آبان</t>
        </is>
      </c>
      <c r="H2863" s="134" t="inlineStr">
        <is>
          <t>پاییز</t>
        </is>
      </c>
      <c r="I2863" s="134" t="inlineStr">
        <is>
          <t>دوشنبه</t>
        </is>
      </c>
      <c r="J2863" s="134" t="inlineStr">
        <is>
          <t>بله</t>
        </is>
      </c>
    </row>
    <row r="2864">
      <c r="A2864" s="173" t="n">
        <v>47785</v>
      </c>
      <c r="B2864" s="174" t="n">
        <v>47785</v>
      </c>
      <c r="C2864" s="174" t="n">
        <v>1409</v>
      </c>
      <c r="D2864" s="174" t="n">
        <v>8</v>
      </c>
      <c r="E2864" s="175" t="inlineStr">
        <is>
          <t>1409/08/07</t>
        </is>
      </c>
      <c r="F2864" s="128" t="inlineStr">
        <is>
          <t>1409/08</t>
        </is>
      </c>
      <c r="G2864" s="58" t="inlineStr">
        <is>
          <t>آبان</t>
        </is>
      </c>
      <c r="H2864" s="128" t="inlineStr">
        <is>
          <t>پاییز</t>
        </is>
      </c>
      <c r="I2864" s="128" t="inlineStr">
        <is>
          <t>سه‌شنبه</t>
        </is>
      </c>
      <c r="J2864" s="128" t="inlineStr">
        <is>
          <t>بله</t>
        </is>
      </c>
    </row>
    <row r="2865">
      <c r="A2865" s="176" t="n">
        <v>47786</v>
      </c>
      <c r="B2865" s="177" t="n">
        <v>47786</v>
      </c>
      <c r="C2865" s="177" t="n">
        <v>1409</v>
      </c>
      <c r="D2865" s="177" t="n">
        <v>8</v>
      </c>
      <c r="E2865" s="178" t="inlineStr">
        <is>
          <t>1409/08/08</t>
        </is>
      </c>
      <c r="F2865" s="134" t="inlineStr">
        <is>
          <t>1409/08</t>
        </is>
      </c>
      <c r="G2865" s="61" t="inlineStr">
        <is>
          <t>آبان</t>
        </is>
      </c>
      <c r="H2865" s="134" t="inlineStr">
        <is>
          <t>پاییز</t>
        </is>
      </c>
      <c r="I2865" s="134" t="inlineStr">
        <is>
          <t>چهارشنبه</t>
        </is>
      </c>
      <c r="J2865" s="134" t="inlineStr">
        <is>
          <t>بله</t>
        </is>
      </c>
    </row>
    <row r="2866">
      <c r="A2866" s="173" t="n">
        <v>47787</v>
      </c>
      <c r="B2866" s="174" t="n">
        <v>47787</v>
      </c>
      <c r="C2866" s="174" t="n">
        <v>1409</v>
      </c>
      <c r="D2866" s="174" t="n">
        <v>8</v>
      </c>
      <c r="E2866" s="175" t="inlineStr">
        <is>
          <t>1409/08/09</t>
        </is>
      </c>
      <c r="F2866" s="128" t="inlineStr">
        <is>
          <t>1409/08</t>
        </is>
      </c>
      <c r="G2866" s="58" t="inlineStr">
        <is>
          <t>آبان</t>
        </is>
      </c>
      <c r="H2866" s="128" t="inlineStr">
        <is>
          <t>پاییز</t>
        </is>
      </c>
      <c r="I2866" s="128" t="inlineStr">
        <is>
          <t>پنجشنبه</t>
        </is>
      </c>
      <c r="J2866" s="128" t="inlineStr">
        <is>
          <t>بله</t>
        </is>
      </c>
    </row>
    <row r="2867">
      <c r="A2867" s="176" t="n">
        <v>47788</v>
      </c>
      <c r="B2867" s="177" t="n">
        <v>47788</v>
      </c>
      <c r="C2867" s="177" t="n">
        <v>1409</v>
      </c>
      <c r="D2867" s="177" t="n">
        <v>8</v>
      </c>
      <c r="E2867" s="178" t="inlineStr">
        <is>
          <t>1409/08/10</t>
        </is>
      </c>
      <c r="F2867" s="134" t="inlineStr">
        <is>
          <t>1409/08</t>
        </is>
      </c>
      <c r="G2867" s="61" t="inlineStr">
        <is>
          <t>آبان</t>
        </is>
      </c>
      <c r="H2867" s="134" t="inlineStr">
        <is>
          <t>پاییز</t>
        </is>
      </c>
      <c r="I2867" s="134" t="inlineStr">
        <is>
          <t>جمعه</t>
        </is>
      </c>
      <c r="J2867" s="134" t="inlineStr">
        <is>
          <t>بله</t>
        </is>
      </c>
    </row>
    <row r="2868">
      <c r="A2868" s="173" t="n">
        <v>47789</v>
      </c>
      <c r="B2868" s="174" t="n">
        <v>47789</v>
      </c>
      <c r="C2868" s="174" t="n">
        <v>1409</v>
      </c>
      <c r="D2868" s="174" t="n">
        <v>8</v>
      </c>
      <c r="E2868" s="175" t="inlineStr">
        <is>
          <t>1409/08/11</t>
        </is>
      </c>
      <c r="F2868" s="128" t="inlineStr">
        <is>
          <t>1409/08</t>
        </is>
      </c>
      <c r="G2868" s="58" t="inlineStr">
        <is>
          <t>آبان</t>
        </is>
      </c>
      <c r="H2868" s="128" t="inlineStr">
        <is>
          <t>پاییز</t>
        </is>
      </c>
      <c r="I2868" s="128" t="inlineStr">
        <is>
          <t>شنبه</t>
        </is>
      </c>
      <c r="J2868" s="128" t="inlineStr">
        <is>
          <t>خیر</t>
        </is>
      </c>
    </row>
    <row r="2869">
      <c r="A2869" s="176" t="n">
        <v>47790</v>
      </c>
      <c r="B2869" s="177" t="n">
        <v>47790</v>
      </c>
      <c r="C2869" s="177" t="n">
        <v>1409</v>
      </c>
      <c r="D2869" s="177" t="n">
        <v>8</v>
      </c>
      <c r="E2869" s="178" t="inlineStr">
        <is>
          <t>1409/08/12</t>
        </is>
      </c>
      <c r="F2869" s="134" t="inlineStr">
        <is>
          <t>1409/08</t>
        </is>
      </c>
      <c r="G2869" s="61" t="inlineStr">
        <is>
          <t>آبان</t>
        </is>
      </c>
      <c r="H2869" s="134" t="inlineStr">
        <is>
          <t>پاییز</t>
        </is>
      </c>
      <c r="I2869" s="134" t="inlineStr">
        <is>
          <t>یکشنبه</t>
        </is>
      </c>
      <c r="J2869" s="134" t="inlineStr">
        <is>
          <t>خیر</t>
        </is>
      </c>
    </row>
    <row r="2870">
      <c r="A2870" s="173" t="n">
        <v>47791</v>
      </c>
      <c r="B2870" s="174" t="n">
        <v>47791</v>
      </c>
      <c r="C2870" s="174" t="n">
        <v>1409</v>
      </c>
      <c r="D2870" s="174" t="n">
        <v>8</v>
      </c>
      <c r="E2870" s="175" t="inlineStr">
        <is>
          <t>1409/08/13</t>
        </is>
      </c>
      <c r="F2870" s="128" t="inlineStr">
        <is>
          <t>1409/08</t>
        </is>
      </c>
      <c r="G2870" s="58" t="inlineStr">
        <is>
          <t>آبان</t>
        </is>
      </c>
      <c r="H2870" s="128" t="inlineStr">
        <is>
          <t>پاییز</t>
        </is>
      </c>
      <c r="I2870" s="128" t="inlineStr">
        <is>
          <t>دوشنبه</t>
        </is>
      </c>
      <c r="J2870" s="128" t="inlineStr">
        <is>
          <t>بله</t>
        </is>
      </c>
    </row>
    <row r="2871">
      <c r="A2871" s="176" t="n">
        <v>47792</v>
      </c>
      <c r="B2871" s="177" t="n">
        <v>47792</v>
      </c>
      <c r="C2871" s="177" t="n">
        <v>1409</v>
      </c>
      <c r="D2871" s="177" t="n">
        <v>8</v>
      </c>
      <c r="E2871" s="178" t="inlineStr">
        <is>
          <t>1409/08/14</t>
        </is>
      </c>
      <c r="F2871" s="134" t="inlineStr">
        <is>
          <t>1409/08</t>
        </is>
      </c>
      <c r="G2871" s="61" t="inlineStr">
        <is>
          <t>آبان</t>
        </is>
      </c>
      <c r="H2871" s="134" t="inlineStr">
        <is>
          <t>پاییز</t>
        </is>
      </c>
      <c r="I2871" s="134" t="inlineStr">
        <is>
          <t>سه‌شنبه</t>
        </is>
      </c>
      <c r="J2871" s="134" t="inlineStr">
        <is>
          <t>بله</t>
        </is>
      </c>
    </row>
    <row r="2872">
      <c r="A2872" s="173" t="n">
        <v>47793</v>
      </c>
      <c r="B2872" s="174" t="n">
        <v>47793</v>
      </c>
      <c r="C2872" s="174" t="n">
        <v>1409</v>
      </c>
      <c r="D2872" s="174" t="n">
        <v>8</v>
      </c>
      <c r="E2872" s="175" t="inlineStr">
        <is>
          <t>1409/08/15</t>
        </is>
      </c>
      <c r="F2872" s="128" t="inlineStr">
        <is>
          <t>1409/08</t>
        </is>
      </c>
      <c r="G2872" s="58" t="inlineStr">
        <is>
          <t>آبان</t>
        </is>
      </c>
      <c r="H2872" s="128" t="inlineStr">
        <is>
          <t>پاییز</t>
        </is>
      </c>
      <c r="I2872" s="128" t="inlineStr">
        <is>
          <t>چهارشنبه</t>
        </is>
      </c>
      <c r="J2872" s="128" t="inlineStr">
        <is>
          <t>بله</t>
        </is>
      </c>
    </row>
    <row r="2873">
      <c r="A2873" s="176" t="n">
        <v>47794</v>
      </c>
      <c r="B2873" s="177" t="n">
        <v>47794</v>
      </c>
      <c r="C2873" s="177" t="n">
        <v>1409</v>
      </c>
      <c r="D2873" s="177" t="n">
        <v>8</v>
      </c>
      <c r="E2873" s="178" t="inlineStr">
        <is>
          <t>1409/08/16</t>
        </is>
      </c>
      <c r="F2873" s="134" t="inlineStr">
        <is>
          <t>1409/08</t>
        </is>
      </c>
      <c r="G2873" s="61" t="inlineStr">
        <is>
          <t>آبان</t>
        </is>
      </c>
      <c r="H2873" s="134" t="inlineStr">
        <is>
          <t>پاییز</t>
        </is>
      </c>
      <c r="I2873" s="134" t="inlineStr">
        <is>
          <t>پنجشنبه</t>
        </is>
      </c>
      <c r="J2873" s="134" t="inlineStr">
        <is>
          <t>بله</t>
        </is>
      </c>
    </row>
    <row r="2874">
      <c r="A2874" s="173" t="n">
        <v>47795</v>
      </c>
      <c r="B2874" s="174" t="n">
        <v>47795</v>
      </c>
      <c r="C2874" s="174" t="n">
        <v>1409</v>
      </c>
      <c r="D2874" s="174" t="n">
        <v>8</v>
      </c>
      <c r="E2874" s="175" t="inlineStr">
        <is>
          <t>1409/08/17</t>
        </is>
      </c>
      <c r="F2874" s="128" t="inlineStr">
        <is>
          <t>1409/08</t>
        </is>
      </c>
      <c r="G2874" s="58" t="inlineStr">
        <is>
          <t>آبان</t>
        </is>
      </c>
      <c r="H2874" s="128" t="inlineStr">
        <is>
          <t>پاییز</t>
        </is>
      </c>
      <c r="I2874" s="128" t="inlineStr">
        <is>
          <t>جمعه</t>
        </is>
      </c>
      <c r="J2874" s="128" t="inlineStr">
        <is>
          <t>بله</t>
        </is>
      </c>
    </row>
    <row r="2875">
      <c r="A2875" s="176" t="n">
        <v>47796</v>
      </c>
      <c r="B2875" s="177" t="n">
        <v>47796</v>
      </c>
      <c r="C2875" s="177" t="n">
        <v>1409</v>
      </c>
      <c r="D2875" s="177" t="n">
        <v>8</v>
      </c>
      <c r="E2875" s="178" t="inlineStr">
        <is>
          <t>1409/08/18</t>
        </is>
      </c>
      <c r="F2875" s="134" t="inlineStr">
        <is>
          <t>1409/08</t>
        </is>
      </c>
      <c r="G2875" s="61" t="inlineStr">
        <is>
          <t>آبان</t>
        </is>
      </c>
      <c r="H2875" s="134" t="inlineStr">
        <is>
          <t>پاییز</t>
        </is>
      </c>
      <c r="I2875" s="134" t="inlineStr">
        <is>
          <t>شنبه</t>
        </is>
      </c>
      <c r="J2875" s="134" t="inlineStr">
        <is>
          <t>خیر</t>
        </is>
      </c>
    </row>
    <row r="2876">
      <c r="A2876" s="173" t="n">
        <v>47797</v>
      </c>
      <c r="B2876" s="174" t="n">
        <v>47797</v>
      </c>
      <c r="C2876" s="174" t="n">
        <v>1409</v>
      </c>
      <c r="D2876" s="174" t="n">
        <v>8</v>
      </c>
      <c r="E2876" s="175" t="inlineStr">
        <is>
          <t>1409/08/19</t>
        </is>
      </c>
      <c r="F2876" s="128" t="inlineStr">
        <is>
          <t>1409/08</t>
        </is>
      </c>
      <c r="G2876" s="58" t="inlineStr">
        <is>
          <t>آبان</t>
        </is>
      </c>
      <c r="H2876" s="128" t="inlineStr">
        <is>
          <t>پاییز</t>
        </is>
      </c>
      <c r="I2876" s="128" t="inlineStr">
        <is>
          <t>یکشنبه</t>
        </is>
      </c>
      <c r="J2876" s="128" t="inlineStr">
        <is>
          <t>خیر</t>
        </is>
      </c>
    </row>
    <row r="2877">
      <c r="A2877" s="176" t="n">
        <v>47798</v>
      </c>
      <c r="B2877" s="177" t="n">
        <v>47798</v>
      </c>
      <c r="C2877" s="177" t="n">
        <v>1409</v>
      </c>
      <c r="D2877" s="177" t="n">
        <v>8</v>
      </c>
      <c r="E2877" s="178" t="inlineStr">
        <is>
          <t>1409/08/20</t>
        </is>
      </c>
      <c r="F2877" s="134" t="inlineStr">
        <is>
          <t>1409/08</t>
        </is>
      </c>
      <c r="G2877" s="61" t="inlineStr">
        <is>
          <t>آبان</t>
        </is>
      </c>
      <c r="H2877" s="134" t="inlineStr">
        <is>
          <t>پاییز</t>
        </is>
      </c>
      <c r="I2877" s="134" t="inlineStr">
        <is>
          <t>دوشنبه</t>
        </is>
      </c>
      <c r="J2877" s="134" t="inlineStr">
        <is>
          <t>بله</t>
        </is>
      </c>
    </row>
    <row r="2878">
      <c r="A2878" s="173" t="n">
        <v>47799</v>
      </c>
      <c r="B2878" s="174" t="n">
        <v>47799</v>
      </c>
      <c r="C2878" s="174" t="n">
        <v>1409</v>
      </c>
      <c r="D2878" s="174" t="n">
        <v>8</v>
      </c>
      <c r="E2878" s="175" t="inlineStr">
        <is>
          <t>1409/08/21</t>
        </is>
      </c>
      <c r="F2878" s="128" t="inlineStr">
        <is>
          <t>1409/08</t>
        </is>
      </c>
      <c r="G2878" s="58" t="inlineStr">
        <is>
          <t>آبان</t>
        </is>
      </c>
      <c r="H2878" s="128" t="inlineStr">
        <is>
          <t>پاییز</t>
        </is>
      </c>
      <c r="I2878" s="128" t="inlineStr">
        <is>
          <t>سه‌شنبه</t>
        </is>
      </c>
      <c r="J2878" s="128" t="inlineStr">
        <is>
          <t>بله</t>
        </is>
      </c>
    </row>
    <row r="2879">
      <c r="A2879" s="176" t="n">
        <v>47800</v>
      </c>
      <c r="B2879" s="177" t="n">
        <v>47800</v>
      </c>
      <c r="C2879" s="177" t="n">
        <v>1409</v>
      </c>
      <c r="D2879" s="177" t="n">
        <v>8</v>
      </c>
      <c r="E2879" s="178" t="inlineStr">
        <is>
          <t>1409/08/22</t>
        </is>
      </c>
      <c r="F2879" s="134" t="inlineStr">
        <is>
          <t>1409/08</t>
        </is>
      </c>
      <c r="G2879" s="61" t="inlineStr">
        <is>
          <t>آبان</t>
        </is>
      </c>
      <c r="H2879" s="134" t="inlineStr">
        <is>
          <t>پاییز</t>
        </is>
      </c>
      <c r="I2879" s="134" t="inlineStr">
        <is>
          <t>چهارشنبه</t>
        </is>
      </c>
      <c r="J2879" s="134" t="inlineStr">
        <is>
          <t>بله</t>
        </is>
      </c>
    </row>
    <row r="2880">
      <c r="A2880" s="173" t="n">
        <v>47801</v>
      </c>
      <c r="B2880" s="174" t="n">
        <v>47801</v>
      </c>
      <c r="C2880" s="174" t="n">
        <v>1409</v>
      </c>
      <c r="D2880" s="174" t="n">
        <v>8</v>
      </c>
      <c r="E2880" s="175" t="inlineStr">
        <is>
          <t>1409/08/23</t>
        </is>
      </c>
      <c r="F2880" s="128" t="inlineStr">
        <is>
          <t>1409/08</t>
        </is>
      </c>
      <c r="G2880" s="58" t="inlineStr">
        <is>
          <t>آبان</t>
        </is>
      </c>
      <c r="H2880" s="128" t="inlineStr">
        <is>
          <t>پاییز</t>
        </is>
      </c>
      <c r="I2880" s="128" t="inlineStr">
        <is>
          <t>پنجشنبه</t>
        </is>
      </c>
      <c r="J2880" s="128" t="inlineStr">
        <is>
          <t>بله</t>
        </is>
      </c>
    </row>
    <row r="2881">
      <c r="A2881" s="176" t="n">
        <v>47802</v>
      </c>
      <c r="B2881" s="177" t="n">
        <v>47802</v>
      </c>
      <c r="C2881" s="177" t="n">
        <v>1409</v>
      </c>
      <c r="D2881" s="177" t="n">
        <v>8</v>
      </c>
      <c r="E2881" s="178" t="inlineStr">
        <is>
          <t>1409/08/24</t>
        </is>
      </c>
      <c r="F2881" s="134" t="inlineStr">
        <is>
          <t>1409/08</t>
        </is>
      </c>
      <c r="G2881" s="61" t="inlineStr">
        <is>
          <t>آبان</t>
        </is>
      </c>
      <c r="H2881" s="134" t="inlineStr">
        <is>
          <t>پاییز</t>
        </is>
      </c>
      <c r="I2881" s="134" t="inlineStr">
        <is>
          <t>جمعه</t>
        </is>
      </c>
      <c r="J2881" s="134" t="inlineStr">
        <is>
          <t>بله</t>
        </is>
      </c>
    </row>
    <row r="2882">
      <c r="A2882" s="173" t="n">
        <v>47803</v>
      </c>
      <c r="B2882" s="174" t="n">
        <v>47803</v>
      </c>
      <c r="C2882" s="174" t="n">
        <v>1409</v>
      </c>
      <c r="D2882" s="174" t="n">
        <v>8</v>
      </c>
      <c r="E2882" s="175" t="inlineStr">
        <is>
          <t>1409/08/25</t>
        </is>
      </c>
      <c r="F2882" s="128" t="inlineStr">
        <is>
          <t>1409/08</t>
        </is>
      </c>
      <c r="G2882" s="58" t="inlineStr">
        <is>
          <t>آبان</t>
        </is>
      </c>
      <c r="H2882" s="128" t="inlineStr">
        <is>
          <t>پاییز</t>
        </is>
      </c>
      <c r="I2882" s="128" t="inlineStr">
        <is>
          <t>شنبه</t>
        </is>
      </c>
      <c r="J2882" s="128" t="inlineStr">
        <is>
          <t>خیر</t>
        </is>
      </c>
    </row>
    <row r="2883">
      <c r="A2883" s="176" t="n">
        <v>47804</v>
      </c>
      <c r="B2883" s="177" t="n">
        <v>47804</v>
      </c>
      <c r="C2883" s="177" t="n">
        <v>1409</v>
      </c>
      <c r="D2883" s="177" t="n">
        <v>8</v>
      </c>
      <c r="E2883" s="178" t="inlineStr">
        <is>
          <t>1409/08/26</t>
        </is>
      </c>
      <c r="F2883" s="134" t="inlineStr">
        <is>
          <t>1409/08</t>
        </is>
      </c>
      <c r="G2883" s="61" t="inlineStr">
        <is>
          <t>آبان</t>
        </is>
      </c>
      <c r="H2883" s="134" t="inlineStr">
        <is>
          <t>پاییز</t>
        </is>
      </c>
      <c r="I2883" s="134" t="inlineStr">
        <is>
          <t>یکشنبه</t>
        </is>
      </c>
      <c r="J2883" s="134" t="inlineStr">
        <is>
          <t>خیر</t>
        </is>
      </c>
    </row>
    <row r="2884">
      <c r="A2884" s="173" t="n">
        <v>47805</v>
      </c>
      <c r="B2884" s="174" t="n">
        <v>47805</v>
      </c>
      <c r="C2884" s="174" t="n">
        <v>1409</v>
      </c>
      <c r="D2884" s="174" t="n">
        <v>8</v>
      </c>
      <c r="E2884" s="175" t="inlineStr">
        <is>
          <t>1409/08/27</t>
        </is>
      </c>
      <c r="F2884" s="128" t="inlineStr">
        <is>
          <t>1409/08</t>
        </is>
      </c>
      <c r="G2884" s="58" t="inlineStr">
        <is>
          <t>آبان</t>
        </is>
      </c>
      <c r="H2884" s="128" t="inlineStr">
        <is>
          <t>پاییز</t>
        </is>
      </c>
      <c r="I2884" s="128" t="inlineStr">
        <is>
          <t>دوشنبه</t>
        </is>
      </c>
      <c r="J2884" s="128" t="inlineStr">
        <is>
          <t>بله</t>
        </is>
      </c>
    </row>
    <row r="2885">
      <c r="A2885" s="176" t="n">
        <v>47806</v>
      </c>
      <c r="B2885" s="177" t="n">
        <v>47806</v>
      </c>
      <c r="C2885" s="177" t="n">
        <v>1409</v>
      </c>
      <c r="D2885" s="177" t="n">
        <v>8</v>
      </c>
      <c r="E2885" s="178" t="inlineStr">
        <is>
          <t>1409/08/28</t>
        </is>
      </c>
      <c r="F2885" s="134" t="inlineStr">
        <is>
          <t>1409/08</t>
        </is>
      </c>
      <c r="G2885" s="61" t="inlineStr">
        <is>
          <t>آبان</t>
        </is>
      </c>
      <c r="H2885" s="134" t="inlineStr">
        <is>
          <t>پاییز</t>
        </is>
      </c>
      <c r="I2885" s="134" t="inlineStr">
        <is>
          <t>سه‌شنبه</t>
        </is>
      </c>
      <c r="J2885" s="134" t="inlineStr">
        <is>
          <t>بله</t>
        </is>
      </c>
    </row>
    <row r="2886">
      <c r="A2886" s="173" t="n">
        <v>47807</v>
      </c>
      <c r="B2886" s="174" t="n">
        <v>47807</v>
      </c>
      <c r="C2886" s="174" t="n">
        <v>1409</v>
      </c>
      <c r="D2886" s="174" t="n">
        <v>8</v>
      </c>
      <c r="E2886" s="175" t="inlineStr">
        <is>
          <t>1409/08/29</t>
        </is>
      </c>
      <c r="F2886" s="128" t="inlineStr">
        <is>
          <t>1409/08</t>
        </is>
      </c>
      <c r="G2886" s="58" t="inlineStr">
        <is>
          <t>آبان</t>
        </is>
      </c>
      <c r="H2886" s="128" t="inlineStr">
        <is>
          <t>پاییز</t>
        </is>
      </c>
      <c r="I2886" s="128" t="inlineStr">
        <is>
          <t>چهارشنبه</t>
        </is>
      </c>
      <c r="J2886" s="128" t="inlineStr">
        <is>
          <t>بله</t>
        </is>
      </c>
    </row>
    <row r="2887">
      <c r="A2887" s="176" t="n">
        <v>47808</v>
      </c>
      <c r="B2887" s="177" t="n">
        <v>47808</v>
      </c>
      <c r="C2887" s="177" t="n">
        <v>1409</v>
      </c>
      <c r="D2887" s="177" t="n">
        <v>8</v>
      </c>
      <c r="E2887" s="178" t="inlineStr">
        <is>
          <t>1409/08/30</t>
        </is>
      </c>
      <c r="F2887" s="134" t="inlineStr">
        <is>
          <t>1409/08</t>
        </is>
      </c>
      <c r="G2887" s="61" t="inlineStr">
        <is>
          <t>آبان</t>
        </is>
      </c>
      <c r="H2887" s="134" t="inlineStr">
        <is>
          <t>پاییز</t>
        </is>
      </c>
      <c r="I2887" s="134" t="inlineStr">
        <is>
          <t>پنجشنبه</t>
        </is>
      </c>
      <c r="J2887" s="134" t="inlineStr">
        <is>
          <t>بله</t>
        </is>
      </c>
    </row>
    <row r="2888">
      <c r="A2888" s="173" t="n">
        <v>47809</v>
      </c>
      <c r="B2888" s="174" t="n">
        <v>47809</v>
      </c>
      <c r="C2888" s="174" t="n">
        <v>1409</v>
      </c>
      <c r="D2888" s="174" t="n">
        <v>9</v>
      </c>
      <c r="E2888" s="175" t="inlineStr">
        <is>
          <t>1409/09/01</t>
        </is>
      </c>
      <c r="F2888" s="128" t="inlineStr">
        <is>
          <t>1409/09</t>
        </is>
      </c>
      <c r="G2888" s="58" t="inlineStr">
        <is>
          <t>آذر</t>
        </is>
      </c>
      <c r="H2888" s="128" t="inlineStr">
        <is>
          <t>پاییز</t>
        </is>
      </c>
      <c r="I2888" s="128" t="inlineStr">
        <is>
          <t>جمعه</t>
        </is>
      </c>
      <c r="J2888" s="128" t="inlineStr">
        <is>
          <t>بله</t>
        </is>
      </c>
    </row>
    <row r="2889">
      <c r="A2889" s="176" t="n">
        <v>47810</v>
      </c>
      <c r="B2889" s="177" t="n">
        <v>47810</v>
      </c>
      <c r="C2889" s="177" t="n">
        <v>1409</v>
      </c>
      <c r="D2889" s="177" t="n">
        <v>9</v>
      </c>
      <c r="E2889" s="178" t="inlineStr">
        <is>
          <t>1409/09/02</t>
        </is>
      </c>
      <c r="F2889" s="134" t="inlineStr">
        <is>
          <t>1409/09</t>
        </is>
      </c>
      <c r="G2889" s="61" t="inlineStr">
        <is>
          <t>آذر</t>
        </is>
      </c>
      <c r="H2889" s="134" t="inlineStr">
        <is>
          <t>پاییز</t>
        </is>
      </c>
      <c r="I2889" s="134" t="inlineStr">
        <is>
          <t>شنبه</t>
        </is>
      </c>
      <c r="J2889" s="134" t="inlineStr">
        <is>
          <t>خیر</t>
        </is>
      </c>
    </row>
    <row r="2890">
      <c r="A2890" s="173" t="n">
        <v>47811</v>
      </c>
      <c r="B2890" s="174" t="n">
        <v>47811</v>
      </c>
      <c r="C2890" s="174" t="n">
        <v>1409</v>
      </c>
      <c r="D2890" s="174" t="n">
        <v>9</v>
      </c>
      <c r="E2890" s="175" t="inlineStr">
        <is>
          <t>1409/09/03</t>
        </is>
      </c>
      <c r="F2890" s="128" t="inlineStr">
        <is>
          <t>1409/09</t>
        </is>
      </c>
      <c r="G2890" s="58" t="inlineStr">
        <is>
          <t>آذر</t>
        </is>
      </c>
      <c r="H2890" s="128" t="inlineStr">
        <is>
          <t>پاییز</t>
        </is>
      </c>
      <c r="I2890" s="128" t="inlineStr">
        <is>
          <t>یکشنبه</t>
        </is>
      </c>
      <c r="J2890" s="128" t="inlineStr">
        <is>
          <t>خیر</t>
        </is>
      </c>
    </row>
    <row r="2891">
      <c r="A2891" s="176" t="n">
        <v>47812</v>
      </c>
      <c r="B2891" s="177" t="n">
        <v>47812</v>
      </c>
      <c r="C2891" s="177" t="n">
        <v>1409</v>
      </c>
      <c r="D2891" s="177" t="n">
        <v>9</v>
      </c>
      <c r="E2891" s="178" t="inlineStr">
        <is>
          <t>1409/09/04</t>
        </is>
      </c>
      <c r="F2891" s="134" t="inlineStr">
        <is>
          <t>1409/09</t>
        </is>
      </c>
      <c r="G2891" s="61" t="inlineStr">
        <is>
          <t>آذر</t>
        </is>
      </c>
      <c r="H2891" s="134" t="inlineStr">
        <is>
          <t>پاییز</t>
        </is>
      </c>
      <c r="I2891" s="134" t="inlineStr">
        <is>
          <t>دوشنبه</t>
        </is>
      </c>
      <c r="J2891" s="134" t="inlineStr">
        <is>
          <t>بله</t>
        </is>
      </c>
    </row>
    <row r="2892">
      <c r="A2892" s="173" t="n">
        <v>47813</v>
      </c>
      <c r="B2892" s="174" t="n">
        <v>47813</v>
      </c>
      <c r="C2892" s="174" t="n">
        <v>1409</v>
      </c>
      <c r="D2892" s="174" t="n">
        <v>9</v>
      </c>
      <c r="E2892" s="175" t="inlineStr">
        <is>
          <t>1409/09/05</t>
        </is>
      </c>
      <c r="F2892" s="128" t="inlineStr">
        <is>
          <t>1409/09</t>
        </is>
      </c>
      <c r="G2892" s="58" t="inlineStr">
        <is>
          <t>آذر</t>
        </is>
      </c>
      <c r="H2892" s="128" t="inlineStr">
        <is>
          <t>پاییز</t>
        </is>
      </c>
      <c r="I2892" s="128" t="inlineStr">
        <is>
          <t>سه‌شنبه</t>
        </is>
      </c>
      <c r="J2892" s="128" t="inlineStr">
        <is>
          <t>بله</t>
        </is>
      </c>
    </row>
    <row r="2893">
      <c r="A2893" s="176" t="n">
        <v>47814</v>
      </c>
      <c r="B2893" s="177" t="n">
        <v>47814</v>
      </c>
      <c r="C2893" s="177" t="n">
        <v>1409</v>
      </c>
      <c r="D2893" s="177" t="n">
        <v>9</v>
      </c>
      <c r="E2893" s="178" t="inlineStr">
        <is>
          <t>1409/09/06</t>
        </is>
      </c>
      <c r="F2893" s="134" t="inlineStr">
        <is>
          <t>1409/09</t>
        </is>
      </c>
      <c r="G2893" s="61" t="inlineStr">
        <is>
          <t>آذر</t>
        </is>
      </c>
      <c r="H2893" s="134" t="inlineStr">
        <is>
          <t>پاییز</t>
        </is>
      </c>
      <c r="I2893" s="134" t="inlineStr">
        <is>
          <t>چهارشنبه</t>
        </is>
      </c>
      <c r="J2893" s="134" t="inlineStr">
        <is>
          <t>بله</t>
        </is>
      </c>
    </row>
    <row r="2894">
      <c r="A2894" s="173" t="n">
        <v>47815</v>
      </c>
      <c r="B2894" s="174" t="n">
        <v>47815</v>
      </c>
      <c r="C2894" s="174" t="n">
        <v>1409</v>
      </c>
      <c r="D2894" s="174" t="n">
        <v>9</v>
      </c>
      <c r="E2894" s="175" t="inlineStr">
        <is>
          <t>1409/09/07</t>
        </is>
      </c>
      <c r="F2894" s="128" t="inlineStr">
        <is>
          <t>1409/09</t>
        </is>
      </c>
      <c r="G2894" s="58" t="inlineStr">
        <is>
          <t>آذر</t>
        </is>
      </c>
      <c r="H2894" s="128" t="inlineStr">
        <is>
          <t>پاییز</t>
        </is>
      </c>
      <c r="I2894" s="128" t="inlineStr">
        <is>
          <t>پنجشنبه</t>
        </is>
      </c>
      <c r="J2894" s="128" t="inlineStr">
        <is>
          <t>بله</t>
        </is>
      </c>
    </row>
    <row r="2895">
      <c r="A2895" s="176" t="n">
        <v>47816</v>
      </c>
      <c r="B2895" s="177" t="n">
        <v>47816</v>
      </c>
      <c r="C2895" s="177" t="n">
        <v>1409</v>
      </c>
      <c r="D2895" s="177" t="n">
        <v>9</v>
      </c>
      <c r="E2895" s="178" t="inlineStr">
        <is>
          <t>1409/09/08</t>
        </is>
      </c>
      <c r="F2895" s="134" t="inlineStr">
        <is>
          <t>1409/09</t>
        </is>
      </c>
      <c r="G2895" s="61" t="inlineStr">
        <is>
          <t>آذر</t>
        </is>
      </c>
      <c r="H2895" s="134" t="inlineStr">
        <is>
          <t>پاییز</t>
        </is>
      </c>
      <c r="I2895" s="134" t="inlineStr">
        <is>
          <t>جمعه</t>
        </is>
      </c>
      <c r="J2895" s="134" t="inlineStr">
        <is>
          <t>بله</t>
        </is>
      </c>
    </row>
    <row r="2896">
      <c r="A2896" s="173" t="n">
        <v>47817</v>
      </c>
      <c r="B2896" s="174" t="n">
        <v>47817</v>
      </c>
      <c r="C2896" s="174" t="n">
        <v>1409</v>
      </c>
      <c r="D2896" s="174" t="n">
        <v>9</v>
      </c>
      <c r="E2896" s="175" t="inlineStr">
        <is>
          <t>1409/09/09</t>
        </is>
      </c>
      <c r="F2896" s="128" t="inlineStr">
        <is>
          <t>1409/09</t>
        </is>
      </c>
      <c r="G2896" s="58" t="inlineStr">
        <is>
          <t>آذر</t>
        </is>
      </c>
      <c r="H2896" s="128" t="inlineStr">
        <is>
          <t>پاییز</t>
        </is>
      </c>
      <c r="I2896" s="128" t="inlineStr">
        <is>
          <t>شنبه</t>
        </is>
      </c>
      <c r="J2896" s="128" t="inlineStr">
        <is>
          <t>خیر</t>
        </is>
      </c>
    </row>
    <row r="2897">
      <c r="A2897" s="176" t="n">
        <v>47818</v>
      </c>
      <c r="B2897" s="177" t="n">
        <v>47818</v>
      </c>
      <c r="C2897" s="177" t="n">
        <v>1409</v>
      </c>
      <c r="D2897" s="177" t="n">
        <v>9</v>
      </c>
      <c r="E2897" s="178" t="inlineStr">
        <is>
          <t>1409/09/10</t>
        </is>
      </c>
      <c r="F2897" s="134" t="inlineStr">
        <is>
          <t>1409/09</t>
        </is>
      </c>
      <c r="G2897" s="61" t="inlineStr">
        <is>
          <t>آذر</t>
        </is>
      </c>
      <c r="H2897" s="134" t="inlineStr">
        <is>
          <t>پاییز</t>
        </is>
      </c>
      <c r="I2897" s="134" t="inlineStr">
        <is>
          <t>یکشنبه</t>
        </is>
      </c>
      <c r="J2897" s="134" t="inlineStr">
        <is>
          <t>خیر</t>
        </is>
      </c>
    </row>
    <row r="2898">
      <c r="A2898" s="173" t="n">
        <v>47819</v>
      </c>
      <c r="B2898" s="174" t="n">
        <v>47819</v>
      </c>
      <c r="C2898" s="174" t="n">
        <v>1409</v>
      </c>
      <c r="D2898" s="174" t="n">
        <v>9</v>
      </c>
      <c r="E2898" s="175" t="inlineStr">
        <is>
          <t>1409/09/11</t>
        </is>
      </c>
      <c r="F2898" s="128" t="inlineStr">
        <is>
          <t>1409/09</t>
        </is>
      </c>
      <c r="G2898" s="58" t="inlineStr">
        <is>
          <t>آذر</t>
        </is>
      </c>
      <c r="H2898" s="128" t="inlineStr">
        <is>
          <t>پاییز</t>
        </is>
      </c>
      <c r="I2898" s="128" t="inlineStr">
        <is>
          <t>دوشنبه</t>
        </is>
      </c>
      <c r="J2898" s="128" t="inlineStr">
        <is>
          <t>بله</t>
        </is>
      </c>
    </row>
    <row r="2899">
      <c r="A2899" s="176" t="n">
        <v>47820</v>
      </c>
      <c r="B2899" s="177" t="n">
        <v>47820</v>
      </c>
      <c r="C2899" s="177" t="n">
        <v>1409</v>
      </c>
      <c r="D2899" s="177" t="n">
        <v>9</v>
      </c>
      <c r="E2899" s="178" t="inlineStr">
        <is>
          <t>1409/09/12</t>
        </is>
      </c>
      <c r="F2899" s="134" t="inlineStr">
        <is>
          <t>1409/09</t>
        </is>
      </c>
      <c r="G2899" s="61" t="inlineStr">
        <is>
          <t>آذر</t>
        </is>
      </c>
      <c r="H2899" s="134" t="inlineStr">
        <is>
          <t>پاییز</t>
        </is>
      </c>
      <c r="I2899" s="134" t="inlineStr">
        <is>
          <t>سه‌شنبه</t>
        </is>
      </c>
      <c r="J2899" s="134" t="inlineStr">
        <is>
          <t>بله</t>
        </is>
      </c>
    </row>
    <row r="2900">
      <c r="A2900" s="173" t="n">
        <v>47821</v>
      </c>
      <c r="B2900" s="174" t="n">
        <v>47821</v>
      </c>
      <c r="C2900" s="174" t="n">
        <v>1409</v>
      </c>
      <c r="D2900" s="174" t="n">
        <v>9</v>
      </c>
      <c r="E2900" s="175" t="inlineStr">
        <is>
          <t>1409/09/13</t>
        </is>
      </c>
      <c r="F2900" s="128" t="inlineStr">
        <is>
          <t>1409/09</t>
        </is>
      </c>
      <c r="G2900" s="58" t="inlineStr">
        <is>
          <t>آذر</t>
        </is>
      </c>
      <c r="H2900" s="128" t="inlineStr">
        <is>
          <t>پاییز</t>
        </is>
      </c>
      <c r="I2900" s="128" t="inlineStr">
        <is>
          <t>چهارشنبه</t>
        </is>
      </c>
      <c r="J2900" s="128" t="inlineStr">
        <is>
          <t>بله</t>
        </is>
      </c>
    </row>
    <row r="2901">
      <c r="A2901" s="176" t="n">
        <v>47822</v>
      </c>
      <c r="B2901" s="177" t="n">
        <v>47822</v>
      </c>
      <c r="C2901" s="177" t="n">
        <v>1409</v>
      </c>
      <c r="D2901" s="177" t="n">
        <v>9</v>
      </c>
      <c r="E2901" s="178" t="inlineStr">
        <is>
          <t>1409/09/14</t>
        </is>
      </c>
      <c r="F2901" s="134" t="inlineStr">
        <is>
          <t>1409/09</t>
        </is>
      </c>
      <c r="G2901" s="61" t="inlineStr">
        <is>
          <t>آذر</t>
        </is>
      </c>
      <c r="H2901" s="134" t="inlineStr">
        <is>
          <t>پاییز</t>
        </is>
      </c>
      <c r="I2901" s="134" t="inlineStr">
        <is>
          <t>پنجشنبه</t>
        </is>
      </c>
      <c r="J2901" s="134" t="inlineStr">
        <is>
          <t>بله</t>
        </is>
      </c>
    </row>
    <row r="2902">
      <c r="A2902" s="173" t="n">
        <v>47823</v>
      </c>
      <c r="B2902" s="174" t="n">
        <v>47823</v>
      </c>
      <c r="C2902" s="174" t="n">
        <v>1409</v>
      </c>
      <c r="D2902" s="174" t="n">
        <v>9</v>
      </c>
      <c r="E2902" s="175" t="inlineStr">
        <is>
          <t>1409/09/15</t>
        </is>
      </c>
      <c r="F2902" s="128" t="inlineStr">
        <is>
          <t>1409/09</t>
        </is>
      </c>
      <c r="G2902" s="58" t="inlineStr">
        <is>
          <t>آذر</t>
        </is>
      </c>
      <c r="H2902" s="128" t="inlineStr">
        <is>
          <t>پاییز</t>
        </is>
      </c>
      <c r="I2902" s="128" t="inlineStr">
        <is>
          <t>جمعه</t>
        </is>
      </c>
      <c r="J2902" s="128" t="inlineStr">
        <is>
          <t>بله</t>
        </is>
      </c>
    </row>
    <row r="2903">
      <c r="A2903" s="176" t="n">
        <v>47824</v>
      </c>
      <c r="B2903" s="177" t="n">
        <v>47824</v>
      </c>
      <c r="C2903" s="177" t="n">
        <v>1409</v>
      </c>
      <c r="D2903" s="177" t="n">
        <v>9</v>
      </c>
      <c r="E2903" s="178" t="inlineStr">
        <is>
          <t>1409/09/16</t>
        </is>
      </c>
      <c r="F2903" s="134" t="inlineStr">
        <is>
          <t>1409/09</t>
        </is>
      </c>
      <c r="G2903" s="61" t="inlineStr">
        <is>
          <t>آذر</t>
        </is>
      </c>
      <c r="H2903" s="134" t="inlineStr">
        <is>
          <t>پاییز</t>
        </is>
      </c>
      <c r="I2903" s="134" t="inlineStr">
        <is>
          <t>شنبه</t>
        </is>
      </c>
      <c r="J2903" s="134" t="inlineStr">
        <is>
          <t>خیر</t>
        </is>
      </c>
    </row>
    <row r="2904">
      <c r="A2904" s="173" t="n">
        <v>47825</v>
      </c>
      <c r="B2904" s="174" t="n">
        <v>47825</v>
      </c>
      <c r="C2904" s="174" t="n">
        <v>1409</v>
      </c>
      <c r="D2904" s="174" t="n">
        <v>9</v>
      </c>
      <c r="E2904" s="175" t="inlineStr">
        <is>
          <t>1409/09/17</t>
        </is>
      </c>
      <c r="F2904" s="128" t="inlineStr">
        <is>
          <t>1409/09</t>
        </is>
      </c>
      <c r="G2904" s="58" t="inlineStr">
        <is>
          <t>آذر</t>
        </is>
      </c>
      <c r="H2904" s="128" t="inlineStr">
        <is>
          <t>پاییز</t>
        </is>
      </c>
      <c r="I2904" s="128" t="inlineStr">
        <is>
          <t>یکشنبه</t>
        </is>
      </c>
      <c r="J2904" s="128" t="inlineStr">
        <is>
          <t>خیر</t>
        </is>
      </c>
    </row>
    <row r="2905">
      <c r="A2905" s="176" t="n">
        <v>47826</v>
      </c>
      <c r="B2905" s="177" t="n">
        <v>47826</v>
      </c>
      <c r="C2905" s="177" t="n">
        <v>1409</v>
      </c>
      <c r="D2905" s="177" t="n">
        <v>9</v>
      </c>
      <c r="E2905" s="178" t="inlineStr">
        <is>
          <t>1409/09/18</t>
        </is>
      </c>
      <c r="F2905" s="134" t="inlineStr">
        <is>
          <t>1409/09</t>
        </is>
      </c>
      <c r="G2905" s="61" t="inlineStr">
        <is>
          <t>آذر</t>
        </is>
      </c>
      <c r="H2905" s="134" t="inlineStr">
        <is>
          <t>پاییز</t>
        </is>
      </c>
      <c r="I2905" s="134" t="inlineStr">
        <is>
          <t>دوشنبه</t>
        </is>
      </c>
      <c r="J2905" s="134" t="inlineStr">
        <is>
          <t>بله</t>
        </is>
      </c>
    </row>
    <row r="2906">
      <c r="A2906" s="173" t="n">
        <v>47827</v>
      </c>
      <c r="B2906" s="174" t="n">
        <v>47827</v>
      </c>
      <c r="C2906" s="174" t="n">
        <v>1409</v>
      </c>
      <c r="D2906" s="174" t="n">
        <v>9</v>
      </c>
      <c r="E2906" s="175" t="inlineStr">
        <is>
          <t>1409/09/19</t>
        </is>
      </c>
      <c r="F2906" s="128" t="inlineStr">
        <is>
          <t>1409/09</t>
        </is>
      </c>
      <c r="G2906" s="58" t="inlineStr">
        <is>
          <t>آذر</t>
        </is>
      </c>
      <c r="H2906" s="128" t="inlineStr">
        <is>
          <t>پاییز</t>
        </is>
      </c>
      <c r="I2906" s="128" t="inlineStr">
        <is>
          <t>سه‌شنبه</t>
        </is>
      </c>
      <c r="J2906" s="128" t="inlineStr">
        <is>
          <t>بله</t>
        </is>
      </c>
    </row>
    <row r="2907">
      <c r="A2907" s="176" t="n">
        <v>47828</v>
      </c>
      <c r="B2907" s="177" t="n">
        <v>47828</v>
      </c>
      <c r="C2907" s="177" t="n">
        <v>1409</v>
      </c>
      <c r="D2907" s="177" t="n">
        <v>9</v>
      </c>
      <c r="E2907" s="178" t="inlineStr">
        <is>
          <t>1409/09/20</t>
        </is>
      </c>
      <c r="F2907" s="134" t="inlineStr">
        <is>
          <t>1409/09</t>
        </is>
      </c>
      <c r="G2907" s="61" t="inlineStr">
        <is>
          <t>آذر</t>
        </is>
      </c>
      <c r="H2907" s="134" t="inlineStr">
        <is>
          <t>پاییز</t>
        </is>
      </c>
      <c r="I2907" s="134" t="inlineStr">
        <is>
          <t>چهارشنبه</t>
        </is>
      </c>
      <c r="J2907" s="134" t="inlineStr">
        <is>
          <t>بله</t>
        </is>
      </c>
    </row>
    <row r="2908">
      <c r="A2908" s="173" t="n">
        <v>47829</v>
      </c>
      <c r="B2908" s="174" t="n">
        <v>47829</v>
      </c>
      <c r="C2908" s="174" t="n">
        <v>1409</v>
      </c>
      <c r="D2908" s="174" t="n">
        <v>9</v>
      </c>
      <c r="E2908" s="175" t="inlineStr">
        <is>
          <t>1409/09/21</t>
        </is>
      </c>
      <c r="F2908" s="128" t="inlineStr">
        <is>
          <t>1409/09</t>
        </is>
      </c>
      <c r="G2908" s="58" t="inlineStr">
        <is>
          <t>آذر</t>
        </is>
      </c>
      <c r="H2908" s="128" t="inlineStr">
        <is>
          <t>پاییز</t>
        </is>
      </c>
      <c r="I2908" s="128" t="inlineStr">
        <is>
          <t>پنجشنبه</t>
        </is>
      </c>
      <c r="J2908" s="128" t="inlineStr">
        <is>
          <t>بله</t>
        </is>
      </c>
    </row>
    <row r="2909">
      <c r="A2909" s="176" t="n">
        <v>47830</v>
      </c>
      <c r="B2909" s="177" t="n">
        <v>47830</v>
      </c>
      <c r="C2909" s="177" t="n">
        <v>1409</v>
      </c>
      <c r="D2909" s="177" t="n">
        <v>9</v>
      </c>
      <c r="E2909" s="178" t="inlineStr">
        <is>
          <t>1409/09/22</t>
        </is>
      </c>
      <c r="F2909" s="134" t="inlineStr">
        <is>
          <t>1409/09</t>
        </is>
      </c>
      <c r="G2909" s="61" t="inlineStr">
        <is>
          <t>آذر</t>
        </is>
      </c>
      <c r="H2909" s="134" t="inlineStr">
        <is>
          <t>پاییز</t>
        </is>
      </c>
      <c r="I2909" s="134" t="inlineStr">
        <is>
          <t>جمعه</t>
        </is>
      </c>
      <c r="J2909" s="134" t="inlineStr">
        <is>
          <t>بله</t>
        </is>
      </c>
    </row>
    <row r="2910">
      <c r="A2910" s="173" t="n">
        <v>47831</v>
      </c>
      <c r="B2910" s="174" t="n">
        <v>47831</v>
      </c>
      <c r="C2910" s="174" t="n">
        <v>1409</v>
      </c>
      <c r="D2910" s="174" t="n">
        <v>9</v>
      </c>
      <c r="E2910" s="175" t="inlineStr">
        <is>
          <t>1409/09/23</t>
        </is>
      </c>
      <c r="F2910" s="128" t="inlineStr">
        <is>
          <t>1409/09</t>
        </is>
      </c>
      <c r="G2910" s="58" t="inlineStr">
        <is>
          <t>آذر</t>
        </is>
      </c>
      <c r="H2910" s="128" t="inlineStr">
        <is>
          <t>پاییز</t>
        </is>
      </c>
      <c r="I2910" s="128" t="inlineStr">
        <is>
          <t>شنبه</t>
        </is>
      </c>
      <c r="J2910" s="128" t="inlineStr">
        <is>
          <t>خیر</t>
        </is>
      </c>
    </row>
    <row r="2911">
      <c r="A2911" s="176" t="n">
        <v>47832</v>
      </c>
      <c r="B2911" s="177" t="n">
        <v>47832</v>
      </c>
      <c r="C2911" s="177" t="n">
        <v>1409</v>
      </c>
      <c r="D2911" s="177" t="n">
        <v>9</v>
      </c>
      <c r="E2911" s="178" t="inlineStr">
        <is>
          <t>1409/09/24</t>
        </is>
      </c>
      <c r="F2911" s="134" t="inlineStr">
        <is>
          <t>1409/09</t>
        </is>
      </c>
      <c r="G2911" s="61" t="inlineStr">
        <is>
          <t>آذر</t>
        </is>
      </c>
      <c r="H2911" s="134" t="inlineStr">
        <is>
          <t>پاییز</t>
        </is>
      </c>
      <c r="I2911" s="134" t="inlineStr">
        <is>
          <t>یکشنبه</t>
        </is>
      </c>
      <c r="J2911" s="134" t="inlineStr">
        <is>
          <t>خیر</t>
        </is>
      </c>
    </row>
    <row r="2912">
      <c r="A2912" s="173" t="n">
        <v>47833</v>
      </c>
      <c r="B2912" s="174" t="n">
        <v>47833</v>
      </c>
      <c r="C2912" s="174" t="n">
        <v>1409</v>
      </c>
      <c r="D2912" s="174" t="n">
        <v>9</v>
      </c>
      <c r="E2912" s="175" t="inlineStr">
        <is>
          <t>1409/09/25</t>
        </is>
      </c>
      <c r="F2912" s="128" t="inlineStr">
        <is>
          <t>1409/09</t>
        </is>
      </c>
      <c r="G2912" s="58" t="inlineStr">
        <is>
          <t>آذر</t>
        </is>
      </c>
      <c r="H2912" s="128" t="inlineStr">
        <is>
          <t>پاییز</t>
        </is>
      </c>
      <c r="I2912" s="128" t="inlineStr">
        <is>
          <t>دوشنبه</t>
        </is>
      </c>
      <c r="J2912" s="128" t="inlineStr">
        <is>
          <t>بله</t>
        </is>
      </c>
    </row>
    <row r="2913">
      <c r="A2913" s="176" t="n">
        <v>47834</v>
      </c>
      <c r="B2913" s="177" t="n">
        <v>47834</v>
      </c>
      <c r="C2913" s="177" t="n">
        <v>1409</v>
      </c>
      <c r="D2913" s="177" t="n">
        <v>9</v>
      </c>
      <c r="E2913" s="178" t="inlineStr">
        <is>
          <t>1409/09/26</t>
        </is>
      </c>
      <c r="F2913" s="134" t="inlineStr">
        <is>
          <t>1409/09</t>
        </is>
      </c>
      <c r="G2913" s="61" t="inlineStr">
        <is>
          <t>آذر</t>
        </is>
      </c>
      <c r="H2913" s="134" t="inlineStr">
        <is>
          <t>پاییز</t>
        </is>
      </c>
      <c r="I2913" s="134" t="inlineStr">
        <is>
          <t>سه‌شنبه</t>
        </is>
      </c>
      <c r="J2913" s="134" t="inlineStr">
        <is>
          <t>بله</t>
        </is>
      </c>
    </row>
    <row r="2914">
      <c r="A2914" s="173" t="n">
        <v>47835</v>
      </c>
      <c r="B2914" s="174" t="n">
        <v>47835</v>
      </c>
      <c r="C2914" s="174" t="n">
        <v>1409</v>
      </c>
      <c r="D2914" s="174" t="n">
        <v>9</v>
      </c>
      <c r="E2914" s="175" t="inlineStr">
        <is>
          <t>1409/09/27</t>
        </is>
      </c>
      <c r="F2914" s="128" t="inlineStr">
        <is>
          <t>1409/09</t>
        </is>
      </c>
      <c r="G2914" s="58" t="inlineStr">
        <is>
          <t>آذر</t>
        </is>
      </c>
      <c r="H2914" s="128" t="inlineStr">
        <is>
          <t>پاییز</t>
        </is>
      </c>
      <c r="I2914" s="128" t="inlineStr">
        <is>
          <t>چهارشنبه</t>
        </is>
      </c>
      <c r="J2914" s="128" t="inlineStr">
        <is>
          <t>بله</t>
        </is>
      </c>
    </row>
    <row r="2915">
      <c r="A2915" s="176" t="n">
        <v>47836</v>
      </c>
      <c r="B2915" s="177" t="n">
        <v>47836</v>
      </c>
      <c r="C2915" s="177" t="n">
        <v>1409</v>
      </c>
      <c r="D2915" s="177" t="n">
        <v>9</v>
      </c>
      <c r="E2915" s="178" t="inlineStr">
        <is>
          <t>1409/09/28</t>
        </is>
      </c>
      <c r="F2915" s="134" t="inlineStr">
        <is>
          <t>1409/09</t>
        </is>
      </c>
      <c r="G2915" s="61" t="inlineStr">
        <is>
          <t>آذر</t>
        </is>
      </c>
      <c r="H2915" s="134" t="inlineStr">
        <is>
          <t>پاییز</t>
        </is>
      </c>
      <c r="I2915" s="134" t="inlineStr">
        <is>
          <t>پنجشنبه</t>
        </is>
      </c>
      <c r="J2915" s="134" t="inlineStr">
        <is>
          <t>بله</t>
        </is>
      </c>
    </row>
    <row r="2916">
      <c r="A2916" s="173" t="n">
        <v>47837</v>
      </c>
      <c r="B2916" s="174" t="n">
        <v>47837</v>
      </c>
      <c r="C2916" s="174" t="n">
        <v>1409</v>
      </c>
      <c r="D2916" s="174" t="n">
        <v>9</v>
      </c>
      <c r="E2916" s="175" t="inlineStr">
        <is>
          <t>1409/09/29</t>
        </is>
      </c>
      <c r="F2916" s="128" t="inlineStr">
        <is>
          <t>1409/09</t>
        </is>
      </c>
      <c r="G2916" s="58" t="inlineStr">
        <is>
          <t>آذر</t>
        </is>
      </c>
      <c r="H2916" s="128" t="inlineStr">
        <is>
          <t>پاییز</t>
        </is>
      </c>
      <c r="I2916" s="128" t="inlineStr">
        <is>
          <t>جمعه</t>
        </is>
      </c>
      <c r="J2916" s="128" t="inlineStr">
        <is>
          <t>بله</t>
        </is>
      </c>
    </row>
    <row r="2917">
      <c r="A2917" s="176" t="n">
        <v>47838</v>
      </c>
      <c r="B2917" s="177" t="n">
        <v>47838</v>
      </c>
      <c r="C2917" s="177" t="n">
        <v>1409</v>
      </c>
      <c r="D2917" s="177" t="n">
        <v>9</v>
      </c>
      <c r="E2917" s="178" t="inlineStr">
        <is>
          <t>1409/09/30</t>
        </is>
      </c>
      <c r="F2917" s="134" t="inlineStr">
        <is>
          <t>1409/09</t>
        </is>
      </c>
      <c r="G2917" s="61" t="inlineStr">
        <is>
          <t>آذر</t>
        </is>
      </c>
      <c r="H2917" s="134" t="inlineStr">
        <is>
          <t>پاییز</t>
        </is>
      </c>
      <c r="I2917" s="134" t="inlineStr">
        <is>
          <t>شنبه</t>
        </is>
      </c>
      <c r="J2917" s="134" t="inlineStr">
        <is>
          <t>خیر</t>
        </is>
      </c>
    </row>
    <row r="2918">
      <c r="A2918" s="173" t="n">
        <v>47839</v>
      </c>
      <c r="B2918" s="174" t="n">
        <v>47839</v>
      </c>
      <c r="C2918" s="174" t="n">
        <v>1409</v>
      </c>
      <c r="D2918" s="174" t="n">
        <v>10</v>
      </c>
      <c r="E2918" s="175" t="inlineStr">
        <is>
          <t>1409/10/01</t>
        </is>
      </c>
      <c r="F2918" s="128" t="inlineStr">
        <is>
          <t>1409/10</t>
        </is>
      </c>
      <c r="G2918" s="58" t="inlineStr">
        <is>
          <t>دی</t>
        </is>
      </c>
      <c r="H2918" s="128" t="inlineStr">
        <is>
          <t>زمستان</t>
        </is>
      </c>
      <c r="I2918" s="128" t="inlineStr">
        <is>
          <t>یکشنبه</t>
        </is>
      </c>
      <c r="J2918" s="128" t="inlineStr">
        <is>
          <t>خیر</t>
        </is>
      </c>
    </row>
    <row r="2919">
      <c r="A2919" s="176" t="n">
        <v>47840</v>
      </c>
      <c r="B2919" s="177" t="n">
        <v>47840</v>
      </c>
      <c r="C2919" s="177" t="n">
        <v>1409</v>
      </c>
      <c r="D2919" s="177" t="n">
        <v>10</v>
      </c>
      <c r="E2919" s="178" t="inlineStr">
        <is>
          <t>1409/10/02</t>
        </is>
      </c>
      <c r="F2919" s="134" t="inlineStr">
        <is>
          <t>1409/10</t>
        </is>
      </c>
      <c r="G2919" s="61" t="inlineStr">
        <is>
          <t>دی</t>
        </is>
      </c>
      <c r="H2919" s="134" t="inlineStr">
        <is>
          <t>زمستان</t>
        </is>
      </c>
      <c r="I2919" s="134" t="inlineStr">
        <is>
          <t>دوشنبه</t>
        </is>
      </c>
      <c r="J2919" s="134" t="inlineStr">
        <is>
          <t>بله</t>
        </is>
      </c>
    </row>
    <row r="2920">
      <c r="A2920" s="173" t="n">
        <v>47841</v>
      </c>
      <c r="B2920" s="174" t="n">
        <v>47841</v>
      </c>
      <c r="C2920" s="174" t="n">
        <v>1409</v>
      </c>
      <c r="D2920" s="174" t="n">
        <v>10</v>
      </c>
      <c r="E2920" s="175" t="inlineStr">
        <is>
          <t>1409/10/03</t>
        </is>
      </c>
      <c r="F2920" s="128" t="inlineStr">
        <is>
          <t>1409/10</t>
        </is>
      </c>
      <c r="G2920" s="58" t="inlineStr">
        <is>
          <t>دی</t>
        </is>
      </c>
      <c r="H2920" s="128" t="inlineStr">
        <is>
          <t>زمستان</t>
        </is>
      </c>
      <c r="I2920" s="128" t="inlineStr">
        <is>
          <t>سه‌شنبه</t>
        </is>
      </c>
      <c r="J2920" s="128" t="inlineStr">
        <is>
          <t>بله</t>
        </is>
      </c>
    </row>
    <row r="2921">
      <c r="A2921" s="176" t="n">
        <v>47842</v>
      </c>
      <c r="B2921" s="177" t="n">
        <v>47842</v>
      </c>
      <c r="C2921" s="177" t="n">
        <v>1409</v>
      </c>
      <c r="D2921" s="177" t="n">
        <v>10</v>
      </c>
      <c r="E2921" s="178" t="inlineStr">
        <is>
          <t>1409/10/04</t>
        </is>
      </c>
      <c r="F2921" s="134" t="inlineStr">
        <is>
          <t>1409/10</t>
        </is>
      </c>
      <c r="G2921" s="61" t="inlineStr">
        <is>
          <t>دی</t>
        </is>
      </c>
      <c r="H2921" s="134" t="inlineStr">
        <is>
          <t>زمستان</t>
        </is>
      </c>
      <c r="I2921" s="134" t="inlineStr">
        <is>
          <t>چهارشنبه</t>
        </is>
      </c>
      <c r="J2921" s="134" t="inlineStr">
        <is>
          <t>بله</t>
        </is>
      </c>
    </row>
    <row r="2922">
      <c r="A2922" s="173" t="n">
        <v>47843</v>
      </c>
      <c r="B2922" s="174" t="n">
        <v>47843</v>
      </c>
      <c r="C2922" s="174" t="n">
        <v>1409</v>
      </c>
      <c r="D2922" s="174" t="n">
        <v>10</v>
      </c>
      <c r="E2922" s="175" t="inlineStr">
        <is>
          <t>1409/10/05</t>
        </is>
      </c>
      <c r="F2922" s="128" t="inlineStr">
        <is>
          <t>1409/10</t>
        </is>
      </c>
      <c r="G2922" s="58" t="inlineStr">
        <is>
          <t>دی</t>
        </is>
      </c>
      <c r="H2922" s="128" t="inlineStr">
        <is>
          <t>زمستان</t>
        </is>
      </c>
      <c r="I2922" s="128" t="inlineStr">
        <is>
          <t>پنجشنبه</t>
        </is>
      </c>
      <c r="J2922" s="128" t="inlineStr">
        <is>
          <t>بله</t>
        </is>
      </c>
    </row>
    <row r="2923">
      <c r="A2923" s="176" t="n">
        <v>47844</v>
      </c>
      <c r="B2923" s="177" t="n">
        <v>47844</v>
      </c>
      <c r="C2923" s="177" t="n">
        <v>1409</v>
      </c>
      <c r="D2923" s="177" t="n">
        <v>10</v>
      </c>
      <c r="E2923" s="178" t="inlineStr">
        <is>
          <t>1409/10/06</t>
        </is>
      </c>
      <c r="F2923" s="134" t="inlineStr">
        <is>
          <t>1409/10</t>
        </is>
      </c>
      <c r="G2923" s="61" t="inlineStr">
        <is>
          <t>دی</t>
        </is>
      </c>
      <c r="H2923" s="134" t="inlineStr">
        <is>
          <t>زمستان</t>
        </is>
      </c>
      <c r="I2923" s="134" t="inlineStr">
        <is>
          <t>جمعه</t>
        </is>
      </c>
      <c r="J2923" s="134" t="inlineStr">
        <is>
          <t>بله</t>
        </is>
      </c>
    </row>
    <row r="2924">
      <c r="A2924" s="173" t="n">
        <v>47845</v>
      </c>
      <c r="B2924" s="174" t="n">
        <v>47845</v>
      </c>
      <c r="C2924" s="174" t="n">
        <v>1409</v>
      </c>
      <c r="D2924" s="174" t="n">
        <v>10</v>
      </c>
      <c r="E2924" s="175" t="inlineStr">
        <is>
          <t>1409/10/07</t>
        </is>
      </c>
      <c r="F2924" s="128" t="inlineStr">
        <is>
          <t>1409/10</t>
        </is>
      </c>
      <c r="G2924" s="58" t="inlineStr">
        <is>
          <t>دی</t>
        </is>
      </c>
      <c r="H2924" s="128" t="inlineStr">
        <is>
          <t>زمستان</t>
        </is>
      </c>
      <c r="I2924" s="128" t="inlineStr">
        <is>
          <t>شنبه</t>
        </is>
      </c>
      <c r="J2924" s="128" t="inlineStr">
        <is>
          <t>خیر</t>
        </is>
      </c>
    </row>
    <row r="2925">
      <c r="A2925" s="176" t="n">
        <v>47846</v>
      </c>
      <c r="B2925" s="177" t="n">
        <v>47846</v>
      </c>
      <c r="C2925" s="177" t="n">
        <v>1409</v>
      </c>
      <c r="D2925" s="177" t="n">
        <v>10</v>
      </c>
      <c r="E2925" s="178" t="inlineStr">
        <is>
          <t>1409/10/08</t>
        </is>
      </c>
      <c r="F2925" s="134" t="inlineStr">
        <is>
          <t>1409/10</t>
        </is>
      </c>
      <c r="G2925" s="61" t="inlineStr">
        <is>
          <t>دی</t>
        </is>
      </c>
      <c r="H2925" s="134" t="inlineStr">
        <is>
          <t>زمستان</t>
        </is>
      </c>
      <c r="I2925" s="134" t="inlineStr">
        <is>
          <t>یکشنبه</t>
        </is>
      </c>
      <c r="J2925" s="134" t="inlineStr">
        <is>
          <t>خیر</t>
        </is>
      </c>
    </row>
    <row r="2926">
      <c r="A2926" s="173" t="n">
        <v>47847</v>
      </c>
      <c r="B2926" s="174" t="n">
        <v>47847</v>
      </c>
      <c r="C2926" s="174" t="n">
        <v>1409</v>
      </c>
      <c r="D2926" s="174" t="n">
        <v>10</v>
      </c>
      <c r="E2926" s="175" t="inlineStr">
        <is>
          <t>1409/10/09</t>
        </is>
      </c>
      <c r="F2926" s="128" t="inlineStr">
        <is>
          <t>1409/10</t>
        </is>
      </c>
      <c r="G2926" s="58" t="inlineStr">
        <is>
          <t>دی</t>
        </is>
      </c>
      <c r="H2926" s="128" t="inlineStr">
        <is>
          <t>زمستان</t>
        </is>
      </c>
      <c r="I2926" s="128" t="inlineStr">
        <is>
          <t>دوشنبه</t>
        </is>
      </c>
      <c r="J2926" s="128" t="inlineStr">
        <is>
          <t>بله</t>
        </is>
      </c>
    </row>
    <row r="2927">
      <c r="A2927" s="176" t="n">
        <v>47848</v>
      </c>
      <c r="B2927" s="177" t="n">
        <v>47848</v>
      </c>
      <c r="C2927" s="177" t="n">
        <v>1409</v>
      </c>
      <c r="D2927" s="177" t="n">
        <v>10</v>
      </c>
      <c r="E2927" s="178" t="inlineStr">
        <is>
          <t>1409/10/10</t>
        </is>
      </c>
      <c r="F2927" s="134" t="inlineStr">
        <is>
          <t>1409/10</t>
        </is>
      </c>
      <c r="G2927" s="61" t="inlineStr">
        <is>
          <t>دی</t>
        </is>
      </c>
      <c r="H2927" s="134" t="inlineStr">
        <is>
          <t>زمستان</t>
        </is>
      </c>
      <c r="I2927" s="134" t="inlineStr">
        <is>
          <t>سه‌شنبه</t>
        </is>
      </c>
      <c r="J2927" s="134" t="inlineStr">
        <is>
          <t>بله</t>
        </is>
      </c>
    </row>
    <row r="2928">
      <c r="A2928" s="173" t="n">
        <v>47849</v>
      </c>
      <c r="B2928" s="174" t="n">
        <v>47849</v>
      </c>
      <c r="C2928" s="174" t="n">
        <v>1409</v>
      </c>
      <c r="D2928" s="174" t="n">
        <v>10</v>
      </c>
      <c r="E2928" s="175" t="inlineStr">
        <is>
          <t>1409/10/11</t>
        </is>
      </c>
      <c r="F2928" s="128" t="inlineStr">
        <is>
          <t>1409/10</t>
        </is>
      </c>
      <c r="G2928" s="58" t="inlineStr">
        <is>
          <t>دی</t>
        </is>
      </c>
      <c r="H2928" s="128" t="inlineStr">
        <is>
          <t>زمستان</t>
        </is>
      </c>
      <c r="I2928" s="128" t="inlineStr">
        <is>
          <t>چهارشنبه</t>
        </is>
      </c>
      <c r="J2928" s="128" t="inlineStr">
        <is>
          <t>بله</t>
        </is>
      </c>
    </row>
    <row r="2929">
      <c r="A2929" s="176" t="n">
        <v>47850</v>
      </c>
      <c r="B2929" s="177" t="n">
        <v>47850</v>
      </c>
      <c r="C2929" s="177" t="n">
        <v>1409</v>
      </c>
      <c r="D2929" s="177" t="n">
        <v>10</v>
      </c>
      <c r="E2929" s="178" t="inlineStr">
        <is>
          <t>1409/10/12</t>
        </is>
      </c>
      <c r="F2929" s="134" t="inlineStr">
        <is>
          <t>1409/10</t>
        </is>
      </c>
      <c r="G2929" s="61" t="inlineStr">
        <is>
          <t>دی</t>
        </is>
      </c>
      <c r="H2929" s="134" t="inlineStr">
        <is>
          <t>زمستان</t>
        </is>
      </c>
      <c r="I2929" s="134" t="inlineStr">
        <is>
          <t>پنجشنبه</t>
        </is>
      </c>
      <c r="J2929" s="134" t="inlineStr">
        <is>
          <t>بله</t>
        </is>
      </c>
    </row>
    <row r="2930">
      <c r="A2930" s="173" t="n">
        <v>47851</v>
      </c>
      <c r="B2930" s="174" t="n">
        <v>47851</v>
      </c>
      <c r="C2930" s="174" t="n">
        <v>1409</v>
      </c>
      <c r="D2930" s="174" t="n">
        <v>10</v>
      </c>
      <c r="E2930" s="175" t="inlineStr">
        <is>
          <t>1409/10/13</t>
        </is>
      </c>
      <c r="F2930" s="128" t="inlineStr">
        <is>
          <t>1409/10</t>
        </is>
      </c>
      <c r="G2930" s="58" t="inlineStr">
        <is>
          <t>دی</t>
        </is>
      </c>
      <c r="H2930" s="128" t="inlineStr">
        <is>
          <t>زمستان</t>
        </is>
      </c>
      <c r="I2930" s="128" t="inlineStr">
        <is>
          <t>جمعه</t>
        </is>
      </c>
      <c r="J2930" s="128" t="inlineStr">
        <is>
          <t>بله</t>
        </is>
      </c>
    </row>
    <row r="2931">
      <c r="A2931" s="176" t="n">
        <v>47852</v>
      </c>
      <c r="B2931" s="177" t="n">
        <v>47852</v>
      </c>
      <c r="C2931" s="177" t="n">
        <v>1409</v>
      </c>
      <c r="D2931" s="177" t="n">
        <v>10</v>
      </c>
      <c r="E2931" s="178" t="inlineStr">
        <is>
          <t>1409/10/14</t>
        </is>
      </c>
      <c r="F2931" s="134" t="inlineStr">
        <is>
          <t>1409/10</t>
        </is>
      </c>
      <c r="G2931" s="61" t="inlineStr">
        <is>
          <t>دی</t>
        </is>
      </c>
      <c r="H2931" s="134" t="inlineStr">
        <is>
          <t>زمستان</t>
        </is>
      </c>
      <c r="I2931" s="134" t="inlineStr">
        <is>
          <t>شنبه</t>
        </is>
      </c>
      <c r="J2931" s="134" t="inlineStr">
        <is>
          <t>خیر</t>
        </is>
      </c>
    </row>
    <row r="2932">
      <c r="A2932" s="173" t="n">
        <v>47853</v>
      </c>
      <c r="B2932" s="174" t="n">
        <v>47853</v>
      </c>
      <c r="C2932" s="174" t="n">
        <v>1409</v>
      </c>
      <c r="D2932" s="174" t="n">
        <v>10</v>
      </c>
      <c r="E2932" s="175" t="inlineStr">
        <is>
          <t>1409/10/15</t>
        </is>
      </c>
      <c r="F2932" s="128" t="inlineStr">
        <is>
          <t>1409/10</t>
        </is>
      </c>
      <c r="G2932" s="58" t="inlineStr">
        <is>
          <t>دی</t>
        </is>
      </c>
      <c r="H2932" s="128" t="inlineStr">
        <is>
          <t>زمستان</t>
        </is>
      </c>
      <c r="I2932" s="128" t="inlineStr">
        <is>
          <t>یکشنبه</t>
        </is>
      </c>
      <c r="J2932" s="128" t="inlineStr">
        <is>
          <t>خیر</t>
        </is>
      </c>
    </row>
    <row r="2933">
      <c r="A2933" s="176" t="n">
        <v>47854</v>
      </c>
      <c r="B2933" s="177" t="n">
        <v>47854</v>
      </c>
      <c r="C2933" s="177" t="n">
        <v>1409</v>
      </c>
      <c r="D2933" s="177" t="n">
        <v>10</v>
      </c>
      <c r="E2933" s="178" t="inlineStr">
        <is>
          <t>1409/10/16</t>
        </is>
      </c>
      <c r="F2933" s="134" t="inlineStr">
        <is>
          <t>1409/10</t>
        </is>
      </c>
      <c r="G2933" s="61" t="inlineStr">
        <is>
          <t>دی</t>
        </is>
      </c>
      <c r="H2933" s="134" t="inlineStr">
        <is>
          <t>زمستان</t>
        </is>
      </c>
      <c r="I2933" s="134" t="inlineStr">
        <is>
          <t>دوشنبه</t>
        </is>
      </c>
      <c r="J2933" s="134" t="inlineStr">
        <is>
          <t>بله</t>
        </is>
      </c>
    </row>
    <row r="2934">
      <c r="A2934" s="173" t="n">
        <v>47855</v>
      </c>
      <c r="B2934" s="174" t="n">
        <v>47855</v>
      </c>
      <c r="C2934" s="174" t="n">
        <v>1409</v>
      </c>
      <c r="D2934" s="174" t="n">
        <v>10</v>
      </c>
      <c r="E2934" s="175" t="inlineStr">
        <is>
          <t>1409/10/17</t>
        </is>
      </c>
      <c r="F2934" s="128" t="inlineStr">
        <is>
          <t>1409/10</t>
        </is>
      </c>
      <c r="G2934" s="58" t="inlineStr">
        <is>
          <t>دی</t>
        </is>
      </c>
      <c r="H2934" s="128" t="inlineStr">
        <is>
          <t>زمستان</t>
        </is>
      </c>
      <c r="I2934" s="128" t="inlineStr">
        <is>
          <t>سه‌شنبه</t>
        </is>
      </c>
      <c r="J2934" s="128" t="inlineStr">
        <is>
          <t>بله</t>
        </is>
      </c>
    </row>
    <row r="2935">
      <c r="A2935" s="176" t="n">
        <v>47856</v>
      </c>
      <c r="B2935" s="177" t="n">
        <v>47856</v>
      </c>
      <c r="C2935" s="177" t="n">
        <v>1409</v>
      </c>
      <c r="D2935" s="177" t="n">
        <v>10</v>
      </c>
      <c r="E2935" s="178" t="inlineStr">
        <is>
          <t>1409/10/18</t>
        </is>
      </c>
      <c r="F2935" s="134" t="inlineStr">
        <is>
          <t>1409/10</t>
        </is>
      </c>
      <c r="G2935" s="61" t="inlineStr">
        <is>
          <t>دی</t>
        </is>
      </c>
      <c r="H2935" s="134" t="inlineStr">
        <is>
          <t>زمستان</t>
        </is>
      </c>
      <c r="I2935" s="134" t="inlineStr">
        <is>
          <t>چهارشنبه</t>
        </is>
      </c>
      <c r="J2935" s="134" t="inlineStr">
        <is>
          <t>بله</t>
        </is>
      </c>
    </row>
    <row r="2936">
      <c r="A2936" s="173" t="n">
        <v>47857</v>
      </c>
      <c r="B2936" s="174" t="n">
        <v>47857</v>
      </c>
      <c r="C2936" s="174" t="n">
        <v>1409</v>
      </c>
      <c r="D2936" s="174" t="n">
        <v>10</v>
      </c>
      <c r="E2936" s="175" t="inlineStr">
        <is>
          <t>1409/10/19</t>
        </is>
      </c>
      <c r="F2936" s="128" t="inlineStr">
        <is>
          <t>1409/10</t>
        </is>
      </c>
      <c r="G2936" s="58" t="inlineStr">
        <is>
          <t>دی</t>
        </is>
      </c>
      <c r="H2936" s="128" t="inlineStr">
        <is>
          <t>زمستان</t>
        </is>
      </c>
      <c r="I2936" s="128" t="inlineStr">
        <is>
          <t>پنجشنبه</t>
        </is>
      </c>
      <c r="J2936" s="128" t="inlineStr">
        <is>
          <t>بله</t>
        </is>
      </c>
    </row>
    <row r="2937">
      <c r="A2937" s="176" t="n">
        <v>47858</v>
      </c>
      <c r="B2937" s="177" t="n">
        <v>47858</v>
      </c>
      <c r="C2937" s="177" t="n">
        <v>1409</v>
      </c>
      <c r="D2937" s="177" t="n">
        <v>10</v>
      </c>
      <c r="E2937" s="178" t="inlineStr">
        <is>
          <t>1409/10/20</t>
        </is>
      </c>
      <c r="F2937" s="134" t="inlineStr">
        <is>
          <t>1409/10</t>
        </is>
      </c>
      <c r="G2937" s="61" t="inlineStr">
        <is>
          <t>دی</t>
        </is>
      </c>
      <c r="H2937" s="134" t="inlineStr">
        <is>
          <t>زمستان</t>
        </is>
      </c>
      <c r="I2937" s="134" t="inlineStr">
        <is>
          <t>جمعه</t>
        </is>
      </c>
      <c r="J2937" s="134" t="inlineStr">
        <is>
          <t>بله</t>
        </is>
      </c>
    </row>
    <row r="2938">
      <c r="A2938" s="173" t="n">
        <v>47859</v>
      </c>
      <c r="B2938" s="174" t="n">
        <v>47859</v>
      </c>
      <c r="C2938" s="174" t="n">
        <v>1409</v>
      </c>
      <c r="D2938" s="174" t="n">
        <v>10</v>
      </c>
      <c r="E2938" s="175" t="inlineStr">
        <is>
          <t>1409/10/21</t>
        </is>
      </c>
      <c r="F2938" s="128" t="inlineStr">
        <is>
          <t>1409/10</t>
        </is>
      </c>
      <c r="G2938" s="58" t="inlineStr">
        <is>
          <t>دی</t>
        </is>
      </c>
      <c r="H2938" s="128" t="inlineStr">
        <is>
          <t>زمستان</t>
        </is>
      </c>
      <c r="I2938" s="128" t="inlineStr">
        <is>
          <t>شنبه</t>
        </is>
      </c>
      <c r="J2938" s="128" t="inlineStr">
        <is>
          <t>خیر</t>
        </is>
      </c>
    </row>
    <row r="2939">
      <c r="A2939" s="176" t="n">
        <v>47860</v>
      </c>
      <c r="B2939" s="177" t="n">
        <v>47860</v>
      </c>
      <c r="C2939" s="177" t="n">
        <v>1409</v>
      </c>
      <c r="D2939" s="177" t="n">
        <v>10</v>
      </c>
      <c r="E2939" s="178" t="inlineStr">
        <is>
          <t>1409/10/22</t>
        </is>
      </c>
      <c r="F2939" s="134" t="inlineStr">
        <is>
          <t>1409/10</t>
        </is>
      </c>
      <c r="G2939" s="61" t="inlineStr">
        <is>
          <t>دی</t>
        </is>
      </c>
      <c r="H2939" s="134" t="inlineStr">
        <is>
          <t>زمستان</t>
        </is>
      </c>
      <c r="I2939" s="134" t="inlineStr">
        <is>
          <t>یکشنبه</t>
        </is>
      </c>
      <c r="J2939" s="134" t="inlineStr">
        <is>
          <t>خیر</t>
        </is>
      </c>
    </row>
    <row r="2940">
      <c r="A2940" s="173" t="n">
        <v>47861</v>
      </c>
      <c r="B2940" s="174" t="n">
        <v>47861</v>
      </c>
      <c r="C2940" s="174" t="n">
        <v>1409</v>
      </c>
      <c r="D2940" s="174" t="n">
        <v>10</v>
      </c>
      <c r="E2940" s="175" t="inlineStr">
        <is>
          <t>1409/10/23</t>
        </is>
      </c>
      <c r="F2940" s="128" t="inlineStr">
        <is>
          <t>1409/10</t>
        </is>
      </c>
      <c r="G2940" s="58" t="inlineStr">
        <is>
          <t>دی</t>
        </is>
      </c>
      <c r="H2940" s="128" t="inlineStr">
        <is>
          <t>زمستان</t>
        </is>
      </c>
      <c r="I2940" s="128" t="inlineStr">
        <is>
          <t>دوشنبه</t>
        </is>
      </c>
      <c r="J2940" s="128" t="inlineStr">
        <is>
          <t>بله</t>
        </is>
      </c>
    </row>
    <row r="2941">
      <c r="A2941" s="176" t="n">
        <v>47862</v>
      </c>
      <c r="B2941" s="177" t="n">
        <v>47862</v>
      </c>
      <c r="C2941" s="177" t="n">
        <v>1409</v>
      </c>
      <c r="D2941" s="177" t="n">
        <v>10</v>
      </c>
      <c r="E2941" s="178" t="inlineStr">
        <is>
          <t>1409/10/24</t>
        </is>
      </c>
      <c r="F2941" s="134" t="inlineStr">
        <is>
          <t>1409/10</t>
        </is>
      </c>
      <c r="G2941" s="61" t="inlineStr">
        <is>
          <t>دی</t>
        </is>
      </c>
      <c r="H2941" s="134" t="inlineStr">
        <is>
          <t>زمستان</t>
        </is>
      </c>
      <c r="I2941" s="134" t="inlineStr">
        <is>
          <t>سه‌شنبه</t>
        </is>
      </c>
      <c r="J2941" s="134" t="inlineStr">
        <is>
          <t>بله</t>
        </is>
      </c>
    </row>
    <row r="2942">
      <c r="A2942" s="173" t="n">
        <v>47863</v>
      </c>
      <c r="B2942" s="174" t="n">
        <v>47863</v>
      </c>
      <c r="C2942" s="174" t="n">
        <v>1409</v>
      </c>
      <c r="D2942" s="174" t="n">
        <v>10</v>
      </c>
      <c r="E2942" s="175" t="inlineStr">
        <is>
          <t>1409/10/25</t>
        </is>
      </c>
      <c r="F2942" s="128" t="inlineStr">
        <is>
          <t>1409/10</t>
        </is>
      </c>
      <c r="G2942" s="58" t="inlineStr">
        <is>
          <t>دی</t>
        </is>
      </c>
      <c r="H2942" s="128" t="inlineStr">
        <is>
          <t>زمستان</t>
        </is>
      </c>
      <c r="I2942" s="128" t="inlineStr">
        <is>
          <t>چهارشنبه</t>
        </is>
      </c>
      <c r="J2942" s="128" t="inlineStr">
        <is>
          <t>بله</t>
        </is>
      </c>
    </row>
    <row r="2943">
      <c r="A2943" s="176" t="n">
        <v>47864</v>
      </c>
      <c r="B2943" s="177" t="n">
        <v>47864</v>
      </c>
      <c r="C2943" s="177" t="n">
        <v>1409</v>
      </c>
      <c r="D2943" s="177" t="n">
        <v>10</v>
      </c>
      <c r="E2943" s="178" t="inlineStr">
        <is>
          <t>1409/10/26</t>
        </is>
      </c>
      <c r="F2943" s="134" t="inlineStr">
        <is>
          <t>1409/10</t>
        </is>
      </c>
      <c r="G2943" s="61" t="inlineStr">
        <is>
          <t>دی</t>
        </is>
      </c>
      <c r="H2943" s="134" t="inlineStr">
        <is>
          <t>زمستان</t>
        </is>
      </c>
      <c r="I2943" s="134" t="inlineStr">
        <is>
          <t>پنجشنبه</t>
        </is>
      </c>
      <c r="J2943" s="134" t="inlineStr">
        <is>
          <t>بله</t>
        </is>
      </c>
    </row>
    <row r="2944">
      <c r="A2944" s="173" t="n">
        <v>47865</v>
      </c>
      <c r="B2944" s="174" t="n">
        <v>47865</v>
      </c>
      <c r="C2944" s="174" t="n">
        <v>1409</v>
      </c>
      <c r="D2944" s="174" t="n">
        <v>10</v>
      </c>
      <c r="E2944" s="175" t="inlineStr">
        <is>
          <t>1409/10/27</t>
        </is>
      </c>
      <c r="F2944" s="128" t="inlineStr">
        <is>
          <t>1409/10</t>
        </is>
      </c>
      <c r="G2944" s="58" t="inlineStr">
        <is>
          <t>دی</t>
        </is>
      </c>
      <c r="H2944" s="128" t="inlineStr">
        <is>
          <t>زمستان</t>
        </is>
      </c>
      <c r="I2944" s="128" t="inlineStr">
        <is>
          <t>جمعه</t>
        </is>
      </c>
      <c r="J2944" s="128" t="inlineStr">
        <is>
          <t>بله</t>
        </is>
      </c>
    </row>
    <row r="2945">
      <c r="A2945" s="176" t="n">
        <v>47866</v>
      </c>
      <c r="B2945" s="177" t="n">
        <v>47866</v>
      </c>
      <c r="C2945" s="177" t="n">
        <v>1409</v>
      </c>
      <c r="D2945" s="177" t="n">
        <v>10</v>
      </c>
      <c r="E2945" s="178" t="inlineStr">
        <is>
          <t>1409/10/28</t>
        </is>
      </c>
      <c r="F2945" s="134" t="inlineStr">
        <is>
          <t>1409/10</t>
        </is>
      </c>
      <c r="G2945" s="61" t="inlineStr">
        <is>
          <t>دی</t>
        </is>
      </c>
      <c r="H2945" s="134" t="inlineStr">
        <is>
          <t>زمستان</t>
        </is>
      </c>
      <c r="I2945" s="134" t="inlineStr">
        <is>
          <t>شنبه</t>
        </is>
      </c>
      <c r="J2945" s="134" t="inlineStr">
        <is>
          <t>خیر</t>
        </is>
      </c>
    </row>
    <row r="2946">
      <c r="A2946" s="173" t="n">
        <v>47867</v>
      </c>
      <c r="B2946" s="174" t="n">
        <v>47867</v>
      </c>
      <c r="C2946" s="174" t="n">
        <v>1409</v>
      </c>
      <c r="D2946" s="174" t="n">
        <v>10</v>
      </c>
      <c r="E2946" s="175" t="inlineStr">
        <is>
          <t>1409/10/29</t>
        </is>
      </c>
      <c r="F2946" s="128" t="inlineStr">
        <is>
          <t>1409/10</t>
        </is>
      </c>
      <c r="G2946" s="58" t="inlineStr">
        <is>
          <t>دی</t>
        </is>
      </c>
      <c r="H2946" s="128" t="inlineStr">
        <is>
          <t>زمستان</t>
        </is>
      </c>
      <c r="I2946" s="128" t="inlineStr">
        <is>
          <t>یکشنبه</t>
        </is>
      </c>
      <c r="J2946" s="128" t="inlineStr">
        <is>
          <t>خیر</t>
        </is>
      </c>
    </row>
    <row r="2947">
      <c r="A2947" s="176" t="n">
        <v>47868</v>
      </c>
      <c r="B2947" s="177" t="n">
        <v>47868</v>
      </c>
      <c r="C2947" s="177" t="n">
        <v>1409</v>
      </c>
      <c r="D2947" s="177" t="n">
        <v>10</v>
      </c>
      <c r="E2947" s="178" t="inlineStr">
        <is>
          <t>1409/10/30</t>
        </is>
      </c>
      <c r="F2947" s="134" t="inlineStr">
        <is>
          <t>1409/10</t>
        </is>
      </c>
      <c r="G2947" s="61" t="inlineStr">
        <is>
          <t>دی</t>
        </is>
      </c>
      <c r="H2947" s="134" t="inlineStr">
        <is>
          <t>زمستان</t>
        </is>
      </c>
      <c r="I2947" s="134" t="inlineStr">
        <is>
          <t>دوشنبه</t>
        </is>
      </c>
      <c r="J2947" s="134" t="inlineStr">
        <is>
          <t>بله</t>
        </is>
      </c>
    </row>
    <row r="2948">
      <c r="A2948" s="173" t="n">
        <v>47869</v>
      </c>
      <c r="B2948" s="174" t="n">
        <v>47869</v>
      </c>
      <c r="C2948" s="174" t="n">
        <v>1409</v>
      </c>
      <c r="D2948" s="174" t="n">
        <v>11</v>
      </c>
      <c r="E2948" s="175" t="inlineStr">
        <is>
          <t>1409/11/01</t>
        </is>
      </c>
      <c r="F2948" s="128" t="inlineStr">
        <is>
          <t>1409/11</t>
        </is>
      </c>
      <c r="G2948" s="58" t="inlineStr">
        <is>
          <t>بهمن</t>
        </is>
      </c>
      <c r="H2948" s="128" t="inlineStr">
        <is>
          <t>زمستان</t>
        </is>
      </c>
      <c r="I2948" s="128" t="inlineStr">
        <is>
          <t>سه‌شنبه</t>
        </is>
      </c>
      <c r="J2948" s="128" t="inlineStr">
        <is>
          <t>بله</t>
        </is>
      </c>
    </row>
    <row r="2949">
      <c r="A2949" s="176" t="n">
        <v>47870</v>
      </c>
      <c r="B2949" s="177" t="n">
        <v>47870</v>
      </c>
      <c r="C2949" s="177" t="n">
        <v>1409</v>
      </c>
      <c r="D2949" s="177" t="n">
        <v>11</v>
      </c>
      <c r="E2949" s="178" t="inlineStr">
        <is>
          <t>1409/11/02</t>
        </is>
      </c>
      <c r="F2949" s="134" t="inlineStr">
        <is>
          <t>1409/11</t>
        </is>
      </c>
      <c r="G2949" s="61" t="inlineStr">
        <is>
          <t>بهمن</t>
        </is>
      </c>
      <c r="H2949" s="134" t="inlineStr">
        <is>
          <t>زمستان</t>
        </is>
      </c>
      <c r="I2949" s="134" t="inlineStr">
        <is>
          <t>چهارشنبه</t>
        </is>
      </c>
      <c r="J2949" s="134" t="inlineStr">
        <is>
          <t>بله</t>
        </is>
      </c>
    </row>
    <row r="2950">
      <c r="A2950" s="173" t="n">
        <v>47871</v>
      </c>
      <c r="B2950" s="174" t="n">
        <v>47871</v>
      </c>
      <c r="C2950" s="174" t="n">
        <v>1409</v>
      </c>
      <c r="D2950" s="174" t="n">
        <v>11</v>
      </c>
      <c r="E2950" s="175" t="inlineStr">
        <is>
          <t>1409/11/03</t>
        </is>
      </c>
      <c r="F2950" s="128" t="inlineStr">
        <is>
          <t>1409/11</t>
        </is>
      </c>
      <c r="G2950" s="58" t="inlineStr">
        <is>
          <t>بهمن</t>
        </is>
      </c>
      <c r="H2950" s="128" t="inlineStr">
        <is>
          <t>زمستان</t>
        </is>
      </c>
      <c r="I2950" s="128" t="inlineStr">
        <is>
          <t>پنجشنبه</t>
        </is>
      </c>
      <c r="J2950" s="128" t="inlineStr">
        <is>
          <t>بله</t>
        </is>
      </c>
    </row>
    <row r="2951">
      <c r="A2951" s="176" t="n">
        <v>47872</v>
      </c>
      <c r="B2951" s="177" t="n">
        <v>47872</v>
      </c>
      <c r="C2951" s="177" t="n">
        <v>1409</v>
      </c>
      <c r="D2951" s="177" t="n">
        <v>11</v>
      </c>
      <c r="E2951" s="178" t="inlineStr">
        <is>
          <t>1409/11/04</t>
        </is>
      </c>
      <c r="F2951" s="134" t="inlineStr">
        <is>
          <t>1409/11</t>
        </is>
      </c>
      <c r="G2951" s="61" t="inlineStr">
        <is>
          <t>بهمن</t>
        </is>
      </c>
      <c r="H2951" s="134" t="inlineStr">
        <is>
          <t>زمستان</t>
        </is>
      </c>
      <c r="I2951" s="134" t="inlineStr">
        <is>
          <t>جمعه</t>
        </is>
      </c>
      <c r="J2951" s="134" t="inlineStr">
        <is>
          <t>بله</t>
        </is>
      </c>
    </row>
    <row r="2952">
      <c r="A2952" s="173" t="n">
        <v>47873</v>
      </c>
      <c r="B2952" s="174" t="n">
        <v>47873</v>
      </c>
      <c r="C2952" s="174" t="n">
        <v>1409</v>
      </c>
      <c r="D2952" s="174" t="n">
        <v>11</v>
      </c>
      <c r="E2952" s="175" t="inlineStr">
        <is>
          <t>1409/11/05</t>
        </is>
      </c>
      <c r="F2952" s="128" t="inlineStr">
        <is>
          <t>1409/11</t>
        </is>
      </c>
      <c r="G2952" s="58" t="inlineStr">
        <is>
          <t>بهمن</t>
        </is>
      </c>
      <c r="H2952" s="128" t="inlineStr">
        <is>
          <t>زمستان</t>
        </is>
      </c>
      <c r="I2952" s="128" t="inlineStr">
        <is>
          <t>شنبه</t>
        </is>
      </c>
      <c r="J2952" s="128" t="inlineStr">
        <is>
          <t>خیر</t>
        </is>
      </c>
    </row>
    <row r="2953">
      <c r="A2953" s="176" t="n">
        <v>47874</v>
      </c>
      <c r="B2953" s="177" t="n">
        <v>47874</v>
      </c>
      <c r="C2953" s="177" t="n">
        <v>1409</v>
      </c>
      <c r="D2953" s="177" t="n">
        <v>11</v>
      </c>
      <c r="E2953" s="178" t="inlineStr">
        <is>
          <t>1409/11/06</t>
        </is>
      </c>
      <c r="F2953" s="134" t="inlineStr">
        <is>
          <t>1409/11</t>
        </is>
      </c>
      <c r="G2953" s="61" t="inlineStr">
        <is>
          <t>بهمن</t>
        </is>
      </c>
      <c r="H2953" s="134" t="inlineStr">
        <is>
          <t>زمستان</t>
        </is>
      </c>
      <c r="I2953" s="134" t="inlineStr">
        <is>
          <t>یکشنبه</t>
        </is>
      </c>
      <c r="J2953" s="134" t="inlineStr">
        <is>
          <t>خیر</t>
        </is>
      </c>
    </row>
    <row r="2954">
      <c r="A2954" s="173" t="n">
        <v>47875</v>
      </c>
      <c r="B2954" s="174" t="n">
        <v>47875</v>
      </c>
      <c r="C2954" s="174" t="n">
        <v>1409</v>
      </c>
      <c r="D2954" s="174" t="n">
        <v>11</v>
      </c>
      <c r="E2954" s="175" t="inlineStr">
        <is>
          <t>1409/11/07</t>
        </is>
      </c>
      <c r="F2954" s="128" t="inlineStr">
        <is>
          <t>1409/11</t>
        </is>
      </c>
      <c r="G2954" s="58" t="inlineStr">
        <is>
          <t>بهمن</t>
        </is>
      </c>
      <c r="H2954" s="128" t="inlineStr">
        <is>
          <t>زمستان</t>
        </is>
      </c>
      <c r="I2954" s="128" t="inlineStr">
        <is>
          <t>دوشنبه</t>
        </is>
      </c>
      <c r="J2954" s="128" t="inlineStr">
        <is>
          <t>بله</t>
        </is>
      </c>
    </row>
    <row r="2955">
      <c r="A2955" s="176" t="n">
        <v>47876</v>
      </c>
      <c r="B2955" s="177" t="n">
        <v>47876</v>
      </c>
      <c r="C2955" s="177" t="n">
        <v>1409</v>
      </c>
      <c r="D2955" s="177" t="n">
        <v>11</v>
      </c>
      <c r="E2955" s="178" t="inlineStr">
        <is>
          <t>1409/11/08</t>
        </is>
      </c>
      <c r="F2955" s="134" t="inlineStr">
        <is>
          <t>1409/11</t>
        </is>
      </c>
      <c r="G2955" s="61" t="inlineStr">
        <is>
          <t>بهمن</t>
        </is>
      </c>
      <c r="H2955" s="134" t="inlineStr">
        <is>
          <t>زمستان</t>
        </is>
      </c>
      <c r="I2955" s="134" t="inlineStr">
        <is>
          <t>سه‌شنبه</t>
        </is>
      </c>
      <c r="J2955" s="134" t="inlineStr">
        <is>
          <t>بله</t>
        </is>
      </c>
    </row>
    <row r="2956">
      <c r="A2956" s="173" t="n">
        <v>47877</v>
      </c>
      <c r="B2956" s="174" t="n">
        <v>47877</v>
      </c>
      <c r="C2956" s="174" t="n">
        <v>1409</v>
      </c>
      <c r="D2956" s="174" t="n">
        <v>11</v>
      </c>
      <c r="E2956" s="175" t="inlineStr">
        <is>
          <t>1409/11/09</t>
        </is>
      </c>
      <c r="F2956" s="128" t="inlineStr">
        <is>
          <t>1409/11</t>
        </is>
      </c>
      <c r="G2956" s="58" t="inlineStr">
        <is>
          <t>بهمن</t>
        </is>
      </c>
      <c r="H2956" s="128" t="inlineStr">
        <is>
          <t>زمستان</t>
        </is>
      </c>
      <c r="I2956" s="128" t="inlineStr">
        <is>
          <t>چهارشنبه</t>
        </is>
      </c>
      <c r="J2956" s="128" t="inlineStr">
        <is>
          <t>بله</t>
        </is>
      </c>
    </row>
    <row r="2957">
      <c r="A2957" s="176" t="n">
        <v>47878</v>
      </c>
      <c r="B2957" s="177" t="n">
        <v>47878</v>
      </c>
      <c r="C2957" s="177" t="n">
        <v>1409</v>
      </c>
      <c r="D2957" s="177" t="n">
        <v>11</v>
      </c>
      <c r="E2957" s="178" t="inlineStr">
        <is>
          <t>1409/11/10</t>
        </is>
      </c>
      <c r="F2957" s="134" t="inlineStr">
        <is>
          <t>1409/11</t>
        </is>
      </c>
      <c r="G2957" s="61" t="inlineStr">
        <is>
          <t>بهمن</t>
        </is>
      </c>
      <c r="H2957" s="134" t="inlineStr">
        <is>
          <t>زمستان</t>
        </is>
      </c>
      <c r="I2957" s="134" t="inlineStr">
        <is>
          <t>پنجشنبه</t>
        </is>
      </c>
      <c r="J2957" s="134" t="inlineStr">
        <is>
          <t>بله</t>
        </is>
      </c>
    </row>
    <row r="2958">
      <c r="A2958" s="173" t="n">
        <v>47879</v>
      </c>
      <c r="B2958" s="174" t="n">
        <v>47879</v>
      </c>
      <c r="C2958" s="174" t="n">
        <v>1409</v>
      </c>
      <c r="D2958" s="174" t="n">
        <v>11</v>
      </c>
      <c r="E2958" s="175" t="inlineStr">
        <is>
          <t>1409/11/11</t>
        </is>
      </c>
      <c r="F2958" s="128" t="inlineStr">
        <is>
          <t>1409/11</t>
        </is>
      </c>
      <c r="G2958" s="58" t="inlineStr">
        <is>
          <t>بهمن</t>
        </is>
      </c>
      <c r="H2958" s="128" t="inlineStr">
        <is>
          <t>زمستان</t>
        </is>
      </c>
      <c r="I2958" s="128" t="inlineStr">
        <is>
          <t>جمعه</t>
        </is>
      </c>
      <c r="J2958" s="128" t="inlineStr">
        <is>
          <t>بله</t>
        </is>
      </c>
    </row>
    <row r="2959">
      <c r="A2959" s="176" t="n">
        <v>47880</v>
      </c>
      <c r="B2959" s="177" t="n">
        <v>47880</v>
      </c>
      <c r="C2959" s="177" t="n">
        <v>1409</v>
      </c>
      <c r="D2959" s="177" t="n">
        <v>11</v>
      </c>
      <c r="E2959" s="178" t="inlineStr">
        <is>
          <t>1409/11/12</t>
        </is>
      </c>
      <c r="F2959" s="134" t="inlineStr">
        <is>
          <t>1409/11</t>
        </is>
      </c>
      <c r="G2959" s="61" t="inlineStr">
        <is>
          <t>بهمن</t>
        </is>
      </c>
      <c r="H2959" s="134" t="inlineStr">
        <is>
          <t>زمستان</t>
        </is>
      </c>
      <c r="I2959" s="134" t="inlineStr">
        <is>
          <t>شنبه</t>
        </is>
      </c>
      <c r="J2959" s="134" t="inlineStr">
        <is>
          <t>خیر</t>
        </is>
      </c>
    </row>
    <row r="2960">
      <c r="A2960" s="173" t="n">
        <v>47881</v>
      </c>
      <c r="B2960" s="174" t="n">
        <v>47881</v>
      </c>
      <c r="C2960" s="174" t="n">
        <v>1409</v>
      </c>
      <c r="D2960" s="174" t="n">
        <v>11</v>
      </c>
      <c r="E2960" s="175" t="inlineStr">
        <is>
          <t>1409/11/13</t>
        </is>
      </c>
      <c r="F2960" s="128" t="inlineStr">
        <is>
          <t>1409/11</t>
        </is>
      </c>
      <c r="G2960" s="58" t="inlineStr">
        <is>
          <t>بهمن</t>
        </is>
      </c>
      <c r="H2960" s="128" t="inlineStr">
        <is>
          <t>زمستان</t>
        </is>
      </c>
      <c r="I2960" s="128" t="inlineStr">
        <is>
          <t>یکشنبه</t>
        </is>
      </c>
      <c r="J2960" s="128" t="inlineStr">
        <is>
          <t>خیر</t>
        </is>
      </c>
    </row>
    <row r="2961">
      <c r="A2961" s="176" t="n">
        <v>47882</v>
      </c>
      <c r="B2961" s="177" t="n">
        <v>47882</v>
      </c>
      <c r="C2961" s="177" t="n">
        <v>1409</v>
      </c>
      <c r="D2961" s="177" t="n">
        <v>11</v>
      </c>
      <c r="E2961" s="178" t="inlineStr">
        <is>
          <t>1409/11/14</t>
        </is>
      </c>
      <c r="F2961" s="134" t="inlineStr">
        <is>
          <t>1409/11</t>
        </is>
      </c>
      <c r="G2961" s="61" t="inlineStr">
        <is>
          <t>بهمن</t>
        </is>
      </c>
      <c r="H2961" s="134" t="inlineStr">
        <is>
          <t>زمستان</t>
        </is>
      </c>
      <c r="I2961" s="134" t="inlineStr">
        <is>
          <t>دوشنبه</t>
        </is>
      </c>
      <c r="J2961" s="134" t="inlineStr">
        <is>
          <t>بله</t>
        </is>
      </c>
    </row>
    <row r="2962">
      <c r="A2962" s="173" t="n">
        <v>47883</v>
      </c>
      <c r="B2962" s="174" t="n">
        <v>47883</v>
      </c>
      <c r="C2962" s="174" t="n">
        <v>1409</v>
      </c>
      <c r="D2962" s="174" t="n">
        <v>11</v>
      </c>
      <c r="E2962" s="175" t="inlineStr">
        <is>
          <t>1409/11/15</t>
        </is>
      </c>
      <c r="F2962" s="128" t="inlineStr">
        <is>
          <t>1409/11</t>
        </is>
      </c>
      <c r="G2962" s="58" t="inlineStr">
        <is>
          <t>بهمن</t>
        </is>
      </c>
      <c r="H2962" s="128" t="inlineStr">
        <is>
          <t>زمستان</t>
        </is>
      </c>
      <c r="I2962" s="128" t="inlineStr">
        <is>
          <t>سه‌شنبه</t>
        </is>
      </c>
      <c r="J2962" s="128" t="inlineStr">
        <is>
          <t>بله</t>
        </is>
      </c>
    </row>
    <row r="2963">
      <c r="A2963" s="176" t="n">
        <v>47884</v>
      </c>
      <c r="B2963" s="177" t="n">
        <v>47884</v>
      </c>
      <c r="C2963" s="177" t="n">
        <v>1409</v>
      </c>
      <c r="D2963" s="177" t="n">
        <v>11</v>
      </c>
      <c r="E2963" s="178" t="inlineStr">
        <is>
          <t>1409/11/16</t>
        </is>
      </c>
      <c r="F2963" s="134" t="inlineStr">
        <is>
          <t>1409/11</t>
        </is>
      </c>
      <c r="G2963" s="61" t="inlineStr">
        <is>
          <t>بهمن</t>
        </is>
      </c>
      <c r="H2963" s="134" t="inlineStr">
        <is>
          <t>زمستان</t>
        </is>
      </c>
      <c r="I2963" s="134" t="inlineStr">
        <is>
          <t>چهارشنبه</t>
        </is>
      </c>
      <c r="J2963" s="134" t="inlineStr">
        <is>
          <t>بله</t>
        </is>
      </c>
    </row>
    <row r="2964">
      <c r="A2964" s="173" t="n">
        <v>47885</v>
      </c>
      <c r="B2964" s="174" t="n">
        <v>47885</v>
      </c>
      <c r="C2964" s="174" t="n">
        <v>1409</v>
      </c>
      <c r="D2964" s="174" t="n">
        <v>11</v>
      </c>
      <c r="E2964" s="175" t="inlineStr">
        <is>
          <t>1409/11/17</t>
        </is>
      </c>
      <c r="F2964" s="128" t="inlineStr">
        <is>
          <t>1409/11</t>
        </is>
      </c>
      <c r="G2964" s="58" t="inlineStr">
        <is>
          <t>بهمن</t>
        </is>
      </c>
      <c r="H2964" s="128" t="inlineStr">
        <is>
          <t>زمستان</t>
        </is>
      </c>
      <c r="I2964" s="128" t="inlineStr">
        <is>
          <t>پنجشنبه</t>
        </is>
      </c>
      <c r="J2964" s="128" t="inlineStr">
        <is>
          <t>بله</t>
        </is>
      </c>
    </row>
    <row r="2965">
      <c r="A2965" s="176" t="n">
        <v>47886</v>
      </c>
      <c r="B2965" s="177" t="n">
        <v>47886</v>
      </c>
      <c r="C2965" s="177" t="n">
        <v>1409</v>
      </c>
      <c r="D2965" s="177" t="n">
        <v>11</v>
      </c>
      <c r="E2965" s="178" t="inlineStr">
        <is>
          <t>1409/11/18</t>
        </is>
      </c>
      <c r="F2965" s="134" t="inlineStr">
        <is>
          <t>1409/11</t>
        </is>
      </c>
      <c r="G2965" s="61" t="inlineStr">
        <is>
          <t>بهمن</t>
        </is>
      </c>
      <c r="H2965" s="134" t="inlineStr">
        <is>
          <t>زمستان</t>
        </is>
      </c>
      <c r="I2965" s="134" t="inlineStr">
        <is>
          <t>جمعه</t>
        </is>
      </c>
      <c r="J2965" s="134" t="inlineStr">
        <is>
          <t>بله</t>
        </is>
      </c>
    </row>
    <row r="2966">
      <c r="A2966" s="173" t="n">
        <v>47887</v>
      </c>
      <c r="B2966" s="174" t="n">
        <v>47887</v>
      </c>
      <c r="C2966" s="174" t="n">
        <v>1409</v>
      </c>
      <c r="D2966" s="174" t="n">
        <v>11</v>
      </c>
      <c r="E2966" s="175" t="inlineStr">
        <is>
          <t>1409/11/19</t>
        </is>
      </c>
      <c r="F2966" s="128" t="inlineStr">
        <is>
          <t>1409/11</t>
        </is>
      </c>
      <c r="G2966" s="58" t="inlineStr">
        <is>
          <t>بهمن</t>
        </is>
      </c>
      <c r="H2966" s="128" t="inlineStr">
        <is>
          <t>زمستان</t>
        </is>
      </c>
      <c r="I2966" s="128" t="inlineStr">
        <is>
          <t>شنبه</t>
        </is>
      </c>
      <c r="J2966" s="128" t="inlineStr">
        <is>
          <t>خیر</t>
        </is>
      </c>
    </row>
    <row r="2967">
      <c r="A2967" s="176" t="n">
        <v>47888</v>
      </c>
      <c r="B2967" s="177" t="n">
        <v>47888</v>
      </c>
      <c r="C2967" s="177" t="n">
        <v>1409</v>
      </c>
      <c r="D2967" s="177" t="n">
        <v>11</v>
      </c>
      <c r="E2967" s="178" t="inlineStr">
        <is>
          <t>1409/11/20</t>
        </is>
      </c>
      <c r="F2967" s="134" t="inlineStr">
        <is>
          <t>1409/11</t>
        </is>
      </c>
      <c r="G2967" s="61" t="inlineStr">
        <is>
          <t>بهمن</t>
        </is>
      </c>
      <c r="H2967" s="134" t="inlineStr">
        <is>
          <t>زمستان</t>
        </is>
      </c>
      <c r="I2967" s="134" t="inlineStr">
        <is>
          <t>یکشنبه</t>
        </is>
      </c>
      <c r="J2967" s="134" t="inlineStr">
        <is>
          <t>خیر</t>
        </is>
      </c>
    </row>
    <row r="2968">
      <c r="A2968" s="173" t="n">
        <v>47889</v>
      </c>
      <c r="B2968" s="174" t="n">
        <v>47889</v>
      </c>
      <c r="C2968" s="174" t="n">
        <v>1409</v>
      </c>
      <c r="D2968" s="174" t="n">
        <v>11</v>
      </c>
      <c r="E2968" s="175" t="inlineStr">
        <is>
          <t>1409/11/21</t>
        </is>
      </c>
      <c r="F2968" s="128" t="inlineStr">
        <is>
          <t>1409/11</t>
        </is>
      </c>
      <c r="G2968" s="58" t="inlineStr">
        <is>
          <t>بهمن</t>
        </is>
      </c>
      <c r="H2968" s="128" t="inlineStr">
        <is>
          <t>زمستان</t>
        </is>
      </c>
      <c r="I2968" s="128" t="inlineStr">
        <is>
          <t>دوشنبه</t>
        </is>
      </c>
      <c r="J2968" s="128" t="inlineStr">
        <is>
          <t>بله</t>
        </is>
      </c>
    </row>
    <row r="2969">
      <c r="A2969" s="176" t="n">
        <v>47890</v>
      </c>
      <c r="B2969" s="177" t="n">
        <v>47890</v>
      </c>
      <c r="C2969" s="177" t="n">
        <v>1409</v>
      </c>
      <c r="D2969" s="177" t="n">
        <v>11</v>
      </c>
      <c r="E2969" s="178" t="inlineStr">
        <is>
          <t>1409/11/22</t>
        </is>
      </c>
      <c r="F2969" s="134" t="inlineStr">
        <is>
          <t>1409/11</t>
        </is>
      </c>
      <c r="G2969" s="61" t="inlineStr">
        <is>
          <t>بهمن</t>
        </is>
      </c>
      <c r="H2969" s="134" t="inlineStr">
        <is>
          <t>زمستان</t>
        </is>
      </c>
      <c r="I2969" s="134" t="inlineStr">
        <is>
          <t>سه‌شنبه</t>
        </is>
      </c>
      <c r="J2969" s="134" t="inlineStr">
        <is>
          <t>بله</t>
        </is>
      </c>
    </row>
    <row r="2970">
      <c r="A2970" s="173" t="n">
        <v>47891</v>
      </c>
      <c r="B2970" s="174" t="n">
        <v>47891</v>
      </c>
      <c r="C2970" s="174" t="n">
        <v>1409</v>
      </c>
      <c r="D2970" s="174" t="n">
        <v>11</v>
      </c>
      <c r="E2970" s="175" t="inlineStr">
        <is>
          <t>1409/11/23</t>
        </is>
      </c>
      <c r="F2970" s="128" t="inlineStr">
        <is>
          <t>1409/11</t>
        </is>
      </c>
      <c r="G2970" s="58" t="inlineStr">
        <is>
          <t>بهمن</t>
        </is>
      </c>
      <c r="H2970" s="128" t="inlineStr">
        <is>
          <t>زمستان</t>
        </is>
      </c>
      <c r="I2970" s="128" t="inlineStr">
        <is>
          <t>چهارشنبه</t>
        </is>
      </c>
      <c r="J2970" s="128" t="inlineStr">
        <is>
          <t>بله</t>
        </is>
      </c>
    </row>
    <row r="2971">
      <c r="A2971" s="176" t="n">
        <v>47892</v>
      </c>
      <c r="B2971" s="177" t="n">
        <v>47892</v>
      </c>
      <c r="C2971" s="177" t="n">
        <v>1409</v>
      </c>
      <c r="D2971" s="177" t="n">
        <v>11</v>
      </c>
      <c r="E2971" s="178" t="inlineStr">
        <is>
          <t>1409/11/24</t>
        </is>
      </c>
      <c r="F2971" s="134" t="inlineStr">
        <is>
          <t>1409/11</t>
        </is>
      </c>
      <c r="G2971" s="61" t="inlineStr">
        <is>
          <t>بهمن</t>
        </is>
      </c>
      <c r="H2971" s="134" t="inlineStr">
        <is>
          <t>زمستان</t>
        </is>
      </c>
      <c r="I2971" s="134" t="inlineStr">
        <is>
          <t>پنجشنبه</t>
        </is>
      </c>
      <c r="J2971" s="134" t="inlineStr">
        <is>
          <t>بله</t>
        </is>
      </c>
    </row>
    <row r="2972">
      <c r="A2972" s="173" t="n">
        <v>47893</v>
      </c>
      <c r="B2972" s="174" t="n">
        <v>47893</v>
      </c>
      <c r="C2972" s="174" t="n">
        <v>1409</v>
      </c>
      <c r="D2972" s="174" t="n">
        <v>11</v>
      </c>
      <c r="E2972" s="175" t="inlineStr">
        <is>
          <t>1409/11/25</t>
        </is>
      </c>
      <c r="F2972" s="128" t="inlineStr">
        <is>
          <t>1409/11</t>
        </is>
      </c>
      <c r="G2972" s="58" t="inlineStr">
        <is>
          <t>بهمن</t>
        </is>
      </c>
      <c r="H2972" s="128" t="inlineStr">
        <is>
          <t>زمستان</t>
        </is>
      </c>
      <c r="I2972" s="128" t="inlineStr">
        <is>
          <t>جمعه</t>
        </is>
      </c>
      <c r="J2972" s="128" t="inlineStr">
        <is>
          <t>بله</t>
        </is>
      </c>
    </row>
    <row r="2973">
      <c r="A2973" s="176" t="n">
        <v>47894</v>
      </c>
      <c r="B2973" s="177" t="n">
        <v>47894</v>
      </c>
      <c r="C2973" s="177" t="n">
        <v>1409</v>
      </c>
      <c r="D2973" s="177" t="n">
        <v>11</v>
      </c>
      <c r="E2973" s="178" t="inlineStr">
        <is>
          <t>1409/11/26</t>
        </is>
      </c>
      <c r="F2973" s="134" t="inlineStr">
        <is>
          <t>1409/11</t>
        </is>
      </c>
      <c r="G2973" s="61" t="inlineStr">
        <is>
          <t>بهمن</t>
        </is>
      </c>
      <c r="H2973" s="134" t="inlineStr">
        <is>
          <t>زمستان</t>
        </is>
      </c>
      <c r="I2973" s="134" t="inlineStr">
        <is>
          <t>شنبه</t>
        </is>
      </c>
      <c r="J2973" s="134" t="inlineStr">
        <is>
          <t>خیر</t>
        </is>
      </c>
    </row>
    <row r="2974">
      <c r="A2974" s="173" t="n">
        <v>47895</v>
      </c>
      <c r="B2974" s="174" t="n">
        <v>47895</v>
      </c>
      <c r="C2974" s="174" t="n">
        <v>1409</v>
      </c>
      <c r="D2974" s="174" t="n">
        <v>11</v>
      </c>
      <c r="E2974" s="175" t="inlineStr">
        <is>
          <t>1409/11/27</t>
        </is>
      </c>
      <c r="F2974" s="128" t="inlineStr">
        <is>
          <t>1409/11</t>
        </is>
      </c>
      <c r="G2974" s="58" t="inlineStr">
        <is>
          <t>بهمن</t>
        </is>
      </c>
      <c r="H2974" s="128" t="inlineStr">
        <is>
          <t>زمستان</t>
        </is>
      </c>
      <c r="I2974" s="128" t="inlineStr">
        <is>
          <t>یکشنبه</t>
        </is>
      </c>
      <c r="J2974" s="128" t="inlineStr">
        <is>
          <t>خیر</t>
        </is>
      </c>
    </row>
    <row r="2975">
      <c r="A2975" s="176" t="n">
        <v>47896</v>
      </c>
      <c r="B2975" s="177" t="n">
        <v>47896</v>
      </c>
      <c r="C2975" s="177" t="n">
        <v>1409</v>
      </c>
      <c r="D2975" s="177" t="n">
        <v>11</v>
      </c>
      <c r="E2975" s="178" t="inlineStr">
        <is>
          <t>1409/11/28</t>
        </is>
      </c>
      <c r="F2975" s="134" t="inlineStr">
        <is>
          <t>1409/11</t>
        </is>
      </c>
      <c r="G2975" s="61" t="inlineStr">
        <is>
          <t>بهمن</t>
        </is>
      </c>
      <c r="H2975" s="134" t="inlineStr">
        <is>
          <t>زمستان</t>
        </is>
      </c>
      <c r="I2975" s="134" t="inlineStr">
        <is>
          <t>دوشنبه</t>
        </is>
      </c>
      <c r="J2975" s="134" t="inlineStr">
        <is>
          <t>بله</t>
        </is>
      </c>
    </row>
    <row r="2976">
      <c r="A2976" s="173" t="n">
        <v>47897</v>
      </c>
      <c r="B2976" s="174" t="n">
        <v>47897</v>
      </c>
      <c r="C2976" s="174" t="n">
        <v>1409</v>
      </c>
      <c r="D2976" s="174" t="n">
        <v>11</v>
      </c>
      <c r="E2976" s="175" t="inlineStr">
        <is>
          <t>1409/11/29</t>
        </is>
      </c>
      <c r="F2976" s="128" t="inlineStr">
        <is>
          <t>1409/11</t>
        </is>
      </c>
      <c r="G2976" s="58" t="inlineStr">
        <is>
          <t>بهمن</t>
        </is>
      </c>
      <c r="H2976" s="128" t="inlineStr">
        <is>
          <t>زمستان</t>
        </is>
      </c>
      <c r="I2976" s="128" t="inlineStr">
        <is>
          <t>سه‌شنبه</t>
        </is>
      </c>
      <c r="J2976" s="128" t="inlineStr">
        <is>
          <t>بله</t>
        </is>
      </c>
    </row>
    <row r="2977">
      <c r="A2977" s="176" t="n">
        <v>47898</v>
      </c>
      <c r="B2977" s="177" t="n">
        <v>47898</v>
      </c>
      <c r="C2977" s="177" t="n">
        <v>1409</v>
      </c>
      <c r="D2977" s="177" t="n">
        <v>11</v>
      </c>
      <c r="E2977" s="178" t="inlineStr">
        <is>
          <t>1409/11/30</t>
        </is>
      </c>
      <c r="F2977" s="134" t="inlineStr">
        <is>
          <t>1409/11</t>
        </is>
      </c>
      <c r="G2977" s="61" t="inlineStr">
        <is>
          <t>بهمن</t>
        </is>
      </c>
      <c r="H2977" s="134" t="inlineStr">
        <is>
          <t>زمستان</t>
        </is>
      </c>
      <c r="I2977" s="134" t="inlineStr">
        <is>
          <t>چهارشنبه</t>
        </is>
      </c>
      <c r="J2977" s="134" t="inlineStr">
        <is>
          <t>بله</t>
        </is>
      </c>
    </row>
    <row r="2978">
      <c r="A2978" s="173" t="n">
        <v>47899</v>
      </c>
      <c r="B2978" s="174" t="n">
        <v>47899</v>
      </c>
      <c r="C2978" s="174" t="n">
        <v>1409</v>
      </c>
      <c r="D2978" s="174" t="n">
        <v>12</v>
      </c>
      <c r="E2978" s="175" t="inlineStr">
        <is>
          <t>1409/12/01</t>
        </is>
      </c>
      <c r="F2978" s="128" t="inlineStr">
        <is>
          <t>1409/12</t>
        </is>
      </c>
      <c r="G2978" s="58" t="inlineStr">
        <is>
          <t>اسفند</t>
        </is>
      </c>
      <c r="H2978" s="128" t="inlineStr">
        <is>
          <t>زمستان</t>
        </is>
      </c>
      <c r="I2978" s="128" t="inlineStr">
        <is>
          <t>پنجشنبه</t>
        </is>
      </c>
      <c r="J2978" s="128" t="inlineStr">
        <is>
          <t>بله</t>
        </is>
      </c>
    </row>
    <row r="2979">
      <c r="A2979" s="176" t="n">
        <v>47900</v>
      </c>
      <c r="B2979" s="177" t="n">
        <v>47900</v>
      </c>
      <c r="C2979" s="177" t="n">
        <v>1409</v>
      </c>
      <c r="D2979" s="177" t="n">
        <v>12</v>
      </c>
      <c r="E2979" s="178" t="inlineStr">
        <is>
          <t>1409/12/02</t>
        </is>
      </c>
      <c r="F2979" s="134" t="inlineStr">
        <is>
          <t>1409/12</t>
        </is>
      </c>
      <c r="G2979" s="61" t="inlineStr">
        <is>
          <t>اسفند</t>
        </is>
      </c>
      <c r="H2979" s="134" t="inlineStr">
        <is>
          <t>زمستان</t>
        </is>
      </c>
      <c r="I2979" s="134" t="inlineStr">
        <is>
          <t>جمعه</t>
        </is>
      </c>
      <c r="J2979" s="134" t="inlineStr">
        <is>
          <t>بله</t>
        </is>
      </c>
    </row>
    <row r="2980">
      <c r="A2980" s="173" t="n">
        <v>47901</v>
      </c>
      <c r="B2980" s="174" t="n">
        <v>47901</v>
      </c>
      <c r="C2980" s="174" t="n">
        <v>1409</v>
      </c>
      <c r="D2980" s="174" t="n">
        <v>12</v>
      </c>
      <c r="E2980" s="175" t="inlineStr">
        <is>
          <t>1409/12/03</t>
        </is>
      </c>
      <c r="F2980" s="128" t="inlineStr">
        <is>
          <t>1409/12</t>
        </is>
      </c>
      <c r="G2980" s="58" t="inlineStr">
        <is>
          <t>اسفند</t>
        </is>
      </c>
      <c r="H2980" s="128" t="inlineStr">
        <is>
          <t>زمستان</t>
        </is>
      </c>
      <c r="I2980" s="128" t="inlineStr">
        <is>
          <t>شنبه</t>
        </is>
      </c>
      <c r="J2980" s="128" t="inlineStr">
        <is>
          <t>خیر</t>
        </is>
      </c>
    </row>
    <row r="2981">
      <c r="A2981" s="176" t="n">
        <v>47902</v>
      </c>
      <c r="B2981" s="177" t="n">
        <v>47902</v>
      </c>
      <c r="C2981" s="177" t="n">
        <v>1409</v>
      </c>
      <c r="D2981" s="177" t="n">
        <v>12</v>
      </c>
      <c r="E2981" s="178" t="inlineStr">
        <is>
          <t>1409/12/04</t>
        </is>
      </c>
      <c r="F2981" s="134" t="inlineStr">
        <is>
          <t>1409/12</t>
        </is>
      </c>
      <c r="G2981" s="61" t="inlineStr">
        <is>
          <t>اسفند</t>
        </is>
      </c>
      <c r="H2981" s="134" t="inlineStr">
        <is>
          <t>زمستان</t>
        </is>
      </c>
      <c r="I2981" s="134" t="inlineStr">
        <is>
          <t>یکشنبه</t>
        </is>
      </c>
      <c r="J2981" s="134" t="inlineStr">
        <is>
          <t>خیر</t>
        </is>
      </c>
    </row>
    <row r="2982">
      <c r="A2982" s="173" t="n">
        <v>47903</v>
      </c>
      <c r="B2982" s="174" t="n">
        <v>47903</v>
      </c>
      <c r="C2982" s="174" t="n">
        <v>1409</v>
      </c>
      <c r="D2982" s="174" t="n">
        <v>12</v>
      </c>
      <c r="E2982" s="175" t="inlineStr">
        <is>
          <t>1409/12/05</t>
        </is>
      </c>
      <c r="F2982" s="128" t="inlineStr">
        <is>
          <t>1409/12</t>
        </is>
      </c>
      <c r="G2982" s="58" t="inlineStr">
        <is>
          <t>اسفند</t>
        </is>
      </c>
      <c r="H2982" s="128" t="inlineStr">
        <is>
          <t>زمستان</t>
        </is>
      </c>
      <c r="I2982" s="128" t="inlineStr">
        <is>
          <t>دوشنبه</t>
        </is>
      </c>
      <c r="J2982" s="128" t="inlineStr">
        <is>
          <t>بله</t>
        </is>
      </c>
    </row>
    <row r="2983">
      <c r="A2983" s="176" t="n">
        <v>47904</v>
      </c>
      <c r="B2983" s="177" t="n">
        <v>47904</v>
      </c>
      <c r="C2983" s="177" t="n">
        <v>1409</v>
      </c>
      <c r="D2983" s="177" t="n">
        <v>12</v>
      </c>
      <c r="E2983" s="178" t="inlineStr">
        <is>
          <t>1409/12/06</t>
        </is>
      </c>
      <c r="F2983" s="134" t="inlineStr">
        <is>
          <t>1409/12</t>
        </is>
      </c>
      <c r="G2983" s="61" t="inlineStr">
        <is>
          <t>اسفند</t>
        </is>
      </c>
      <c r="H2983" s="134" t="inlineStr">
        <is>
          <t>زمستان</t>
        </is>
      </c>
      <c r="I2983" s="134" t="inlineStr">
        <is>
          <t>سه‌شنبه</t>
        </is>
      </c>
      <c r="J2983" s="134" t="inlineStr">
        <is>
          <t>بله</t>
        </is>
      </c>
    </row>
    <row r="2984">
      <c r="A2984" s="173" t="n">
        <v>47905</v>
      </c>
      <c r="B2984" s="174" t="n">
        <v>47905</v>
      </c>
      <c r="C2984" s="174" t="n">
        <v>1409</v>
      </c>
      <c r="D2984" s="174" t="n">
        <v>12</v>
      </c>
      <c r="E2984" s="175" t="inlineStr">
        <is>
          <t>1409/12/07</t>
        </is>
      </c>
      <c r="F2984" s="128" t="inlineStr">
        <is>
          <t>1409/12</t>
        </is>
      </c>
      <c r="G2984" s="58" t="inlineStr">
        <is>
          <t>اسفند</t>
        </is>
      </c>
      <c r="H2984" s="128" t="inlineStr">
        <is>
          <t>زمستان</t>
        </is>
      </c>
      <c r="I2984" s="128" t="inlineStr">
        <is>
          <t>چهارشنبه</t>
        </is>
      </c>
      <c r="J2984" s="128" t="inlineStr">
        <is>
          <t>بله</t>
        </is>
      </c>
    </row>
    <row r="2985">
      <c r="A2985" s="176" t="n">
        <v>47906</v>
      </c>
      <c r="B2985" s="177" t="n">
        <v>47906</v>
      </c>
      <c r="C2985" s="177" t="n">
        <v>1409</v>
      </c>
      <c r="D2985" s="177" t="n">
        <v>12</v>
      </c>
      <c r="E2985" s="178" t="inlineStr">
        <is>
          <t>1409/12/08</t>
        </is>
      </c>
      <c r="F2985" s="134" t="inlineStr">
        <is>
          <t>1409/12</t>
        </is>
      </c>
      <c r="G2985" s="61" t="inlineStr">
        <is>
          <t>اسفند</t>
        </is>
      </c>
      <c r="H2985" s="134" t="inlineStr">
        <is>
          <t>زمستان</t>
        </is>
      </c>
      <c r="I2985" s="134" t="inlineStr">
        <is>
          <t>پنجشنبه</t>
        </is>
      </c>
      <c r="J2985" s="134" t="inlineStr">
        <is>
          <t>بله</t>
        </is>
      </c>
    </row>
    <row r="2986">
      <c r="A2986" s="173" t="n">
        <v>47907</v>
      </c>
      <c r="B2986" s="174" t="n">
        <v>47907</v>
      </c>
      <c r="C2986" s="174" t="n">
        <v>1409</v>
      </c>
      <c r="D2986" s="174" t="n">
        <v>12</v>
      </c>
      <c r="E2986" s="175" t="inlineStr">
        <is>
          <t>1409/12/09</t>
        </is>
      </c>
      <c r="F2986" s="128" t="inlineStr">
        <is>
          <t>1409/12</t>
        </is>
      </c>
      <c r="G2986" s="58" t="inlineStr">
        <is>
          <t>اسفند</t>
        </is>
      </c>
      <c r="H2986" s="128" t="inlineStr">
        <is>
          <t>زمستان</t>
        </is>
      </c>
      <c r="I2986" s="128" t="inlineStr">
        <is>
          <t>جمعه</t>
        </is>
      </c>
      <c r="J2986" s="128" t="inlineStr">
        <is>
          <t>بله</t>
        </is>
      </c>
    </row>
    <row r="2987">
      <c r="A2987" s="176" t="n">
        <v>47908</v>
      </c>
      <c r="B2987" s="177" t="n">
        <v>47908</v>
      </c>
      <c r="C2987" s="177" t="n">
        <v>1409</v>
      </c>
      <c r="D2987" s="177" t="n">
        <v>12</v>
      </c>
      <c r="E2987" s="178" t="inlineStr">
        <is>
          <t>1409/12/10</t>
        </is>
      </c>
      <c r="F2987" s="134" t="inlineStr">
        <is>
          <t>1409/12</t>
        </is>
      </c>
      <c r="G2987" s="61" t="inlineStr">
        <is>
          <t>اسفند</t>
        </is>
      </c>
      <c r="H2987" s="134" t="inlineStr">
        <is>
          <t>زمستان</t>
        </is>
      </c>
      <c r="I2987" s="134" t="inlineStr">
        <is>
          <t>شنبه</t>
        </is>
      </c>
      <c r="J2987" s="134" t="inlineStr">
        <is>
          <t>خیر</t>
        </is>
      </c>
    </row>
    <row r="2988">
      <c r="A2988" s="173" t="n">
        <v>47909</v>
      </c>
      <c r="B2988" s="174" t="n">
        <v>47909</v>
      </c>
      <c r="C2988" s="174" t="n">
        <v>1409</v>
      </c>
      <c r="D2988" s="174" t="n">
        <v>12</v>
      </c>
      <c r="E2988" s="175" t="inlineStr">
        <is>
          <t>1409/12/11</t>
        </is>
      </c>
      <c r="F2988" s="128" t="inlineStr">
        <is>
          <t>1409/12</t>
        </is>
      </c>
      <c r="G2988" s="58" t="inlineStr">
        <is>
          <t>اسفند</t>
        </is>
      </c>
      <c r="H2988" s="128" t="inlineStr">
        <is>
          <t>زمستان</t>
        </is>
      </c>
      <c r="I2988" s="128" t="inlineStr">
        <is>
          <t>یکشنبه</t>
        </is>
      </c>
      <c r="J2988" s="128" t="inlineStr">
        <is>
          <t>خیر</t>
        </is>
      </c>
    </row>
    <row r="2989">
      <c r="A2989" s="176" t="n">
        <v>47910</v>
      </c>
      <c r="B2989" s="177" t="n">
        <v>47910</v>
      </c>
      <c r="C2989" s="177" t="n">
        <v>1409</v>
      </c>
      <c r="D2989" s="177" t="n">
        <v>12</v>
      </c>
      <c r="E2989" s="178" t="inlineStr">
        <is>
          <t>1409/12/12</t>
        </is>
      </c>
      <c r="F2989" s="134" t="inlineStr">
        <is>
          <t>1409/12</t>
        </is>
      </c>
      <c r="G2989" s="61" t="inlineStr">
        <is>
          <t>اسفند</t>
        </is>
      </c>
      <c r="H2989" s="134" t="inlineStr">
        <is>
          <t>زمستان</t>
        </is>
      </c>
      <c r="I2989" s="134" t="inlineStr">
        <is>
          <t>دوشنبه</t>
        </is>
      </c>
      <c r="J2989" s="134" t="inlineStr">
        <is>
          <t>بله</t>
        </is>
      </c>
    </row>
    <row r="2990">
      <c r="A2990" s="173" t="n">
        <v>47911</v>
      </c>
      <c r="B2990" s="174" t="n">
        <v>47911</v>
      </c>
      <c r="C2990" s="174" t="n">
        <v>1409</v>
      </c>
      <c r="D2990" s="174" t="n">
        <v>12</v>
      </c>
      <c r="E2990" s="175" t="inlineStr">
        <is>
          <t>1409/12/13</t>
        </is>
      </c>
      <c r="F2990" s="128" t="inlineStr">
        <is>
          <t>1409/12</t>
        </is>
      </c>
      <c r="G2990" s="58" t="inlineStr">
        <is>
          <t>اسفند</t>
        </is>
      </c>
      <c r="H2990" s="128" t="inlineStr">
        <is>
          <t>زمستان</t>
        </is>
      </c>
      <c r="I2990" s="128" t="inlineStr">
        <is>
          <t>سه‌شنبه</t>
        </is>
      </c>
      <c r="J2990" s="128" t="inlineStr">
        <is>
          <t>بله</t>
        </is>
      </c>
    </row>
    <row r="2991">
      <c r="A2991" s="176" t="n">
        <v>47912</v>
      </c>
      <c r="B2991" s="177" t="n">
        <v>47912</v>
      </c>
      <c r="C2991" s="177" t="n">
        <v>1409</v>
      </c>
      <c r="D2991" s="177" t="n">
        <v>12</v>
      </c>
      <c r="E2991" s="178" t="inlineStr">
        <is>
          <t>1409/12/14</t>
        </is>
      </c>
      <c r="F2991" s="134" t="inlineStr">
        <is>
          <t>1409/12</t>
        </is>
      </c>
      <c r="G2991" s="61" t="inlineStr">
        <is>
          <t>اسفند</t>
        </is>
      </c>
      <c r="H2991" s="134" t="inlineStr">
        <is>
          <t>زمستان</t>
        </is>
      </c>
      <c r="I2991" s="134" t="inlineStr">
        <is>
          <t>چهارشنبه</t>
        </is>
      </c>
      <c r="J2991" s="134" t="inlineStr">
        <is>
          <t>بله</t>
        </is>
      </c>
    </row>
    <row r="2992">
      <c r="A2992" s="173" t="n">
        <v>47913</v>
      </c>
      <c r="B2992" s="174" t="n">
        <v>47913</v>
      </c>
      <c r="C2992" s="174" t="n">
        <v>1409</v>
      </c>
      <c r="D2992" s="174" t="n">
        <v>12</v>
      </c>
      <c r="E2992" s="175" t="inlineStr">
        <is>
          <t>1409/12/15</t>
        </is>
      </c>
      <c r="F2992" s="128" t="inlineStr">
        <is>
          <t>1409/12</t>
        </is>
      </c>
      <c r="G2992" s="58" t="inlineStr">
        <is>
          <t>اسفند</t>
        </is>
      </c>
      <c r="H2992" s="128" t="inlineStr">
        <is>
          <t>زمستان</t>
        </is>
      </c>
      <c r="I2992" s="128" t="inlineStr">
        <is>
          <t>پنجشنبه</t>
        </is>
      </c>
      <c r="J2992" s="128" t="inlineStr">
        <is>
          <t>بله</t>
        </is>
      </c>
    </row>
    <row r="2993">
      <c r="A2993" s="176" t="n">
        <v>47914</v>
      </c>
      <c r="B2993" s="177" t="n">
        <v>47914</v>
      </c>
      <c r="C2993" s="177" t="n">
        <v>1409</v>
      </c>
      <c r="D2993" s="177" t="n">
        <v>12</v>
      </c>
      <c r="E2993" s="178" t="inlineStr">
        <is>
          <t>1409/12/16</t>
        </is>
      </c>
      <c r="F2993" s="134" t="inlineStr">
        <is>
          <t>1409/12</t>
        </is>
      </c>
      <c r="G2993" s="61" t="inlineStr">
        <is>
          <t>اسفند</t>
        </is>
      </c>
      <c r="H2993" s="134" t="inlineStr">
        <is>
          <t>زمستان</t>
        </is>
      </c>
      <c r="I2993" s="134" t="inlineStr">
        <is>
          <t>جمعه</t>
        </is>
      </c>
      <c r="J2993" s="134" t="inlineStr">
        <is>
          <t>بله</t>
        </is>
      </c>
    </row>
    <row r="2994">
      <c r="A2994" s="173" t="n">
        <v>47915</v>
      </c>
      <c r="B2994" s="174" t="n">
        <v>47915</v>
      </c>
      <c r="C2994" s="174" t="n">
        <v>1409</v>
      </c>
      <c r="D2994" s="174" t="n">
        <v>12</v>
      </c>
      <c r="E2994" s="175" t="inlineStr">
        <is>
          <t>1409/12/17</t>
        </is>
      </c>
      <c r="F2994" s="128" t="inlineStr">
        <is>
          <t>1409/12</t>
        </is>
      </c>
      <c r="G2994" s="58" t="inlineStr">
        <is>
          <t>اسفند</t>
        </is>
      </c>
      <c r="H2994" s="128" t="inlineStr">
        <is>
          <t>زمستان</t>
        </is>
      </c>
      <c r="I2994" s="128" t="inlineStr">
        <is>
          <t>شنبه</t>
        </is>
      </c>
      <c r="J2994" s="128" t="inlineStr">
        <is>
          <t>خیر</t>
        </is>
      </c>
    </row>
    <row r="2995">
      <c r="A2995" s="176" t="n">
        <v>47916</v>
      </c>
      <c r="B2995" s="177" t="n">
        <v>47916</v>
      </c>
      <c r="C2995" s="177" t="n">
        <v>1409</v>
      </c>
      <c r="D2995" s="177" t="n">
        <v>12</v>
      </c>
      <c r="E2995" s="178" t="inlineStr">
        <is>
          <t>1409/12/18</t>
        </is>
      </c>
      <c r="F2995" s="134" t="inlineStr">
        <is>
          <t>1409/12</t>
        </is>
      </c>
      <c r="G2995" s="61" t="inlineStr">
        <is>
          <t>اسفند</t>
        </is>
      </c>
      <c r="H2995" s="134" t="inlineStr">
        <is>
          <t>زمستان</t>
        </is>
      </c>
      <c r="I2995" s="134" t="inlineStr">
        <is>
          <t>یکشنبه</t>
        </is>
      </c>
      <c r="J2995" s="134" t="inlineStr">
        <is>
          <t>خیر</t>
        </is>
      </c>
    </row>
    <row r="2996">
      <c r="A2996" s="173" t="n">
        <v>47917</v>
      </c>
      <c r="B2996" s="174" t="n">
        <v>47917</v>
      </c>
      <c r="C2996" s="174" t="n">
        <v>1409</v>
      </c>
      <c r="D2996" s="174" t="n">
        <v>12</v>
      </c>
      <c r="E2996" s="175" t="inlineStr">
        <is>
          <t>1409/12/19</t>
        </is>
      </c>
      <c r="F2996" s="128" t="inlineStr">
        <is>
          <t>1409/12</t>
        </is>
      </c>
      <c r="G2996" s="58" t="inlineStr">
        <is>
          <t>اسفند</t>
        </is>
      </c>
      <c r="H2996" s="128" t="inlineStr">
        <is>
          <t>زمستان</t>
        </is>
      </c>
      <c r="I2996" s="128" t="inlineStr">
        <is>
          <t>دوشنبه</t>
        </is>
      </c>
      <c r="J2996" s="128" t="inlineStr">
        <is>
          <t>بله</t>
        </is>
      </c>
    </row>
    <row r="2997">
      <c r="A2997" s="176" t="n">
        <v>47918</v>
      </c>
      <c r="B2997" s="177" t="n">
        <v>47918</v>
      </c>
      <c r="C2997" s="177" t="n">
        <v>1409</v>
      </c>
      <c r="D2997" s="177" t="n">
        <v>12</v>
      </c>
      <c r="E2997" s="178" t="inlineStr">
        <is>
          <t>1409/12/20</t>
        </is>
      </c>
      <c r="F2997" s="134" t="inlineStr">
        <is>
          <t>1409/12</t>
        </is>
      </c>
      <c r="G2997" s="61" t="inlineStr">
        <is>
          <t>اسفند</t>
        </is>
      </c>
      <c r="H2997" s="134" t="inlineStr">
        <is>
          <t>زمستان</t>
        </is>
      </c>
      <c r="I2997" s="134" t="inlineStr">
        <is>
          <t>سه‌شنبه</t>
        </is>
      </c>
      <c r="J2997" s="134" t="inlineStr">
        <is>
          <t>بله</t>
        </is>
      </c>
    </row>
    <row r="2998">
      <c r="A2998" s="173" t="n">
        <v>47919</v>
      </c>
      <c r="B2998" s="174" t="n">
        <v>47919</v>
      </c>
      <c r="C2998" s="174" t="n">
        <v>1409</v>
      </c>
      <c r="D2998" s="174" t="n">
        <v>12</v>
      </c>
      <c r="E2998" s="175" t="inlineStr">
        <is>
          <t>1409/12/21</t>
        </is>
      </c>
      <c r="F2998" s="128" t="inlineStr">
        <is>
          <t>1409/12</t>
        </is>
      </c>
      <c r="G2998" s="58" t="inlineStr">
        <is>
          <t>اسفند</t>
        </is>
      </c>
      <c r="H2998" s="128" t="inlineStr">
        <is>
          <t>زمستان</t>
        </is>
      </c>
      <c r="I2998" s="128" t="inlineStr">
        <is>
          <t>چهارشنبه</t>
        </is>
      </c>
      <c r="J2998" s="128" t="inlineStr">
        <is>
          <t>بله</t>
        </is>
      </c>
    </row>
    <row r="2999">
      <c r="A2999" s="176" t="n">
        <v>47920</v>
      </c>
      <c r="B2999" s="177" t="n">
        <v>47920</v>
      </c>
      <c r="C2999" s="177" t="n">
        <v>1409</v>
      </c>
      <c r="D2999" s="177" t="n">
        <v>12</v>
      </c>
      <c r="E2999" s="178" t="inlineStr">
        <is>
          <t>1409/12/22</t>
        </is>
      </c>
      <c r="F2999" s="134" t="inlineStr">
        <is>
          <t>1409/12</t>
        </is>
      </c>
      <c r="G2999" s="61" t="inlineStr">
        <is>
          <t>اسفند</t>
        </is>
      </c>
      <c r="H2999" s="134" t="inlineStr">
        <is>
          <t>زمستان</t>
        </is>
      </c>
      <c r="I2999" s="134" t="inlineStr">
        <is>
          <t>پنجشنبه</t>
        </is>
      </c>
      <c r="J2999" s="134" t="inlineStr">
        <is>
          <t>بله</t>
        </is>
      </c>
    </row>
    <row r="3000">
      <c r="A3000" s="173" t="n">
        <v>47921</v>
      </c>
      <c r="B3000" s="174" t="n">
        <v>47921</v>
      </c>
      <c r="C3000" s="174" t="n">
        <v>1409</v>
      </c>
      <c r="D3000" s="174" t="n">
        <v>12</v>
      </c>
      <c r="E3000" s="175" t="inlineStr">
        <is>
          <t>1409/12/23</t>
        </is>
      </c>
      <c r="F3000" s="128" t="inlineStr">
        <is>
          <t>1409/12</t>
        </is>
      </c>
      <c r="G3000" s="58" t="inlineStr">
        <is>
          <t>اسفند</t>
        </is>
      </c>
      <c r="H3000" s="128" t="inlineStr">
        <is>
          <t>زمستان</t>
        </is>
      </c>
      <c r="I3000" s="128" t="inlineStr">
        <is>
          <t>جمعه</t>
        </is>
      </c>
      <c r="J3000" s="128" t="inlineStr">
        <is>
          <t>بله</t>
        </is>
      </c>
    </row>
    <row r="3001">
      <c r="A3001" s="176" t="n">
        <v>47922</v>
      </c>
      <c r="B3001" s="177" t="n">
        <v>47922</v>
      </c>
      <c r="C3001" s="177" t="n">
        <v>1409</v>
      </c>
      <c r="D3001" s="177" t="n">
        <v>12</v>
      </c>
      <c r="E3001" s="178" t="inlineStr">
        <is>
          <t>1409/12/24</t>
        </is>
      </c>
      <c r="F3001" s="134" t="inlineStr">
        <is>
          <t>1409/12</t>
        </is>
      </c>
      <c r="G3001" s="61" t="inlineStr">
        <is>
          <t>اسفند</t>
        </is>
      </c>
      <c r="H3001" s="134" t="inlineStr">
        <is>
          <t>زمستان</t>
        </is>
      </c>
      <c r="I3001" s="134" t="inlineStr">
        <is>
          <t>شنبه</t>
        </is>
      </c>
      <c r="J3001" s="134" t="inlineStr">
        <is>
          <t>خیر</t>
        </is>
      </c>
    </row>
    <row r="3002">
      <c r="A3002" s="173" t="n">
        <v>47923</v>
      </c>
      <c r="B3002" s="174" t="n">
        <v>47923</v>
      </c>
      <c r="C3002" s="174" t="n">
        <v>1409</v>
      </c>
      <c r="D3002" s="174" t="n">
        <v>12</v>
      </c>
      <c r="E3002" s="175" t="inlineStr">
        <is>
          <t>1409/12/25</t>
        </is>
      </c>
      <c r="F3002" s="128" t="inlineStr">
        <is>
          <t>1409/12</t>
        </is>
      </c>
      <c r="G3002" s="58" t="inlineStr">
        <is>
          <t>اسفند</t>
        </is>
      </c>
      <c r="H3002" s="128" t="inlineStr">
        <is>
          <t>زمستان</t>
        </is>
      </c>
      <c r="I3002" s="128" t="inlineStr">
        <is>
          <t>یکشنبه</t>
        </is>
      </c>
      <c r="J3002" s="128" t="inlineStr">
        <is>
          <t>خیر</t>
        </is>
      </c>
    </row>
    <row r="3003">
      <c r="A3003" s="176" t="n">
        <v>47924</v>
      </c>
      <c r="B3003" s="177" t="n">
        <v>47924</v>
      </c>
      <c r="C3003" s="177" t="n">
        <v>1409</v>
      </c>
      <c r="D3003" s="177" t="n">
        <v>12</v>
      </c>
      <c r="E3003" s="178" t="inlineStr">
        <is>
          <t>1409/12/26</t>
        </is>
      </c>
      <c r="F3003" s="134" t="inlineStr">
        <is>
          <t>1409/12</t>
        </is>
      </c>
      <c r="G3003" s="61" t="inlineStr">
        <is>
          <t>اسفند</t>
        </is>
      </c>
      <c r="H3003" s="134" t="inlineStr">
        <is>
          <t>زمستان</t>
        </is>
      </c>
      <c r="I3003" s="134" t="inlineStr">
        <is>
          <t>دوشنبه</t>
        </is>
      </c>
      <c r="J3003" s="134" t="inlineStr">
        <is>
          <t>بله</t>
        </is>
      </c>
    </row>
    <row r="3004">
      <c r="A3004" s="173" t="n">
        <v>47925</v>
      </c>
      <c r="B3004" s="174" t="n">
        <v>47925</v>
      </c>
      <c r="C3004" s="174" t="n">
        <v>1409</v>
      </c>
      <c r="D3004" s="174" t="n">
        <v>12</v>
      </c>
      <c r="E3004" s="175" t="inlineStr">
        <is>
          <t>1409/12/27</t>
        </is>
      </c>
      <c r="F3004" s="128" t="inlineStr">
        <is>
          <t>1409/12</t>
        </is>
      </c>
      <c r="G3004" s="58" t="inlineStr">
        <is>
          <t>اسفند</t>
        </is>
      </c>
      <c r="H3004" s="128" t="inlineStr">
        <is>
          <t>زمستان</t>
        </is>
      </c>
      <c r="I3004" s="128" t="inlineStr">
        <is>
          <t>سه‌شنبه</t>
        </is>
      </c>
      <c r="J3004" s="128" t="inlineStr">
        <is>
          <t>بله</t>
        </is>
      </c>
    </row>
    <row r="3005">
      <c r="A3005" s="176" t="n">
        <v>47926</v>
      </c>
      <c r="B3005" s="177" t="n">
        <v>47926</v>
      </c>
      <c r="C3005" s="177" t="n">
        <v>1409</v>
      </c>
      <c r="D3005" s="177" t="n">
        <v>12</v>
      </c>
      <c r="E3005" s="178" t="inlineStr">
        <is>
          <t>1409/12/28</t>
        </is>
      </c>
      <c r="F3005" s="134" t="inlineStr">
        <is>
          <t>1409/12</t>
        </is>
      </c>
      <c r="G3005" s="61" t="inlineStr">
        <is>
          <t>اسفند</t>
        </is>
      </c>
      <c r="H3005" s="134" t="inlineStr">
        <is>
          <t>زمستان</t>
        </is>
      </c>
      <c r="I3005" s="134" t="inlineStr">
        <is>
          <t>چهارشنبه</t>
        </is>
      </c>
      <c r="J3005" s="134" t="inlineStr">
        <is>
          <t>بله</t>
        </is>
      </c>
    </row>
    <row r="3006">
      <c r="A3006" s="173" t="n">
        <v>47927</v>
      </c>
      <c r="B3006" s="174" t="n">
        <v>47927</v>
      </c>
      <c r="C3006" s="174" t="n">
        <v>1409</v>
      </c>
      <c r="D3006" s="174" t="n">
        <v>12</v>
      </c>
      <c r="E3006" s="175" t="inlineStr">
        <is>
          <t>1409/12/29</t>
        </is>
      </c>
      <c r="F3006" s="128" t="inlineStr">
        <is>
          <t>1409/12</t>
        </is>
      </c>
      <c r="G3006" s="58" t="inlineStr">
        <is>
          <t>اسفند</t>
        </is>
      </c>
      <c r="H3006" s="128" t="inlineStr">
        <is>
          <t>زمستان</t>
        </is>
      </c>
      <c r="I3006" s="128" t="inlineStr">
        <is>
          <t>پنجشنبه</t>
        </is>
      </c>
      <c r="J3006" s="128" t="inlineStr">
        <is>
          <t>بله</t>
        </is>
      </c>
    </row>
    <row r="3007">
      <c r="A3007" s="176" t="n">
        <v>47928</v>
      </c>
      <c r="B3007" s="177" t="n">
        <v>47928</v>
      </c>
      <c r="C3007" s="177" t="n">
        <v>1410</v>
      </c>
      <c r="D3007" s="177" t="n">
        <v>1</v>
      </c>
      <c r="E3007" s="178" t="inlineStr">
        <is>
          <t>1410/01/01</t>
        </is>
      </c>
      <c r="F3007" s="134" t="inlineStr">
        <is>
          <t>1410/01</t>
        </is>
      </c>
      <c r="G3007" s="61" t="inlineStr">
        <is>
          <t>فروردین</t>
        </is>
      </c>
      <c r="H3007" s="134" t="inlineStr">
        <is>
          <t>بهار</t>
        </is>
      </c>
      <c r="I3007" s="134" t="inlineStr">
        <is>
          <t>جمعه</t>
        </is>
      </c>
      <c r="J3007" s="134" t="inlineStr">
        <is>
          <t>بله</t>
        </is>
      </c>
    </row>
    <row r="3008">
      <c r="A3008" s="173" t="n">
        <v>47929</v>
      </c>
      <c r="B3008" s="174" t="n">
        <v>47929</v>
      </c>
      <c r="C3008" s="174" t="n">
        <v>1410</v>
      </c>
      <c r="D3008" s="174" t="n">
        <v>1</v>
      </c>
      <c r="E3008" s="175" t="inlineStr">
        <is>
          <t>1410/01/02</t>
        </is>
      </c>
      <c r="F3008" s="128" t="inlineStr">
        <is>
          <t>1410/01</t>
        </is>
      </c>
      <c r="G3008" s="58" t="inlineStr">
        <is>
          <t>فروردین</t>
        </is>
      </c>
      <c r="H3008" s="128" t="inlineStr">
        <is>
          <t>بهار</t>
        </is>
      </c>
      <c r="I3008" s="128" t="inlineStr">
        <is>
          <t>شنبه</t>
        </is>
      </c>
      <c r="J3008" s="128" t="inlineStr">
        <is>
          <t>خیر</t>
        </is>
      </c>
    </row>
    <row r="3009">
      <c r="A3009" s="176" t="n">
        <v>47930</v>
      </c>
      <c r="B3009" s="177" t="n">
        <v>47930</v>
      </c>
      <c r="C3009" s="177" t="n">
        <v>1410</v>
      </c>
      <c r="D3009" s="177" t="n">
        <v>1</v>
      </c>
      <c r="E3009" s="178" t="inlineStr">
        <is>
          <t>1410/01/03</t>
        </is>
      </c>
      <c r="F3009" s="134" t="inlineStr">
        <is>
          <t>1410/01</t>
        </is>
      </c>
      <c r="G3009" s="61" t="inlineStr">
        <is>
          <t>فروردین</t>
        </is>
      </c>
      <c r="H3009" s="134" t="inlineStr">
        <is>
          <t>بهار</t>
        </is>
      </c>
      <c r="I3009" s="134" t="inlineStr">
        <is>
          <t>یکشنبه</t>
        </is>
      </c>
      <c r="J3009" s="134" t="inlineStr">
        <is>
          <t>خیر</t>
        </is>
      </c>
    </row>
    <row r="3010">
      <c r="A3010" s="173" t="n">
        <v>47931</v>
      </c>
      <c r="B3010" s="174" t="n">
        <v>47931</v>
      </c>
      <c r="C3010" s="174" t="n">
        <v>1410</v>
      </c>
      <c r="D3010" s="174" t="n">
        <v>1</v>
      </c>
      <c r="E3010" s="175" t="inlineStr">
        <is>
          <t>1410/01/04</t>
        </is>
      </c>
      <c r="F3010" s="128" t="inlineStr">
        <is>
          <t>1410/01</t>
        </is>
      </c>
      <c r="G3010" s="58" t="inlineStr">
        <is>
          <t>فروردین</t>
        </is>
      </c>
      <c r="H3010" s="128" t="inlineStr">
        <is>
          <t>بهار</t>
        </is>
      </c>
      <c r="I3010" s="128" t="inlineStr">
        <is>
          <t>دوشنبه</t>
        </is>
      </c>
      <c r="J3010" s="128" t="inlineStr">
        <is>
          <t>بله</t>
        </is>
      </c>
    </row>
    <row r="3011">
      <c r="A3011" s="176" t="n">
        <v>47932</v>
      </c>
      <c r="B3011" s="177" t="n">
        <v>47932</v>
      </c>
      <c r="C3011" s="177" t="n">
        <v>1410</v>
      </c>
      <c r="D3011" s="177" t="n">
        <v>1</v>
      </c>
      <c r="E3011" s="178" t="inlineStr">
        <is>
          <t>1410/01/05</t>
        </is>
      </c>
      <c r="F3011" s="134" t="inlineStr">
        <is>
          <t>1410/01</t>
        </is>
      </c>
      <c r="G3011" s="61" t="inlineStr">
        <is>
          <t>فروردین</t>
        </is>
      </c>
      <c r="H3011" s="134" t="inlineStr">
        <is>
          <t>بهار</t>
        </is>
      </c>
      <c r="I3011" s="134" t="inlineStr">
        <is>
          <t>سه‌شنبه</t>
        </is>
      </c>
      <c r="J3011" s="134" t="inlineStr">
        <is>
          <t>بله</t>
        </is>
      </c>
    </row>
    <row r="3012">
      <c r="A3012" s="173" t="n">
        <v>47933</v>
      </c>
      <c r="B3012" s="174" t="n">
        <v>47933</v>
      </c>
      <c r="C3012" s="174" t="n">
        <v>1410</v>
      </c>
      <c r="D3012" s="174" t="n">
        <v>1</v>
      </c>
      <c r="E3012" s="175" t="inlineStr">
        <is>
          <t>1410/01/06</t>
        </is>
      </c>
      <c r="F3012" s="128" t="inlineStr">
        <is>
          <t>1410/01</t>
        </is>
      </c>
      <c r="G3012" s="58" t="inlineStr">
        <is>
          <t>فروردین</t>
        </is>
      </c>
      <c r="H3012" s="128" t="inlineStr">
        <is>
          <t>بهار</t>
        </is>
      </c>
      <c r="I3012" s="128" t="inlineStr">
        <is>
          <t>چهارشنبه</t>
        </is>
      </c>
      <c r="J3012" s="128" t="inlineStr">
        <is>
          <t>بله</t>
        </is>
      </c>
    </row>
    <row r="3013">
      <c r="A3013" s="176" t="n">
        <v>47934</v>
      </c>
      <c r="B3013" s="177" t="n">
        <v>47934</v>
      </c>
      <c r="C3013" s="177" t="n">
        <v>1410</v>
      </c>
      <c r="D3013" s="177" t="n">
        <v>1</v>
      </c>
      <c r="E3013" s="178" t="inlineStr">
        <is>
          <t>1410/01/07</t>
        </is>
      </c>
      <c r="F3013" s="134" t="inlineStr">
        <is>
          <t>1410/01</t>
        </is>
      </c>
      <c r="G3013" s="61" t="inlineStr">
        <is>
          <t>فروردین</t>
        </is>
      </c>
      <c r="H3013" s="134" t="inlineStr">
        <is>
          <t>بهار</t>
        </is>
      </c>
      <c r="I3013" s="134" t="inlineStr">
        <is>
          <t>پنجشنبه</t>
        </is>
      </c>
      <c r="J3013" s="134" t="inlineStr">
        <is>
          <t>بله</t>
        </is>
      </c>
    </row>
    <row r="3014">
      <c r="A3014" s="173" t="n">
        <v>47935</v>
      </c>
      <c r="B3014" s="174" t="n">
        <v>47935</v>
      </c>
      <c r="C3014" s="174" t="n">
        <v>1410</v>
      </c>
      <c r="D3014" s="174" t="n">
        <v>1</v>
      </c>
      <c r="E3014" s="175" t="inlineStr">
        <is>
          <t>1410/01/08</t>
        </is>
      </c>
      <c r="F3014" s="128" t="inlineStr">
        <is>
          <t>1410/01</t>
        </is>
      </c>
      <c r="G3014" s="58" t="inlineStr">
        <is>
          <t>فروردین</t>
        </is>
      </c>
      <c r="H3014" s="128" t="inlineStr">
        <is>
          <t>بهار</t>
        </is>
      </c>
      <c r="I3014" s="128" t="inlineStr">
        <is>
          <t>جمعه</t>
        </is>
      </c>
      <c r="J3014" s="128" t="inlineStr">
        <is>
          <t>بله</t>
        </is>
      </c>
    </row>
    <row r="3015">
      <c r="A3015" s="176" t="n">
        <v>47936</v>
      </c>
      <c r="B3015" s="177" t="n">
        <v>47936</v>
      </c>
      <c r="C3015" s="177" t="n">
        <v>1410</v>
      </c>
      <c r="D3015" s="177" t="n">
        <v>1</v>
      </c>
      <c r="E3015" s="178" t="inlineStr">
        <is>
          <t>1410/01/09</t>
        </is>
      </c>
      <c r="F3015" s="134" t="inlineStr">
        <is>
          <t>1410/01</t>
        </is>
      </c>
      <c r="G3015" s="61" t="inlineStr">
        <is>
          <t>فروردین</t>
        </is>
      </c>
      <c r="H3015" s="134" t="inlineStr">
        <is>
          <t>بهار</t>
        </is>
      </c>
      <c r="I3015" s="134" t="inlineStr">
        <is>
          <t>شنبه</t>
        </is>
      </c>
      <c r="J3015" s="134" t="inlineStr">
        <is>
          <t>خیر</t>
        </is>
      </c>
    </row>
    <row r="3016">
      <c r="A3016" s="173" t="n">
        <v>47937</v>
      </c>
      <c r="B3016" s="174" t="n">
        <v>47937</v>
      </c>
      <c r="C3016" s="174" t="n">
        <v>1410</v>
      </c>
      <c r="D3016" s="174" t="n">
        <v>1</v>
      </c>
      <c r="E3016" s="175" t="inlineStr">
        <is>
          <t>1410/01/10</t>
        </is>
      </c>
      <c r="F3016" s="128" t="inlineStr">
        <is>
          <t>1410/01</t>
        </is>
      </c>
      <c r="G3016" s="58" t="inlineStr">
        <is>
          <t>فروردین</t>
        </is>
      </c>
      <c r="H3016" s="128" t="inlineStr">
        <is>
          <t>بهار</t>
        </is>
      </c>
      <c r="I3016" s="128" t="inlineStr">
        <is>
          <t>یکشنبه</t>
        </is>
      </c>
      <c r="J3016" s="128" t="inlineStr">
        <is>
          <t>خیر</t>
        </is>
      </c>
    </row>
    <row r="3017">
      <c r="A3017" s="176" t="n">
        <v>47938</v>
      </c>
      <c r="B3017" s="177" t="n">
        <v>47938</v>
      </c>
      <c r="C3017" s="177" t="n">
        <v>1410</v>
      </c>
      <c r="D3017" s="177" t="n">
        <v>1</v>
      </c>
      <c r="E3017" s="178" t="inlineStr">
        <is>
          <t>1410/01/11</t>
        </is>
      </c>
      <c r="F3017" s="134" t="inlineStr">
        <is>
          <t>1410/01</t>
        </is>
      </c>
      <c r="G3017" s="61" t="inlineStr">
        <is>
          <t>فروردین</t>
        </is>
      </c>
      <c r="H3017" s="134" t="inlineStr">
        <is>
          <t>بهار</t>
        </is>
      </c>
      <c r="I3017" s="134" t="inlineStr">
        <is>
          <t>دوشنبه</t>
        </is>
      </c>
      <c r="J3017" s="134" t="inlineStr">
        <is>
          <t>بله</t>
        </is>
      </c>
    </row>
    <row r="3018">
      <c r="A3018" s="173" t="n">
        <v>47939</v>
      </c>
      <c r="B3018" s="174" t="n">
        <v>47939</v>
      </c>
      <c r="C3018" s="174" t="n">
        <v>1410</v>
      </c>
      <c r="D3018" s="174" t="n">
        <v>1</v>
      </c>
      <c r="E3018" s="175" t="inlineStr">
        <is>
          <t>1410/01/12</t>
        </is>
      </c>
      <c r="F3018" s="128" t="inlineStr">
        <is>
          <t>1410/01</t>
        </is>
      </c>
      <c r="G3018" s="58" t="inlineStr">
        <is>
          <t>فروردین</t>
        </is>
      </c>
      <c r="H3018" s="128" t="inlineStr">
        <is>
          <t>بهار</t>
        </is>
      </c>
      <c r="I3018" s="128" t="inlineStr">
        <is>
          <t>سه‌شنبه</t>
        </is>
      </c>
      <c r="J3018" s="128" t="inlineStr">
        <is>
          <t>بله</t>
        </is>
      </c>
    </row>
    <row r="3019">
      <c r="A3019" s="176" t="n">
        <v>47940</v>
      </c>
      <c r="B3019" s="177" t="n">
        <v>47940</v>
      </c>
      <c r="C3019" s="177" t="n">
        <v>1410</v>
      </c>
      <c r="D3019" s="177" t="n">
        <v>1</v>
      </c>
      <c r="E3019" s="178" t="inlineStr">
        <is>
          <t>1410/01/13</t>
        </is>
      </c>
      <c r="F3019" s="134" t="inlineStr">
        <is>
          <t>1410/01</t>
        </is>
      </c>
      <c r="G3019" s="61" t="inlineStr">
        <is>
          <t>فروردین</t>
        </is>
      </c>
      <c r="H3019" s="134" t="inlineStr">
        <is>
          <t>بهار</t>
        </is>
      </c>
      <c r="I3019" s="134" t="inlineStr">
        <is>
          <t>چهارشنبه</t>
        </is>
      </c>
      <c r="J3019" s="134" t="inlineStr">
        <is>
          <t>بله</t>
        </is>
      </c>
    </row>
    <row r="3020">
      <c r="A3020" s="173" t="n">
        <v>47941</v>
      </c>
      <c r="B3020" s="174" t="n">
        <v>47941</v>
      </c>
      <c r="C3020" s="174" t="n">
        <v>1410</v>
      </c>
      <c r="D3020" s="174" t="n">
        <v>1</v>
      </c>
      <c r="E3020" s="175" t="inlineStr">
        <is>
          <t>1410/01/14</t>
        </is>
      </c>
      <c r="F3020" s="128" t="inlineStr">
        <is>
          <t>1410/01</t>
        </is>
      </c>
      <c r="G3020" s="58" t="inlineStr">
        <is>
          <t>فروردین</t>
        </is>
      </c>
      <c r="H3020" s="128" t="inlineStr">
        <is>
          <t>بهار</t>
        </is>
      </c>
      <c r="I3020" s="128" t="inlineStr">
        <is>
          <t>پنجشنبه</t>
        </is>
      </c>
      <c r="J3020" s="128" t="inlineStr">
        <is>
          <t>بله</t>
        </is>
      </c>
    </row>
    <row r="3021">
      <c r="A3021" s="176" t="n">
        <v>47942</v>
      </c>
      <c r="B3021" s="177" t="n">
        <v>47942</v>
      </c>
      <c r="C3021" s="177" t="n">
        <v>1410</v>
      </c>
      <c r="D3021" s="177" t="n">
        <v>1</v>
      </c>
      <c r="E3021" s="178" t="inlineStr">
        <is>
          <t>1410/01/15</t>
        </is>
      </c>
      <c r="F3021" s="134" t="inlineStr">
        <is>
          <t>1410/01</t>
        </is>
      </c>
      <c r="G3021" s="61" t="inlineStr">
        <is>
          <t>فروردین</t>
        </is>
      </c>
      <c r="H3021" s="134" t="inlineStr">
        <is>
          <t>بهار</t>
        </is>
      </c>
      <c r="I3021" s="134" t="inlineStr">
        <is>
          <t>جمعه</t>
        </is>
      </c>
      <c r="J3021" s="134" t="inlineStr">
        <is>
          <t>بله</t>
        </is>
      </c>
    </row>
    <row r="3022">
      <c r="A3022" s="173" t="n">
        <v>47943</v>
      </c>
      <c r="B3022" s="174" t="n">
        <v>47943</v>
      </c>
      <c r="C3022" s="174" t="n">
        <v>1410</v>
      </c>
      <c r="D3022" s="174" t="n">
        <v>1</v>
      </c>
      <c r="E3022" s="175" t="inlineStr">
        <is>
          <t>1410/01/16</t>
        </is>
      </c>
      <c r="F3022" s="128" t="inlineStr">
        <is>
          <t>1410/01</t>
        </is>
      </c>
      <c r="G3022" s="58" t="inlineStr">
        <is>
          <t>فروردین</t>
        </is>
      </c>
      <c r="H3022" s="128" t="inlineStr">
        <is>
          <t>بهار</t>
        </is>
      </c>
      <c r="I3022" s="128" t="inlineStr">
        <is>
          <t>شنبه</t>
        </is>
      </c>
      <c r="J3022" s="128" t="inlineStr">
        <is>
          <t>خیر</t>
        </is>
      </c>
    </row>
    <row r="3023">
      <c r="A3023" s="176" t="n">
        <v>47944</v>
      </c>
      <c r="B3023" s="177" t="n">
        <v>47944</v>
      </c>
      <c r="C3023" s="177" t="n">
        <v>1410</v>
      </c>
      <c r="D3023" s="177" t="n">
        <v>1</v>
      </c>
      <c r="E3023" s="178" t="inlineStr">
        <is>
          <t>1410/01/17</t>
        </is>
      </c>
      <c r="F3023" s="134" t="inlineStr">
        <is>
          <t>1410/01</t>
        </is>
      </c>
      <c r="G3023" s="61" t="inlineStr">
        <is>
          <t>فروردین</t>
        </is>
      </c>
      <c r="H3023" s="134" t="inlineStr">
        <is>
          <t>بهار</t>
        </is>
      </c>
      <c r="I3023" s="134" t="inlineStr">
        <is>
          <t>یکشنبه</t>
        </is>
      </c>
      <c r="J3023" s="134" t="inlineStr">
        <is>
          <t>خیر</t>
        </is>
      </c>
    </row>
    <row r="3024">
      <c r="A3024" s="173" t="n">
        <v>47945</v>
      </c>
      <c r="B3024" s="174" t="n">
        <v>47945</v>
      </c>
      <c r="C3024" s="174" t="n">
        <v>1410</v>
      </c>
      <c r="D3024" s="174" t="n">
        <v>1</v>
      </c>
      <c r="E3024" s="175" t="inlineStr">
        <is>
          <t>1410/01/18</t>
        </is>
      </c>
      <c r="F3024" s="128" t="inlineStr">
        <is>
          <t>1410/01</t>
        </is>
      </c>
      <c r="G3024" s="58" t="inlineStr">
        <is>
          <t>فروردین</t>
        </is>
      </c>
      <c r="H3024" s="128" t="inlineStr">
        <is>
          <t>بهار</t>
        </is>
      </c>
      <c r="I3024" s="128" t="inlineStr">
        <is>
          <t>دوشنبه</t>
        </is>
      </c>
      <c r="J3024" s="128" t="inlineStr">
        <is>
          <t>بله</t>
        </is>
      </c>
    </row>
    <row r="3025">
      <c r="A3025" s="176" t="n">
        <v>47946</v>
      </c>
      <c r="B3025" s="177" t="n">
        <v>47946</v>
      </c>
      <c r="C3025" s="177" t="n">
        <v>1410</v>
      </c>
      <c r="D3025" s="177" t="n">
        <v>1</v>
      </c>
      <c r="E3025" s="178" t="inlineStr">
        <is>
          <t>1410/01/19</t>
        </is>
      </c>
      <c r="F3025" s="134" t="inlineStr">
        <is>
          <t>1410/01</t>
        </is>
      </c>
      <c r="G3025" s="61" t="inlineStr">
        <is>
          <t>فروردین</t>
        </is>
      </c>
      <c r="H3025" s="134" t="inlineStr">
        <is>
          <t>بهار</t>
        </is>
      </c>
      <c r="I3025" s="134" t="inlineStr">
        <is>
          <t>سه‌شنبه</t>
        </is>
      </c>
      <c r="J3025" s="134" t="inlineStr">
        <is>
          <t>بله</t>
        </is>
      </c>
    </row>
    <row r="3026">
      <c r="A3026" s="173" t="n">
        <v>47947</v>
      </c>
      <c r="B3026" s="174" t="n">
        <v>47947</v>
      </c>
      <c r="C3026" s="174" t="n">
        <v>1410</v>
      </c>
      <c r="D3026" s="174" t="n">
        <v>1</v>
      </c>
      <c r="E3026" s="175" t="inlineStr">
        <is>
          <t>1410/01/20</t>
        </is>
      </c>
      <c r="F3026" s="128" t="inlineStr">
        <is>
          <t>1410/01</t>
        </is>
      </c>
      <c r="G3026" s="58" t="inlineStr">
        <is>
          <t>فروردین</t>
        </is>
      </c>
      <c r="H3026" s="128" t="inlineStr">
        <is>
          <t>بهار</t>
        </is>
      </c>
      <c r="I3026" s="128" t="inlineStr">
        <is>
          <t>چهارشنبه</t>
        </is>
      </c>
      <c r="J3026" s="128" t="inlineStr">
        <is>
          <t>بله</t>
        </is>
      </c>
    </row>
    <row r="3027">
      <c r="A3027" s="176" t="n">
        <v>47948</v>
      </c>
      <c r="B3027" s="177" t="n">
        <v>47948</v>
      </c>
      <c r="C3027" s="177" t="n">
        <v>1410</v>
      </c>
      <c r="D3027" s="177" t="n">
        <v>1</v>
      </c>
      <c r="E3027" s="178" t="inlineStr">
        <is>
          <t>1410/01/21</t>
        </is>
      </c>
      <c r="F3027" s="134" t="inlineStr">
        <is>
          <t>1410/01</t>
        </is>
      </c>
      <c r="G3027" s="61" t="inlineStr">
        <is>
          <t>فروردین</t>
        </is>
      </c>
      <c r="H3027" s="134" t="inlineStr">
        <is>
          <t>بهار</t>
        </is>
      </c>
      <c r="I3027" s="134" t="inlineStr">
        <is>
          <t>پنجشنبه</t>
        </is>
      </c>
      <c r="J3027" s="134" t="inlineStr">
        <is>
          <t>بله</t>
        </is>
      </c>
    </row>
    <row r="3028">
      <c r="A3028" s="173" t="n">
        <v>47949</v>
      </c>
      <c r="B3028" s="174" t="n">
        <v>47949</v>
      </c>
      <c r="C3028" s="174" t="n">
        <v>1410</v>
      </c>
      <c r="D3028" s="174" t="n">
        <v>1</v>
      </c>
      <c r="E3028" s="175" t="inlineStr">
        <is>
          <t>1410/01/22</t>
        </is>
      </c>
      <c r="F3028" s="128" t="inlineStr">
        <is>
          <t>1410/01</t>
        </is>
      </c>
      <c r="G3028" s="58" t="inlineStr">
        <is>
          <t>فروردین</t>
        </is>
      </c>
      <c r="H3028" s="128" t="inlineStr">
        <is>
          <t>بهار</t>
        </is>
      </c>
      <c r="I3028" s="128" t="inlineStr">
        <is>
          <t>جمعه</t>
        </is>
      </c>
      <c r="J3028" s="128" t="inlineStr">
        <is>
          <t>بله</t>
        </is>
      </c>
    </row>
    <row r="3029">
      <c r="A3029" s="176" t="n">
        <v>47950</v>
      </c>
      <c r="B3029" s="177" t="n">
        <v>47950</v>
      </c>
      <c r="C3029" s="177" t="n">
        <v>1410</v>
      </c>
      <c r="D3029" s="177" t="n">
        <v>1</v>
      </c>
      <c r="E3029" s="178" t="inlineStr">
        <is>
          <t>1410/01/23</t>
        </is>
      </c>
      <c r="F3029" s="134" t="inlineStr">
        <is>
          <t>1410/01</t>
        </is>
      </c>
      <c r="G3029" s="61" t="inlineStr">
        <is>
          <t>فروردین</t>
        </is>
      </c>
      <c r="H3029" s="134" t="inlineStr">
        <is>
          <t>بهار</t>
        </is>
      </c>
      <c r="I3029" s="134" t="inlineStr">
        <is>
          <t>شنبه</t>
        </is>
      </c>
      <c r="J3029" s="134" t="inlineStr">
        <is>
          <t>خیر</t>
        </is>
      </c>
    </row>
    <row r="3030">
      <c r="A3030" s="173" t="n">
        <v>47951</v>
      </c>
      <c r="B3030" s="174" t="n">
        <v>47951</v>
      </c>
      <c r="C3030" s="174" t="n">
        <v>1410</v>
      </c>
      <c r="D3030" s="174" t="n">
        <v>1</v>
      </c>
      <c r="E3030" s="175" t="inlineStr">
        <is>
          <t>1410/01/24</t>
        </is>
      </c>
      <c r="F3030" s="128" t="inlineStr">
        <is>
          <t>1410/01</t>
        </is>
      </c>
      <c r="G3030" s="58" t="inlineStr">
        <is>
          <t>فروردین</t>
        </is>
      </c>
      <c r="H3030" s="128" t="inlineStr">
        <is>
          <t>بهار</t>
        </is>
      </c>
      <c r="I3030" s="128" t="inlineStr">
        <is>
          <t>یکشنبه</t>
        </is>
      </c>
      <c r="J3030" s="128" t="inlineStr">
        <is>
          <t>خیر</t>
        </is>
      </c>
    </row>
    <row r="3031">
      <c r="A3031" s="176" t="n">
        <v>47952</v>
      </c>
      <c r="B3031" s="177" t="n">
        <v>47952</v>
      </c>
      <c r="C3031" s="177" t="n">
        <v>1410</v>
      </c>
      <c r="D3031" s="177" t="n">
        <v>1</v>
      </c>
      <c r="E3031" s="178" t="inlineStr">
        <is>
          <t>1410/01/25</t>
        </is>
      </c>
      <c r="F3031" s="134" t="inlineStr">
        <is>
          <t>1410/01</t>
        </is>
      </c>
      <c r="G3031" s="61" t="inlineStr">
        <is>
          <t>فروردین</t>
        </is>
      </c>
      <c r="H3031" s="134" t="inlineStr">
        <is>
          <t>بهار</t>
        </is>
      </c>
      <c r="I3031" s="134" t="inlineStr">
        <is>
          <t>دوشنبه</t>
        </is>
      </c>
      <c r="J3031" s="134" t="inlineStr">
        <is>
          <t>بله</t>
        </is>
      </c>
    </row>
    <row r="3032">
      <c r="A3032" s="173" t="n">
        <v>47953</v>
      </c>
      <c r="B3032" s="174" t="n">
        <v>47953</v>
      </c>
      <c r="C3032" s="174" t="n">
        <v>1410</v>
      </c>
      <c r="D3032" s="174" t="n">
        <v>1</v>
      </c>
      <c r="E3032" s="175" t="inlineStr">
        <is>
          <t>1410/01/26</t>
        </is>
      </c>
      <c r="F3032" s="128" t="inlineStr">
        <is>
          <t>1410/01</t>
        </is>
      </c>
      <c r="G3032" s="58" t="inlineStr">
        <is>
          <t>فروردین</t>
        </is>
      </c>
      <c r="H3032" s="128" t="inlineStr">
        <is>
          <t>بهار</t>
        </is>
      </c>
      <c r="I3032" s="128" t="inlineStr">
        <is>
          <t>سه‌شنبه</t>
        </is>
      </c>
      <c r="J3032" s="128" t="inlineStr">
        <is>
          <t>بله</t>
        </is>
      </c>
    </row>
    <row r="3033">
      <c r="A3033" s="176" t="n">
        <v>47954</v>
      </c>
      <c r="B3033" s="177" t="n">
        <v>47954</v>
      </c>
      <c r="C3033" s="177" t="n">
        <v>1410</v>
      </c>
      <c r="D3033" s="177" t="n">
        <v>1</v>
      </c>
      <c r="E3033" s="178" t="inlineStr">
        <is>
          <t>1410/01/27</t>
        </is>
      </c>
      <c r="F3033" s="134" t="inlineStr">
        <is>
          <t>1410/01</t>
        </is>
      </c>
      <c r="G3033" s="61" t="inlineStr">
        <is>
          <t>فروردین</t>
        </is>
      </c>
      <c r="H3033" s="134" t="inlineStr">
        <is>
          <t>بهار</t>
        </is>
      </c>
      <c r="I3033" s="134" t="inlineStr">
        <is>
          <t>چهارشنبه</t>
        </is>
      </c>
      <c r="J3033" s="134" t="inlineStr">
        <is>
          <t>بله</t>
        </is>
      </c>
    </row>
    <row r="3034">
      <c r="A3034" s="173" t="n">
        <v>47955</v>
      </c>
      <c r="B3034" s="174" t="n">
        <v>47955</v>
      </c>
      <c r="C3034" s="174" t="n">
        <v>1410</v>
      </c>
      <c r="D3034" s="174" t="n">
        <v>1</v>
      </c>
      <c r="E3034" s="175" t="inlineStr">
        <is>
          <t>1410/01/28</t>
        </is>
      </c>
      <c r="F3034" s="128" t="inlineStr">
        <is>
          <t>1410/01</t>
        </is>
      </c>
      <c r="G3034" s="58" t="inlineStr">
        <is>
          <t>فروردین</t>
        </is>
      </c>
      <c r="H3034" s="128" t="inlineStr">
        <is>
          <t>بهار</t>
        </is>
      </c>
      <c r="I3034" s="128" t="inlineStr">
        <is>
          <t>پنجشنبه</t>
        </is>
      </c>
      <c r="J3034" s="128" t="inlineStr">
        <is>
          <t>بله</t>
        </is>
      </c>
    </row>
    <row r="3035">
      <c r="A3035" s="176" t="n">
        <v>47956</v>
      </c>
      <c r="B3035" s="177" t="n">
        <v>47956</v>
      </c>
      <c r="C3035" s="177" t="n">
        <v>1410</v>
      </c>
      <c r="D3035" s="177" t="n">
        <v>1</v>
      </c>
      <c r="E3035" s="178" t="inlineStr">
        <is>
          <t>1410/01/29</t>
        </is>
      </c>
      <c r="F3035" s="134" t="inlineStr">
        <is>
          <t>1410/01</t>
        </is>
      </c>
      <c r="G3035" s="61" t="inlineStr">
        <is>
          <t>فروردین</t>
        </is>
      </c>
      <c r="H3035" s="134" t="inlineStr">
        <is>
          <t>بهار</t>
        </is>
      </c>
      <c r="I3035" s="134" t="inlineStr">
        <is>
          <t>جمعه</t>
        </is>
      </c>
      <c r="J3035" s="134" t="inlineStr">
        <is>
          <t>بله</t>
        </is>
      </c>
    </row>
    <row r="3036">
      <c r="A3036" s="173" t="n">
        <v>47957</v>
      </c>
      <c r="B3036" s="174" t="n">
        <v>47957</v>
      </c>
      <c r="C3036" s="174" t="n">
        <v>1410</v>
      </c>
      <c r="D3036" s="174" t="n">
        <v>1</v>
      </c>
      <c r="E3036" s="175" t="inlineStr">
        <is>
          <t>1410/01/30</t>
        </is>
      </c>
      <c r="F3036" s="128" t="inlineStr">
        <is>
          <t>1410/01</t>
        </is>
      </c>
      <c r="G3036" s="58" t="inlineStr">
        <is>
          <t>فروردین</t>
        </is>
      </c>
      <c r="H3036" s="128" t="inlineStr">
        <is>
          <t>بهار</t>
        </is>
      </c>
      <c r="I3036" s="128" t="inlineStr">
        <is>
          <t>شنبه</t>
        </is>
      </c>
      <c r="J3036" s="128" t="inlineStr">
        <is>
          <t>خیر</t>
        </is>
      </c>
    </row>
    <row r="3037">
      <c r="A3037" s="176" t="n">
        <v>47958</v>
      </c>
      <c r="B3037" s="177" t="n">
        <v>47958</v>
      </c>
      <c r="C3037" s="177" t="n">
        <v>1410</v>
      </c>
      <c r="D3037" s="177" t="n">
        <v>1</v>
      </c>
      <c r="E3037" s="178" t="inlineStr">
        <is>
          <t>1410/01/31</t>
        </is>
      </c>
      <c r="F3037" s="134" t="inlineStr">
        <is>
          <t>1410/01</t>
        </is>
      </c>
      <c r="G3037" s="61" t="inlineStr">
        <is>
          <t>فروردین</t>
        </is>
      </c>
      <c r="H3037" s="134" t="inlineStr">
        <is>
          <t>بهار</t>
        </is>
      </c>
      <c r="I3037" s="134" t="inlineStr">
        <is>
          <t>یکشنبه</t>
        </is>
      </c>
      <c r="J3037" s="134" t="inlineStr">
        <is>
          <t>خیر</t>
        </is>
      </c>
    </row>
    <row r="3038">
      <c r="A3038" s="173" t="n">
        <v>47959</v>
      </c>
      <c r="B3038" s="174" t="n">
        <v>47959</v>
      </c>
      <c r="C3038" s="174" t="n">
        <v>1410</v>
      </c>
      <c r="D3038" s="174" t="n">
        <v>2</v>
      </c>
      <c r="E3038" s="175" t="inlineStr">
        <is>
          <t>1410/02/01</t>
        </is>
      </c>
      <c r="F3038" s="128" t="inlineStr">
        <is>
          <t>1410/02</t>
        </is>
      </c>
      <c r="G3038" s="58" t="inlineStr">
        <is>
          <t>اردیبهشت</t>
        </is>
      </c>
      <c r="H3038" s="128" t="inlineStr">
        <is>
          <t>بهار</t>
        </is>
      </c>
      <c r="I3038" s="128" t="inlineStr">
        <is>
          <t>دوشنبه</t>
        </is>
      </c>
      <c r="J3038" s="128" t="inlineStr">
        <is>
          <t>بله</t>
        </is>
      </c>
    </row>
    <row r="3039">
      <c r="A3039" s="176" t="n">
        <v>47960</v>
      </c>
      <c r="B3039" s="177" t="n">
        <v>47960</v>
      </c>
      <c r="C3039" s="177" t="n">
        <v>1410</v>
      </c>
      <c r="D3039" s="177" t="n">
        <v>2</v>
      </c>
      <c r="E3039" s="178" t="inlineStr">
        <is>
          <t>1410/02/02</t>
        </is>
      </c>
      <c r="F3039" s="134" t="inlineStr">
        <is>
          <t>1410/02</t>
        </is>
      </c>
      <c r="G3039" s="61" t="inlineStr">
        <is>
          <t>اردیبهشت</t>
        </is>
      </c>
      <c r="H3039" s="134" t="inlineStr">
        <is>
          <t>بهار</t>
        </is>
      </c>
      <c r="I3039" s="134" t="inlineStr">
        <is>
          <t>سه‌شنبه</t>
        </is>
      </c>
      <c r="J3039" s="134" t="inlineStr">
        <is>
          <t>بله</t>
        </is>
      </c>
    </row>
    <row r="3040">
      <c r="A3040" s="173" t="n">
        <v>47961</v>
      </c>
      <c r="B3040" s="174" t="n">
        <v>47961</v>
      </c>
      <c r="C3040" s="174" t="n">
        <v>1410</v>
      </c>
      <c r="D3040" s="174" t="n">
        <v>2</v>
      </c>
      <c r="E3040" s="175" t="inlineStr">
        <is>
          <t>1410/02/03</t>
        </is>
      </c>
      <c r="F3040" s="128" t="inlineStr">
        <is>
          <t>1410/02</t>
        </is>
      </c>
      <c r="G3040" s="58" t="inlineStr">
        <is>
          <t>اردیبهشت</t>
        </is>
      </c>
      <c r="H3040" s="128" t="inlineStr">
        <is>
          <t>بهار</t>
        </is>
      </c>
      <c r="I3040" s="128" t="inlineStr">
        <is>
          <t>چهارشنبه</t>
        </is>
      </c>
      <c r="J3040" s="128" t="inlineStr">
        <is>
          <t>بله</t>
        </is>
      </c>
    </row>
    <row r="3041">
      <c r="A3041" s="176" t="n">
        <v>47962</v>
      </c>
      <c r="B3041" s="177" t="n">
        <v>47962</v>
      </c>
      <c r="C3041" s="177" t="n">
        <v>1410</v>
      </c>
      <c r="D3041" s="177" t="n">
        <v>2</v>
      </c>
      <c r="E3041" s="178" t="inlineStr">
        <is>
          <t>1410/02/04</t>
        </is>
      </c>
      <c r="F3041" s="134" t="inlineStr">
        <is>
          <t>1410/02</t>
        </is>
      </c>
      <c r="G3041" s="61" t="inlineStr">
        <is>
          <t>اردیبهشت</t>
        </is>
      </c>
      <c r="H3041" s="134" t="inlineStr">
        <is>
          <t>بهار</t>
        </is>
      </c>
      <c r="I3041" s="134" t="inlineStr">
        <is>
          <t>پنجشنبه</t>
        </is>
      </c>
      <c r="J3041" s="134" t="inlineStr">
        <is>
          <t>بله</t>
        </is>
      </c>
    </row>
    <row r="3042">
      <c r="A3042" s="173" t="n">
        <v>47963</v>
      </c>
      <c r="B3042" s="174" t="n">
        <v>47963</v>
      </c>
      <c r="C3042" s="174" t="n">
        <v>1410</v>
      </c>
      <c r="D3042" s="174" t="n">
        <v>2</v>
      </c>
      <c r="E3042" s="175" t="inlineStr">
        <is>
          <t>1410/02/05</t>
        </is>
      </c>
      <c r="F3042" s="128" t="inlineStr">
        <is>
          <t>1410/02</t>
        </is>
      </c>
      <c r="G3042" s="58" t="inlineStr">
        <is>
          <t>اردیبهشت</t>
        </is>
      </c>
      <c r="H3042" s="128" t="inlineStr">
        <is>
          <t>بهار</t>
        </is>
      </c>
      <c r="I3042" s="128" t="inlineStr">
        <is>
          <t>جمعه</t>
        </is>
      </c>
      <c r="J3042" s="128" t="inlineStr">
        <is>
          <t>بله</t>
        </is>
      </c>
    </row>
    <row r="3043">
      <c r="A3043" s="176" t="n">
        <v>47964</v>
      </c>
      <c r="B3043" s="177" t="n">
        <v>47964</v>
      </c>
      <c r="C3043" s="177" t="n">
        <v>1410</v>
      </c>
      <c r="D3043" s="177" t="n">
        <v>2</v>
      </c>
      <c r="E3043" s="178" t="inlineStr">
        <is>
          <t>1410/02/06</t>
        </is>
      </c>
      <c r="F3043" s="134" t="inlineStr">
        <is>
          <t>1410/02</t>
        </is>
      </c>
      <c r="G3043" s="61" t="inlineStr">
        <is>
          <t>اردیبهشت</t>
        </is>
      </c>
      <c r="H3043" s="134" t="inlineStr">
        <is>
          <t>بهار</t>
        </is>
      </c>
      <c r="I3043" s="134" t="inlineStr">
        <is>
          <t>شنبه</t>
        </is>
      </c>
      <c r="J3043" s="134" t="inlineStr">
        <is>
          <t>خیر</t>
        </is>
      </c>
    </row>
    <row r="3044">
      <c r="A3044" s="173" t="n">
        <v>47965</v>
      </c>
      <c r="B3044" s="174" t="n">
        <v>47965</v>
      </c>
      <c r="C3044" s="174" t="n">
        <v>1410</v>
      </c>
      <c r="D3044" s="174" t="n">
        <v>2</v>
      </c>
      <c r="E3044" s="175" t="inlineStr">
        <is>
          <t>1410/02/07</t>
        </is>
      </c>
      <c r="F3044" s="128" t="inlineStr">
        <is>
          <t>1410/02</t>
        </is>
      </c>
      <c r="G3044" s="58" t="inlineStr">
        <is>
          <t>اردیبهشت</t>
        </is>
      </c>
      <c r="H3044" s="128" t="inlineStr">
        <is>
          <t>بهار</t>
        </is>
      </c>
      <c r="I3044" s="128" t="inlineStr">
        <is>
          <t>یکشنبه</t>
        </is>
      </c>
      <c r="J3044" s="128" t="inlineStr">
        <is>
          <t>خیر</t>
        </is>
      </c>
    </row>
    <row r="3045">
      <c r="A3045" s="176" t="n">
        <v>47966</v>
      </c>
      <c r="B3045" s="177" t="n">
        <v>47966</v>
      </c>
      <c r="C3045" s="177" t="n">
        <v>1410</v>
      </c>
      <c r="D3045" s="177" t="n">
        <v>2</v>
      </c>
      <c r="E3045" s="178" t="inlineStr">
        <is>
          <t>1410/02/08</t>
        </is>
      </c>
      <c r="F3045" s="134" t="inlineStr">
        <is>
          <t>1410/02</t>
        </is>
      </c>
      <c r="G3045" s="61" t="inlineStr">
        <is>
          <t>اردیبهشت</t>
        </is>
      </c>
      <c r="H3045" s="134" t="inlineStr">
        <is>
          <t>بهار</t>
        </is>
      </c>
      <c r="I3045" s="134" t="inlineStr">
        <is>
          <t>دوشنبه</t>
        </is>
      </c>
      <c r="J3045" s="134" t="inlineStr">
        <is>
          <t>بله</t>
        </is>
      </c>
    </row>
    <row r="3046">
      <c r="A3046" s="173" t="n">
        <v>47967</v>
      </c>
      <c r="B3046" s="174" t="n">
        <v>47967</v>
      </c>
      <c r="C3046" s="174" t="n">
        <v>1410</v>
      </c>
      <c r="D3046" s="174" t="n">
        <v>2</v>
      </c>
      <c r="E3046" s="175" t="inlineStr">
        <is>
          <t>1410/02/09</t>
        </is>
      </c>
      <c r="F3046" s="128" t="inlineStr">
        <is>
          <t>1410/02</t>
        </is>
      </c>
      <c r="G3046" s="58" t="inlineStr">
        <is>
          <t>اردیبهشت</t>
        </is>
      </c>
      <c r="H3046" s="128" t="inlineStr">
        <is>
          <t>بهار</t>
        </is>
      </c>
      <c r="I3046" s="128" t="inlineStr">
        <is>
          <t>سه‌شنبه</t>
        </is>
      </c>
      <c r="J3046" s="128" t="inlineStr">
        <is>
          <t>بله</t>
        </is>
      </c>
    </row>
    <row r="3047">
      <c r="A3047" s="176" t="n">
        <v>47968</v>
      </c>
      <c r="B3047" s="177" t="n">
        <v>47968</v>
      </c>
      <c r="C3047" s="177" t="n">
        <v>1410</v>
      </c>
      <c r="D3047" s="177" t="n">
        <v>2</v>
      </c>
      <c r="E3047" s="178" t="inlineStr">
        <is>
          <t>1410/02/10</t>
        </is>
      </c>
      <c r="F3047" s="134" t="inlineStr">
        <is>
          <t>1410/02</t>
        </is>
      </c>
      <c r="G3047" s="61" t="inlineStr">
        <is>
          <t>اردیبهشت</t>
        </is>
      </c>
      <c r="H3047" s="134" t="inlineStr">
        <is>
          <t>بهار</t>
        </is>
      </c>
      <c r="I3047" s="134" t="inlineStr">
        <is>
          <t>چهارشنبه</t>
        </is>
      </c>
      <c r="J3047" s="134" t="inlineStr">
        <is>
          <t>بله</t>
        </is>
      </c>
    </row>
    <row r="3048">
      <c r="A3048" s="173" t="n">
        <v>47969</v>
      </c>
      <c r="B3048" s="174" t="n">
        <v>47969</v>
      </c>
      <c r="C3048" s="174" t="n">
        <v>1410</v>
      </c>
      <c r="D3048" s="174" t="n">
        <v>2</v>
      </c>
      <c r="E3048" s="175" t="inlineStr">
        <is>
          <t>1410/02/11</t>
        </is>
      </c>
      <c r="F3048" s="128" t="inlineStr">
        <is>
          <t>1410/02</t>
        </is>
      </c>
      <c r="G3048" s="58" t="inlineStr">
        <is>
          <t>اردیبهشت</t>
        </is>
      </c>
      <c r="H3048" s="128" t="inlineStr">
        <is>
          <t>بهار</t>
        </is>
      </c>
      <c r="I3048" s="128" t="inlineStr">
        <is>
          <t>پنجشنبه</t>
        </is>
      </c>
      <c r="J3048" s="128" t="inlineStr">
        <is>
          <t>بله</t>
        </is>
      </c>
    </row>
    <row r="3049">
      <c r="A3049" s="176" t="n">
        <v>47970</v>
      </c>
      <c r="B3049" s="177" t="n">
        <v>47970</v>
      </c>
      <c r="C3049" s="177" t="n">
        <v>1410</v>
      </c>
      <c r="D3049" s="177" t="n">
        <v>2</v>
      </c>
      <c r="E3049" s="178" t="inlineStr">
        <is>
          <t>1410/02/12</t>
        </is>
      </c>
      <c r="F3049" s="134" t="inlineStr">
        <is>
          <t>1410/02</t>
        </is>
      </c>
      <c r="G3049" s="61" t="inlineStr">
        <is>
          <t>اردیبهشت</t>
        </is>
      </c>
      <c r="H3049" s="134" t="inlineStr">
        <is>
          <t>بهار</t>
        </is>
      </c>
      <c r="I3049" s="134" t="inlineStr">
        <is>
          <t>جمعه</t>
        </is>
      </c>
      <c r="J3049" s="134" t="inlineStr">
        <is>
          <t>بله</t>
        </is>
      </c>
    </row>
    <row r="3050">
      <c r="A3050" s="173" t="n">
        <v>47971</v>
      </c>
      <c r="B3050" s="174" t="n">
        <v>47971</v>
      </c>
      <c r="C3050" s="174" t="n">
        <v>1410</v>
      </c>
      <c r="D3050" s="174" t="n">
        <v>2</v>
      </c>
      <c r="E3050" s="175" t="inlineStr">
        <is>
          <t>1410/02/13</t>
        </is>
      </c>
      <c r="F3050" s="128" t="inlineStr">
        <is>
          <t>1410/02</t>
        </is>
      </c>
      <c r="G3050" s="58" t="inlineStr">
        <is>
          <t>اردیبهشت</t>
        </is>
      </c>
      <c r="H3050" s="128" t="inlineStr">
        <is>
          <t>بهار</t>
        </is>
      </c>
      <c r="I3050" s="128" t="inlineStr">
        <is>
          <t>شنبه</t>
        </is>
      </c>
      <c r="J3050" s="128" t="inlineStr">
        <is>
          <t>خیر</t>
        </is>
      </c>
    </row>
    <row r="3051">
      <c r="A3051" s="176" t="n">
        <v>47972</v>
      </c>
      <c r="B3051" s="177" t="n">
        <v>47972</v>
      </c>
      <c r="C3051" s="177" t="n">
        <v>1410</v>
      </c>
      <c r="D3051" s="177" t="n">
        <v>2</v>
      </c>
      <c r="E3051" s="178" t="inlineStr">
        <is>
          <t>1410/02/14</t>
        </is>
      </c>
      <c r="F3051" s="134" t="inlineStr">
        <is>
          <t>1410/02</t>
        </is>
      </c>
      <c r="G3051" s="61" t="inlineStr">
        <is>
          <t>اردیبهشت</t>
        </is>
      </c>
      <c r="H3051" s="134" t="inlineStr">
        <is>
          <t>بهار</t>
        </is>
      </c>
      <c r="I3051" s="134" t="inlineStr">
        <is>
          <t>یکشنبه</t>
        </is>
      </c>
      <c r="J3051" s="134" t="inlineStr">
        <is>
          <t>خیر</t>
        </is>
      </c>
    </row>
    <row r="3052">
      <c r="A3052" s="173" t="n">
        <v>47973</v>
      </c>
      <c r="B3052" s="174" t="n">
        <v>47973</v>
      </c>
      <c r="C3052" s="174" t="n">
        <v>1410</v>
      </c>
      <c r="D3052" s="174" t="n">
        <v>2</v>
      </c>
      <c r="E3052" s="175" t="inlineStr">
        <is>
          <t>1410/02/15</t>
        </is>
      </c>
      <c r="F3052" s="128" t="inlineStr">
        <is>
          <t>1410/02</t>
        </is>
      </c>
      <c r="G3052" s="58" t="inlineStr">
        <is>
          <t>اردیبهشت</t>
        </is>
      </c>
      <c r="H3052" s="128" t="inlineStr">
        <is>
          <t>بهار</t>
        </is>
      </c>
      <c r="I3052" s="128" t="inlineStr">
        <is>
          <t>دوشنبه</t>
        </is>
      </c>
      <c r="J3052" s="128" t="inlineStr">
        <is>
          <t>بله</t>
        </is>
      </c>
    </row>
    <row r="3053">
      <c r="A3053" s="176" t="n">
        <v>47974</v>
      </c>
      <c r="B3053" s="177" t="n">
        <v>47974</v>
      </c>
      <c r="C3053" s="177" t="n">
        <v>1410</v>
      </c>
      <c r="D3053" s="177" t="n">
        <v>2</v>
      </c>
      <c r="E3053" s="178" t="inlineStr">
        <is>
          <t>1410/02/16</t>
        </is>
      </c>
      <c r="F3053" s="134" t="inlineStr">
        <is>
          <t>1410/02</t>
        </is>
      </c>
      <c r="G3053" s="61" t="inlineStr">
        <is>
          <t>اردیبهشت</t>
        </is>
      </c>
      <c r="H3053" s="134" t="inlineStr">
        <is>
          <t>بهار</t>
        </is>
      </c>
      <c r="I3053" s="134" t="inlineStr">
        <is>
          <t>سه‌شنبه</t>
        </is>
      </c>
      <c r="J3053" s="134" t="inlineStr">
        <is>
          <t>بله</t>
        </is>
      </c>
    </row>
    <row r="3054">
      <c r="A3054" s="173" t="n">
        <v>47975</v>
      </c>
      <c r="B3054" s="174" t="n">
        <v>47975</v>
      </c>
      <c r="C3054" s="174" t="n">
        <v>1410</v>
      </c>
      <c r="D3054" s="174" t="n">
        <v>2</v>
      </c>
      <c r="E3054" s="175" t="inlineStr">
        <is>
          <t>1410/02/17</t>
        </is>
      </c>
      <c r="F3054" s="128" t="inlineStr">
        <is>
          <t>1410/02</t>
        </is>
      </c>
      <c r="G3054" s="58" t="inlineStr">
        <is>
          <t>اردیبهشت</t>
        </is>
      </c>
      <c r="H3054" s="128" t="inlineStr">
        <is>
          <t>بهار</t>
        </is>
      </c>
      <c r="I3054" s="128" t="inlineStr">
        <is>
          <t>چهارشنبه</t>
        </is>
      </c>
      <c r="J3054" s="128" t="inlineStr">
        <is>
          <t>بله</t>
        </is>
      </c>
    </row>
    <row r="3055">
      <c r="A3055" s="176" t="n">
        <v>47976</v>
      </c>
      <c r="B3055" s="177" t="n">
        <v>47976</v>
      </c>
      <c r="C3055" s="177" t="n">
        <v>1410</v>
      </c>
      <c r="D3055" s="177" t="n">
        <v>2</v>
      </c>
      <c r="E3055" s="178" t="inlineStr">
        <is>
          <t>1410/02/18</t>
        </is>
      </c>
      <c r="F3055" s="134" t="inlineStr">
        <is>
          <t>1410/02</t>
        </is>
      </c>
      <c r="G3055" s="61" t="inlineStr">
        <is>
          <t>اردیبهشت</t>
        </is>
      </c>
      <c r="H3055" s="134" t="inlineStr">
        <is>
          <t>بهار</t>
        </is>
      </c>
      <c r="I3055" s="134" t="inlineStr">
        <is>
          <t>پنجشنبه</t>
        </is>
      </c>
      <c r="J3055" s="134" t="inlineStr">
        <is>
          <t>بله</t>
        </is>
      </c>
    </row>
    <row r="3056">
      <c r="A3056" s="173" t="n">
        <v>47977</v>
      </c>
      <c r="B3056" s="174" t="n">
        <v>47977</v>
      </c>
      <c r="C3056" s="174" t="n">
        <v>1410</v>
      </c>
      <c r="D3056" s="174" t="n">
        <v>2</v>
      </c>
      <c r="E3056" s="175" t="inlineStr">
        <is>
          <t>1410/02/19</t>
        </is>
      </c>
      <c r="F3056" s="128" t="inlineStr">
        <is>
          <t>1410/02</t>
        </is>
      </c>
      <c r="G3056" s="58" t="inlineStr">
        <is>
          <t>اردیبهشت</t>
        </is>
      </c>
      <c r="H3056" s="128" t="inlineStr">
        <is>
          <t>بهار</t>
        </is>
      </c>
      <c r="I3056" s="128" t="inlineStr">
        <is>
          <t>جمعه</t>
        </is>
      </c>
      <c r="J3056" s="128" t="inlineStr">
        <is>
          <t>بله</t>
        </is>
      </c>
    </row>
    <row r="3057">
      <c r="A3057" s="176" t="n">
        <v>47978</v>
      </c>
      <c r="B3057" s="177" t="n">
        <v>47978</v>
      </c>
      <c r="C3057" s="177" t="n">
        <v>1410</v>
      </c>
      <c r="D3057" s="177" t="n">
        <v>2</v>
      </c>
      <c r="E3057" s="178" t="inlineStr">
        <is>
          <t>1410/02/20</t>
        </is>
      </c>
      <c r="F3057" s="134" t="inlineStr">
        <is>
          <t>1410/02</t>
        </is>
      </c>
      <c r="G3057" s="61" t="inlineStr">
        <is>
          <t>اردیبهشت</t>
        </is>
      </c>
      <c r="H3057" s="134" t="inlineStr">
        <is>
          <t>بهار</t>
        </is>
      </c>
      <c r="I3057" s="134" t="inlineStr">
        <is>
          <t>شنبه</t>
        </is>
      </c>
      <c r="J3057" s="134" t="inlineStr">
        <is>
          <t>خیر</t>
        </is>
      </c>
    </row>
    <row r="3058">
      <c r="A3058" s="173" t="n">
        <v>47979</v>
      </c>
      <c r="B3058" s="174" t="n">
        <v>47979</v>
      </c>
      <c r="C3058" s="174" t="n">
        <v>1410</v>
      </c>
      <c r="D3058" s="174" t="n">
        <v>2</v>
      </c>
      <c r="E3058" s="175" t="inlineStr">
        <is>
          <t>1410/02/21</t>
        </is>
      </c>
      <c r="F3058" s="128" t="inlineStr">
        <is>
          <t>1410/02</t>
        </is>
      </c>
      <c r="G3058" s="58" t="inlineStr">
        <is>
          <t>اردیبهشت</t>
        </is>
      </c>
      <c r="H3058" s="128" t="inlineStr">
        <is>
          <t>بهار</t>
        </is>
      </c>
      <c r="I3058" s="128" t="inlineStr">
        <is>
          <t>یکشنبه</t>
        </is>
      </c>
      <c r="J3058" s="128" t="inlineStr">
        <is>
          <t>خیر</t>
        </is>
      </c>
    </row>
    <row r="3059">
      <c r="A3059" s="176" t="n">
        <v>47980</v>
      </c>
      <c r="B3059" s="177" t="n">
        <v>47980</v>
      </c>
      <c r="C3059" s="177" t="n">
        <v>1410</v>
      </c>
      <c r="D3059" s="177" t="n">
        <v>2</v>
      </c>
      <c r="E3059" s="178" t="inlineStr">
        <is>
          <t>1410/02/22</t>
        </is>
      </c>
      <c r="F3059" s="134" t="inlineStr">
        <is>
          <t>1410/02</t>
        </is>
      </c>
      <c r="G3059" s="61" t="inlineStr">
        <is>
          <t>اردیبهشت</t>
        </is>
      </c>
      <c r="H3059" s="134" t="inlineStr">
        <is>
          <t>بهار</t>
        </is>
      </c>
      <c r="I3059" s="134" t="inlineStr">
        <is>
          <t>دوشنبه</t>
        </is>
      </c>
      <c r="J3059" s="134" t="inlineStr">
        <is>
          <t>بله</t>
        </is>
      </c>
    </row>
    <row r="3060">
      <c r="A3060" s="173" t="n">
        <v>47981</v>
      </c>
      <c r="B3060" s="174" t="n">
        <v>47981</v>
      </c>
      <c r="C3060" s="174" t="n">
        <v>1410</v>
      </c>
      <c r="D3060" s="174" t="n">
        <v>2</v>
      </c>
      <c r="E3060" s="175" t="inlineStr">
        <is>
          <t>1410/02/23</t>
        </is>
      </c>
      <c r="F3060" s="128" t="inlineStr">
        <is>
          <t>1410/02</t>
        </is>
      </c>
      <c r="G3060" s="58" t="inlineStr">
        <is>
          <t>اردیبهشت</t>
        </is>
      </c>
      <c r="H3060" s="128" t="inlineStr">
        <is>
          <t>بهار</t>
        </is>
      </c>
      <c r="I3060" s="128" t="inlineStr">
        <is>
          <t>سه‌شنبه</t>
        </is>
      </c>
      <c r="J3060" s="128" t="inlineStr">
        <is>
          <t>بله</t>
        </is>
      </c>
    </row>
    <row r="3061">
      <c r="A3061" s="176" t="n">
        <v>47982</v>
      </c>
      <c r="B3061" s="177" t="n">
        <v>47982</v>
      </c>
      <c r="C3061" s="177" t="n">
        <v>1410</v>
      </c>
      <c r="D3061" s="177" t="n">
        <v>2</v>
      </c>
      <c r="E3061" s="178" t="inlineStr">
        <is>
          <t>1410/02/24</t>
        </is>
      </c>
      <c r="F3061" s="134" t="inlineStr">
        <is>
          <t>1410/02</t>
        </is>
      </c>
      <c r="G3061" s="61" t="inlineStr">
        <is>
          <t>اردیبهشت</t>
        </is>
      </c>
      <c r="H3061" s="134" t="inlineStr">
        <is>
          <t>بهار</t>
        </is>
      </c>
      <c r="I3061" s="134" t="inlineStr">
        <is>
          <t>چهارشنبه</t>
        </is>
      </c>
      <c r="J3061" s="134" t="inlineStr">
        <is>
          <t>بله</t>
        </is>
      </c>
    </row>
    <row r="3062">
      <c r="A3062" s="173" t="n">
        <v>47983</v>
      </c>
      <c r="B3062" s="174" t="n">
        <v>47983</v>
      </c>
      <c r="C3062" s="174" t="n">
        <v>1410</v>
      </c>
      <c r="D3062" s="174" t="n">
        <v>2</v>
      </c>
      <c r="E3062" s="175" t="inlineStr">
        <is>
          <t>1410/02/25</t>
        </is>
      </c>
      <c r="F3062" s="128" t="inlineStr">
        <is>
          <t>1410/02</t>
        </is>
      </c>
      <c r="G3062" s="58" t="inlineStr">
        <is>
          <t>اردیبهشت</t>
        </is>
      </c>
      <c r="H3062" s="128" t="inlineStr">
        <is>
          <t>بهار</t>
        </is>
      </c>
      <c r="I3062" s="128" t="inlineStr">
        <is>
          <t>پنجشنبه</t>
        </is>
      </c>
      <c r="J3062" s="128" t="inlineStr">
        <is>
          <t>بله</t>
        </is>
      </c>
    </row>
    <row r="3063">
      <c r="A3063" s="176" t="n">
        <v>47984</v>
      </c>
      <c r="B3063" s="177" t="n">
        <v>47984</v>
      </c>
      <c r="C3063" s="177" t="n">
        <v>1410</v>
      </c>
      <c r="D3063" s="177" t="n">
        <v>2</v>
      </c>
      <c r="E3063" s="178" t="inlineStr">
        <is>
          <t>1410/02/26</t>
        </is>
      </c>
      <c r="F3063" s="134" t="inlineStr">
        <is>
          <t>1410/02</t>
        </is>
      </c>
      <c r="G3063" s="61" t="inlineStr">
        <is>
          <t>اردیبهشت</t>
        </is>
      </c>
      <c r="H3063" s="134" t="inlineStr">
        <is>
          <t>بهار</t>
        </is>
      </c>
      <c r="I3063" s="134" t="inlineStr">
        <is>
          <t>جمعه</t>
        </is>
      </c>
      <c r="J3063" s="134" t="inlineStr">
        <is>
          <t>بله</t>
        </is>
      </c>
    </row>
    <row r="3064">
      <c r="A3064" s="173" t="n">
        <v>47985</v>
      </c>
      <c r="B3064" s="174" t="n">
        <v>47985</v>
      </c>
      <c r="C3064" s="174" t="n">
        <v>1410</v>
      </c>
      <c r="D3064" s="174" t="n">
        <v>2</v>
      </c>
      <c r="E3064" s="175" t="inlineStr">
        <is>
          <t>1410/02/27</t>
        </is>
      </c>
      <c r="F3064" s="128" t="inlineStr">
        <is>
          <t>1410/02</t>
        </is>
      </c>
      <c r="G3064" s="58" t="inlineStr">
        <is>
          <t>اردیبهشت</t>
        </is>
      </c>
      <c r="H3064" s="128" t="inlineStr">
        <is>
          <t>بهار</t>
        </is>
      </c>
      <c r="I3064" s="128" t="inlineStr">
        <is>
          <t>شنبه</t>
        </is>
      </c>
      <c r="J3064" s="128" t="inlineStr">
        <is>
          <t>خیر</t>
        </is>
      </c>
    </row>
    <row r="3065">
      <c r="A3065" s="176" t="n">
        <v>47986</v>
      </c>
      <c r="B3065" s="177" t="n">
        <v>47986</v>
      </c>
      <c r="C3065" s="177" t="n">
        <v>1410</v>
      </c>
      <c r="D3065" s="177" t="n">
        <v>2</v>
      </c>
      <c r="E3065" s="178" t="inlineStr">
        <is>
          <t>1410/02/28</t>
        </is>
      </c>
      <c r="F3065" s="134" t="inlineStr">
        <is>
          <t>1410/02</t>
        </is>
      </c>
      <c r="G3065" s="61" t="inlineStr">
        <is>
          <t>اردیبهشت</t>
        </is>
      </c>
      <c r="H3065" s="134" t="inlineStr">
        <is>
          <t>بهار</t>
        </is>
      </c>
      <c r="I3065" s="134" t="inlineStr">
        <is>
          <t>یکشنبه</t>
        </is>
      </c>
      <c r="J3065" s="134" t="inlineStr">
        <is>
          <t>خیر</t>
        </is>
      </c>
    </row>
    <row r="3066">
      <c r="A3066" s="173" t="n">
        <v>47987</v>
      </c>
      <c r="B3066" s="174" t="n">
        <v>47987</v>
      </c>
      <c r="C3066" s="174" t="n">
        <v>1410</v>
      </c>
      <c r="D3066" s="174" t="n">
        <v>2</v>
      </c>
      <c r="E3066" s="175" t="inlineStr">
        <is>
          <t>1410/02/29</t>
        </is>
      </c>
      <c r="F3066" s="128" t="inlineStr">
        <is>
          <t>1410/02</t>
        </is>
      </c>
      <c r="G3066" s="58" t="inlineStr">
        <is>
          <t>اردیبهشت</t>
        </is>
      </c>
      <c r="H3066" s="128" t="inlineStr">
        <is>
          <t>بهار</t>
        </is>
      </c>
      <c r="I3066" s="128" t="inlineStr">
        <is>
          <t>دوشنبه</t>
        </is>
      </c>
      <c r="J3066" s="128" t="inlineStr">
        <is>
          <t>بله</t>
        </is>
      </c>
    </row>
    <row r="3067">
      <c r="A3067" s="176" t="n">
        <v>47988</v>
      </c>
      <c r="B3067" s="177" t="n">
        <v>47988</v>
      </c>
      <c r="C3067" s="177" t="n">
        <v>1410</v>
      </c>
      <c r="D3067" s="177" t="n">
        <v>2</v>
      </c>
      <c r="E3067" s="178" t="inlineStr">
        <is>
          <t>1410/02/30</t>
        </is>
      </c>
      <c r="F3067" s="134" t="inlineStr">
        <is>
          <t>1410/02</t>
        </is>
      </c>
      <c r="G3067" s="61" t="inlineStr">
        <is>
          <t>اردیبهشت</t>
        </is>
      </c>
      <c r="H3067" s="134" t="inlineStr">
        <is>
          <t>بهار</t>
        </is>
      </c>
      <c r="I3067" s="134" t="inlineStr">
        <is>
          <t>سه‌شنبه</t>
        </is>
      </c>
      <c r="J3067" s="134" t="inlineStr">
        <is>
          <t>بله</t>
        </is>
      </c>
    </row>
    <row r="3068">
      <c r="A3068" s="173" t="n">
        <v>47989</v>
      </c>
      <c r="B3068" s="174" t="n">
        <v>47989</v>
      </c>
      <c r="C3068" s="174" t="n">
        <v>1410</v>
      </c>
      <c r="D3068" s="174" t="n">
        <v>2</v>
      </c>
      <c r="E3068" s="175" t="inlineStr">
        <is>
          <t>1410/02/31</t>
        </is>
      </c>
      <c r="F3068" s="128" t="inlineStr">
        <is>
          <t>1410/02</t>
        </is>
      </c>
      <c r="G3068" s="58" t="inlineStr">
        <is>
          <t>اردیبهشت</t>
        </is>
      </c>
      <c r="H3068" s="128" t="inlineStr">
        <is>
          <t>بهار</t>
        </is>
      </c>
      <c r="I3068" s="128" t="inlineStr">
        <is>
          <t>چهارشنبه</t>
        </is>
      </c>
      <c r="J3068" s="128" t="inlineStr">
        <is>
          <t>بله</t>
        </is>
      </c>
    </row>
    <row r="3069">
      <c r="A3069" s="176" t="n">
        <v>47990</v>
      </c>
      <c r="B3069" s="177" t="n">
        <v>47990</v>
      </c>
      <c r="C3069" s="177" t="n">
        <v>1410</v>
      </c>
      <c r="D3069" s="177" t="n">
        <v>3</v>
      </c>
      <c r="E3069" s="178" t="inlineStr">
        <is>
          <t>1410/03/01</t>
        </is>
      </c>
      <c r="F3069" s="134" t="inlineStr">
        <is>
          <t>1410/03</t>
        </is>
      </c>
      <c r="G3069" s="61" t="inlineStr">
        <is>
          <t>خرداد</t>
        </is>
      </c>
      <c r="H3069" s="134" t="inlineStr">
        <is>
          <t>بهار</t>
        </is>
      </c>
      <c r="I3069" s="134" t="inlineStr">
        <is>
          <t>پنجشنبه</t>
        </is>
      </c>
      <c r="J3069" s="134" t="inlineStr">
        <is>
          <t>بله</t>
        </is>
      </c>
    </row>
    <row r="3070">
      <c r="A3070" s="173" t="n">
        <v>47991</v>
      </c>
      <c r="B3070" s="174" t="n">
        <v>47991</v>
      </c>
      <c r="C3070" s="174" t="n">
        <v>1410</v>
      </c>
      <c r="D3070" s="174" t="n">
        <v>3</v>
      </c>
      <c r="E3070" s="175" t="inlineStr">
        <is>
          <t>1410/03/02</t>
        </is>
      </c>
      <c r="F3070" s="128" t="inlineStr">
        <is>
          <t>1410/03</t>
        </is>
      </c>
      <c r="G3070" s="58" t="inlineStr">
        <is>
          <t>خرداد</t>
        </is>
      </c>
      <c r="H3070" s="128" t="inlineStr">
        <is>
          <t>بهار</t>
        </is>
      </c>
      <c r="I3070" s="128" t="inlineStr">
        <is>
          <t>جمعه</t>
        </is>
      </c>
      <c r="J3070" s="128" t="inlineStr">
        <is>
          <t>بله</t>
        </is>
      </c>
    </row>
    <row r="3071">
      <c r="A3071" s="176" t="n">
        <v>47992</v>
      </c>
      <c r="B3071" s="177" t="n">
        <v>47992</v>
      </c>
      <c r="C3071" s="177" t="n">
        <v>1410</v>
      </c>
      <c r="D3071" s="177" t="n">
        <v>3</v>
      </c>
      <c r="E3071" s="178" t="inlineStr">
        <is>
          <t>1410/03/03</t>
        </is>
      </c>
      <c r="F3071" s="134" t="inlineStr">
        <is>
          <t>1410/03</t>
        </is>
      </c>
      <c r="G3071" s="61" t="inlineStr">
        <is>
          <t>خرداد</t>
        </is>
      </c>
      <c r="H3071" s="134" t="inlineStr">
        <is>
          <t>بهار</t>
        </is>
      </c>
      <c r="I3071" s="134" t="inlineStr">
        <is>
          <t>شنبه</t>
        </is>
      </c>
      <c r="J3071" s="134" t="inlineStr">
        <is>
          <t>خیر</t>
        </is>
      </c>
    </row>
    <row r="3072">
      <c r="A3072" s="173" t="n">
        <v>47993</v>
      </c>
      <c r="B3072" s="174" t="n">
        <v>47993</v>
      </c>
      <c r="C3072" s="174" t="n">
        <v>1410</v>
      </c>
      <c r="D3072" s="174" t="n">
        <v>3</v>
      </c>
      <c r="E3072" s="175" t="inlineStr">
        <is>
          <t>1410/03/04</t>
        </is>
      </c>
      <c r="F3072" s="128" t="inlineStr">
        <is>
          <t>1410/03</t>
        </is>
      </c>
      <c r="G3072" s="58" t="inlineStr">
        <is>
          <t>خرداد</t>
        </is>
      </c>
      <c r="H3072" s="128" t="inlineStr">
        <is>
          <t>بهار</t>
        </is>
      </c>
      <c r="I3072" s="128" t="inlineStr">
        <is>
          <t>یکشنبه</t>
        </is>
      </c>
      <c r="J3072" s="128" t="inlineStr">
        <is>
          <t>خیر</t>
        </is>
      </c>
    </row>
    <row r="3073">
      <c r="A3073" s="176" t="n">
        <v>47994</v>
      </c>
      <c r="B3073" s="177" t="n">
        <v>47994</v>
      </c>
      <c r="C3073" s="177" t="n">
        <v>1410</v>
      </c>
      <c r="D3073" s="177" t="n">
        <v>3</v>
      </c>
      <c r="E3073" s="178" t="inlineStr">
        <is>
          <t>1410/03/05</t>
        </is>
      </c>
      <c r="F3073" s="134" t="inlineStr">
        <is>
          <t>1410/03</t>
        </is>
      </c>
      <c r="G3073" s="61" t="inlineStr">
        <is>
          <t>خرداد</t>
        </is>
      </c>
      <c r="H3073" s="134" t="inlineStr">
        <is>
          <t>بهار</t>
        </is>
      </c>
      <c r="I3073" s="134" t="inlineStr">
        <is>
          <t>دوشنبه</t>
        </is>
      </c>
      <c r="J3073" s="134" t="inlineStr">
        <is>
          <t>بله</t>
        </is>
      </c>
    </row>
    <row r="3074">
      <c r="A3074" s="173" t="n">
        <v>47995</v>
      </c>
      <c r="B3074" s="174" t="n">
        <v>47995</v>
      </c>
      <c r="C3074" s="174" t="n">
        <v>1410</v>
      </c>
      <c r="D3074" s="174" t="n">
        <v>3</v>
      </c>
      <c r="E3074" s="175" t="inlineStr">
        <is>
          <t>1410/03/06</t>
        </is>
      </c>
      <c r="F3074" s="128" t="inlineStr">
        <is>
          <t>1410/03</t>
        </is>
      </c>
      <c r="G3074" s="58" t="inlineStr">
        <is>
          <t>خرداد</t>
        </is>
      </c>
      <c r="H3074" s="128" t="inlineStr">
        <is>
          <t>بهار</t>
        </is>
      </c>
      <c r="I3074" s="128" t="inlineStr">
        <is>
          <t>سه‌شنبه</t>
        </is>
      </c>
      <c r="J3074" s="128" t="inlineStr">
        <is>
          <t>بله</t>
        </is>
      </c>
    </row>
    <row r="3075">
      <c r="A3075" s="176" t="n">
        <v>47996</v>
      </c>
      <c r="B3075" s="177" t="n">
        <v>47996</v>
      </c>
      <c r="C3075" s="177" t="n">
        <v>1410</v>
      </c>
      <c r="D3075" s="177" t="n">
        <v>3</v>
      </c>
      <c r="E3075" s="178" t="inlineStr">
        <is>
          <t>1410/03/07</t>
        </is>
      </c>
      <c r="F3075" s="134" t="inlineStr">
        <is>
          <t>1410/03</t>
        </is>
      </c>
      <c r="G3075" s="61" t="inlineStr">
        <is>
          <t>خرداد</t>
        </is>
      </c>
      <c r="H3075" s="134" t="inlineStr">
        <is>
          <t>بهار</t>
        </is>
      </c>
      <c r="I3075" s="134" t="inlineStr">
        <is>
          <t>چهارشنبه</t>
        </is>
      </c>
      <c r="J3075" s="134" t="inlineStr">
        <is>
          <t>بله</t>
        </is>
      </c>
    </row>
    <row r="3076">
      <c r="A3076" s="173" t="n">
        <v>47997</v>
      </c>
      <c r="B3076" s="174" t="n">
        <v>47997</v>
      </c>
      <c r="C3076" s="174" t="n">
        <v>1410</v>
      </c>
      <c r="D3076" s="174" t="n">
        <v>3</v>
      </c>
      <c r="E3076" s="175" t="inlineStr">
        <is>
          <t>1410/03/08</t>
        </is>
      </c>
      <c r="F3076" s="128" t="inlineStr">
        <is>
          <t>1410/03</t>
        </is>
      </c>
      <c r="G3076" s="58" t="inlineStr">
        <is>
          <t>خرداد</t>
        </is>
      </c>
      <c r="H3076" s="128" t="inlineStr">
        <is>
          <t>بهار</t>
        </is>
      </c>
      <c r="I3076" s="128" t="inlineStr">
        <is>
          <t>پنجشنبه</t>
        </is>
      </c>
      <c r="J3076" s="128" t="inlineStr">
        <is>
          <t>بله</t>
        </is>
      </c>
    </row>
    <row r="3077">
      <c r="A3077" s="176" t="n">
        <v>47998</v>
      </c>
      <c r="B3077" s="177" t="n">
        <v>47998</v>
      </c>
      <c r="C3077" s="177" t="n">
        <v>1410</v>
      </c>
      <c r="D3077" s="177" t="n">
        <v>3</v>
      </c>
      <c r="E3077" s="178" t="inlineStr">
        <is>
          <t>1410/03/09</t>
        </is>
      </c>
      <c r="F3077" s="134" t="inlineStr">
        <is>
          <t>1410/03</t>
        </is>
      </c>
      <c r="G3077" s="61" t="inlineStr">
        <is>
          <t>خرداد</t>
        </is>
      </c>
      <c r="H3077" s="134" t="inlineStr">
        <is>
          <t>بهار</t>
        </is>
      </c>
      <c r="I3077" s="134" t="inlineStr">
        <is>
          <t>جمعه</t>
        </is>
      </c>
      <c r="J3077" s="134" t="inlineStr">
        <is>
          <t>بله</t>
        </is>
      </c>
    </row>
    <row r="3078">
      <c r="A3078" s="173" t="n">
        <v>47999</v>
      </c>
      <c r="B3078" s="174" t="n">
        <v>47999</v>
      </c>
      <c r="C3078" s="174" t="n">
        <v>1410</v>
      </c>
      <c r="D3078" s="174" t="n">
        <v>3</v>
      </c>
      <c r="E3078" s="175" t="inlineStr">
        <is>
          <t>1410/03/10</t>
        </is>
      </c>
      <c r="F3078" s="128" t="inlineStr">
        <is>
          <t>1410/03</t>
        </is>
      </c>
      <c r="G3078" s="58" t="inlineStr">
        <is>
          <t>خرداد</t>
        </is>
      </c>
      <c r="H3078" s="128" t="inlineStr">
        <is>
          <t>بهار</t>
        </is>
      </c>
      <c r="I3078" s="128" t="inlineStr">
        <is>
          <t>شنبه</t>
        </is>
      </c>
      <c r="J3078" s="128" t="inlineStr">
        <is>
          <t>خیر</t>
        </is>
      </c>
    </row>
    <row r="3079">
      <c r="A3079" s="176" t="n">
        <v>48000</v>
      </c>
      <c r="B3079" s="177" t="n">
        <v>48000</v>
      </c>
      <c r="C3079" s="177" t="n">
        <v>1410</v>
      </c>
      <c r="D3079" s="177" t="n">
        <v>3</v>
      </c>
      <c r="E3079" s="178" t="inlineStr">
        <is>
          <t>1410/03/11</t>
        </is>
      </c>
      <c r="F3079" s="134" t="inlineStr">
        <is>
          <t>1410/03</t>
        </is>
      </c>
      <c r="G3079" s="61" t="inlineStr">
        <is>
          <t>خرداد</t>
        </is>
      </c>
      <c r="H3079" s="134" t="inlineStr">
        <is>
          <t>بهار</t>
        </is>
      </c>
      <c r="I3079" s="134" t="inlineStr">
        <is>
          <t>یکشنبه</t>
        </is>
      </c>
      <c r="J3079" s="134" t="inlineStr">
        <is>
          <t>خیر</t>
        </is>
      </c>
    </row>
    <row r="3080">
      <c r="A3080" s="173" t="n">
        <v>48001</v>
      </c>
      <c r="B3080" s="174" t="n">
        <v>48001</v>
      </c>
      <c r="C3080" s="174" t="n">
        <v>1410</v>
      </c>
      <c r="D3080" s="174" t="n">
        <v>3</v>
      </c>
      <c r="E3080" s="175" t="inlineStr">
        <is>
          <t>1410/03/12</t>
        </is>
      </c>
      <c r="F3080" s="128" t="inlineStr">
        <is>
          <t>1410/03</t>
        </is>
      </c>
      <c r="G3080" s="58" t="inlineStr">
        <is>
          <t>خرداد</t>
        </is>
      </c>
      <c r="H3080" s="128" t="inlineStr">
        <is>
          <t>بهار</t>
        </is>
      </c>
      <c r="I3080" s="128" t="inlineStr">
        <is>
          <t>دوشنبه</t>
        </is>
      </c>
      <c r="J3080" s="128" t="inlineStr">
        <is>
          <t>بله</t>
        </is>
      </c>
    </row>
    <row r="3081">
      <c r="A3081" s="176" t="n">
        <v>48002</v>
      </c>
      <c r="B3081" s="177" t="n">
        <v>48002</v>
      </c>
      <c r="C3081" s="177" t="n">
        <v>1410</v>
      </c>
      <c r="D3081" s="177" t="n">
        <v>3</v>
      </c>
      <c r="E3081" s="178" t="inlineStr">
        <is>
          <t>1410/03/13</t>
        </is>
      </c>
      <c r="F3081" s="134" t="inlineStr">
        <is>
          <t>1410/03</t>
        </is>
      </c>
      <c r="G3081" s="61" t="inlineStr">
        <is>
          <t>خرداد</t>
        </is>
      </c>
      <c r="H3081" s="134" t="inlineStr">
        <is>
          <t>بهار</t>
        </is>
      </c>
      <c r="I3081" s="134" t="inlineStr">
        <is>
          <t>سه‌شنبه</t>
        </is>
      </c>
      <c r="J3081" s="134" t="inlineStr">
        <is>
          <t>بله</t>
        </is>
      </c>
    </row>
    <row r="3082">
      <c r="A3082" s="173" t="n">
        <v>48003</v>
      </c>
      <c r="B3082" s="174" t="n">
        <v>48003</v>
      </c>
      <c r="C3082" s="174" t="n">
        <v>1410</v>
      </c>
      <c r="D3082" s="174" t="n">
        <v>3</v>
      </c>
      <c r="E3082" s="175" t="inlineStr">
        <is>
          <t>1410/03/14</t>
        </is>
      </c>
      <c r="F3082" s="128" t="inlineStr">
        <is>
          <t>1410/03</t>
        </is>
      </c>
      <c r="G3082" s="58" t="inlineStr">
        <is>
          <t>خرداد</t>
        </is>
      </c>
      <c r="H3082" s="128" t="inlineStr">
        <is>
          <t>بهار</t>
        </is>
      </c>
      <c r="I3082" s="128" t="inlineStr">
        <is>
          <t>چهارشنبه</t>
        </is>
      </c>
      <c r="J3082" s="128" t="inlineStr">
        <is>
          <t>بله</t>
        </is>
      </c>
    </row>
    <row r="3083">
      <c r="A3083" s="176" t="n">
        <v>48004</v>
      </c>
      <c r="B3083" s="177" t="n">
        <v>48004</v>
      </c>
      <c r="C3083" s="177" t="n">
        <v>1410</v>
      </c>
      <c r="D3083" s="177" t="n">
        <v>3</v>
      </c>
      <c r="E3083" s="178" t="inlineStr">
        <is>
          <t>1410/03/15</t>
        </is>
      </c>
      <c r="F3083" s="134" t="inlineStr">
        <is>
          <t>1410/03</t>
        </is>
      </c>
      <c r="G3083" s="61" t="inlineStr">
        <is>
          <t>خرداد</t>
        </is>
      </c>
      <c r="H3083" s="134" t="inlineStr">
        <is>
          <t>بهار</t>
        </is>
      </c>
      <c r="I3083" s="134" t="inlineStr">
        <is>
          <t>پنجشنبه</t>
        </is>
      </c>
      <c r="J3083" s="134" t="inlineStr">
        <is>
          <t>بله</t>
        </is>
      </c>
    </row>
    <row r="3084">
      <c r="A3084" s="173" t="n">
        <v>48005</v>
      </c>
      <c r="B3084" s="174" t="n">
        <v>48005</v>
      </c>
      <c r="C3084" s="174" t="n">
        <v>1410</v>
      </c>
      <c r="D3084" s="174" t="n">
        <v>3</v>
      </c>
      <c r="E3084" s="175" t="inlineStr">
        <is>
          <t>1410/03/16</t>
        </is>
      </c>
      <c r="F3084" s="128" t="inlineStr">
        <is>
          <t>1410/03</t>
        </is>
      </c>
      <c r="G3084" s="58" t="inlineStr">
        <is>
          <t>خرداد</t>
        </is>
      </c>
      <c r="H3084" s="128" t="inlineStr">
        <is>
          <t>بهار</t>
        </is>
      </c>
      <c r="I3084" s="128" t="inlineStr">
        <is>
          <t>جمعه</t>
        </is>
      </c>
      <c r="J3084" s="128" t="inlineStr">
        <is>
          <t>بله</t>
        </is>
      </c>
    </row>
    <row r="3085">
      <c r="A3085" s="176" t="n">
        <v>48006</v>
      </c>
      <c r="B3085" s="177" t="n">
        <v>48006</v>
      </c>
      <c r="C3085" s="177" t="n">
        <v>1410</v>
      </c>
      <c r="D3085" s="177" t="n">
        <v>3</v>
      </c>
      <c r="E3085" s="178" t="inlineStr">
        <is>
          <t>1410/03/17</t>
        </is>
      </c>
      <c r="F3085" s="134" t="inlineStr">
        <is>
          <t>1410/03</t>
        </is>
      </c>
      <c r="G3085" s="61" t="inlineStr">
        <is>
          <t>خرداد</t>
        </is>
      </c>
      <c r="H3085" s="134" t="inlineStr">
        <is>
          <t>بهار</t>
        </is>
      </c>
      <c r="I3085" s="134" t="inlineStr">
        <is>
          <t>شنبه</t>
        </is>
      </c>
      <c r="J3085" s="134" t="inlineStr">
        <is>
          <t>خیر</t>
        </is>
      </c>
    </row>
    <row r="3086">
      <c r="A3086" s="173" t="n">
        <v>48007</v>
      </c>
      <c r="B3086" s="174" t="n">
        <v>48007</v>
      </c>
      <c r="C3086" s="174" t="n">
        <v>1410</v>
      </c>
      <c r="D3086" s="174" t="n">
        <v>3</v>
      </c>
      <c r="E3086" s="175" t="inlineStr">
        <is>
          <t>1410/03/18</t>
        </is>
      </c>
      <c r="F3086" s="128" t="inlineStr">
        <is>
          <t>1410/03</t>
        </is>
      </c>
      <c r="G3086" s="58" t="inlineStr">
        <is>
          <t>خرداد</t>
        </is>
      </c>
      <c r="H3086" s="128" t="inlineStr">
        <is>
          <t>بهار</t>
        </is>
      </c>
      <c r="I3086" s="128" t="inlineStr">
        <is>
          <t>یکشنبه</t>
        </is>
      </c>
      <c r="J3086" s="128" t="inlineStr">
        <is>
          <t>خیر</t>
        </is>
      </c>
    </row>
    <row r="3087">
      <c r="A3087" s="176" t="n">
        <v>48008</v>
      </c>
      <c r="B3087" s="177" t="n">
        <v>48008</v>
      </c>
      <c r="C3087" s="177" t="n">
        <v>1410</v>
      </c>
      <c r="D3087" s="177" t="n">
        <v>3</v>
      </c>
      <c r="E3087" s="178" t="inlineStr">
        <is>
          <t>1410/03/19</t>
        </is>
      </c>
      <c r="F3087" s="134" t="inlineStr">
        <is>
          <t>1410/03</t>
        </is>
      </c>
      <c r="G3087" s="61" t="inlineStr">
        <is>
          <t>خرداد</t>
        </is>
      </c>
      <c r="H3087" s="134" t="inlineStr">
        <is>
          <t>بهار</t>
        </is>
      </c>
      <c r="I3087" s="134" t="inlineStr">
        <is>
          <t>دوشنبه</t>
        </is>
      </c>
      <c r="J3087" s="134" t="inlineStr">
        <is>
          <t>بله</t>
        </is>
      </c>
    </row>
    <row r="3088">
      <c r="A3088" s="173" t="n">
        <v>48009</v>
      </c>
      <c r="B3088" s="174" t="n">
        <v>48009</v>
      </c>
      <c r="C3088" s="174" t="n">
        <v>1410</v>
      </c>
      <c r="D3088" s="174" t="n">
        <v>3</v>
      </c>
      <c r="E3088" s="175" t="inlineStr">
        <is>
          <t>1410/03/20</t>
        </is>
      </c>
      <c r="F3088" s="128" t="inlineStr">
        <is>
          <t>1410/03</t>
        </is>
      </c>
      <c r="G3088" s="58" t="inlineStr">
        <is>
          <t>خرداد</t>
        </is>
      </c>
      <c r="H3088" s="128" t="inlineStr">
        <is>
          <t>بهار</t>
        </is>
      </c>
      <c r="I3088" s="128" t="inlineStr">
        <is>
          <t>سه‌شنبه</t>
        </is>
      </c>
      <c r="J3088" s="128" t="inlineStr">
        <is>
          <t>بله</t>
        </is>
      </c>
    </row>
    <row r="3089">
      <c r="A3089" s="176" t="n">
        <v>48010</v>
      </c>
      <c r="B3089" s="177" t="n">
        <v>48010</v>
      </c>
      <c r="C3089" s="177" t="n">
        <v>1410</v>
      </c>
      <c r="D3089" s="177" t="n">
        <v>3</v>
      </c>
      <c r="E3089" s="178" t="inlineStr">
        <is>
          <t>1410/03/21</t>
        </is>
      </c>
      <c r="F3089" s="134" t="inlineStr">
        <is>
          <t>1410/03</t>
        </is>
      </c>
      <c r="G3089" s="61" t="inlineStr">
        <is>
          <t>خرداد</t>
        </is>
      </c>
      <c r="H3089" s="134" t="inlineStr">
        <is>
          <t>بهار</t>
        </is>
      </c>
      <c r="I3089" s="134" t="inlineStr">
        <is>
          <t>چهارشنبه</t>
        </is>
      </c>
      <c r="J3089" s="134" t="inlineStr">
        <is>
          <t>بله</t>
        </is>
      </c>
    </row>
    <row r="3090">
      <c r="A3090" s="173" t="n">
        <v>48011</v>
      </c>
      <c r="B3090" s="174" t="n">
        <v>48011</v>
      </c>
      <c r="C3090" s="174" t="n">
        <v>1410</v>
      </c>
      <c r="D3090" s="174" t="n">
        <v>3</v>
      </c>
      <c r="E3090" s="175" t="inlineStr">
        <is>
          <t>1410/03/22</t>
        </is>
      </c>
      <c r="F3090" s="128" t="inlineStr">
        <is>
          <t>1410/03</t>
        </is>
      </c>
      <c r="G3090" s="58" t="inlineStr">
        <is>
          <t>خرداد</t>
        </is>
      </c>
      <c r="H3090" s="128" t="inlineStr">
        <is>
          <t>بهار</t>
        </is>
      </c>
      <c r="I3090" s="128" t="inlineStr">
        <is>
          <t>پنجشنبه</t>
        </is>
      </c>
      <c r="J3090" s="128" t="inlineStr">
        <is>
          <t>بله</t>
        </is>
      </c>
    </row>
    <row r="3091">
      <c r="A3091" s="176" t="n">
        <v>48012</v>
      </c>
      <c r="B3091" s="177" t="n">
        <v>48012</v>
      </c>
      <c r="C3091" s="177" t="n">
        <v>1410</v>
      </c>
      <c r="D3091" s="177" t="n">
        <v>3</v>
      </c>
      <c r="E3091" s="178" t="inlineStr">
        <is>
          <t>1410/03/23</t>
        </is>
      </c>
      <c r="F3091" s="134" t="inlineStr">
        <is>
          <t>1410/03</t>
        </is>
      </c>
      <c r="G3091" s="61" t="inlineStr">
        <is>
          <t>خرداد</t>
        </is>
      </c>
      <c r="H3091" s="134" t="inlineStr">
        <is>
          <t>بهار</t>
        </is>
      </c>
      <c r="I3091" s="134" t="inlineStr">
        <is>
          <t>جمعه</t>
        </is>
      </c>
      <c r="J3091" s="134" t="inlineStr">
        <is>
          <t>بله</t>
        </is>
      </c>
    </row>
    <row r="3092">
      <c r="A3092" s="173" t="n">
        <v>48013</v>
      </c>
      <c r="B3092" s="174" t="n">
        <v>48013</v>
      </c>
      <c r="C3092" s="174" t="n">
        <v>1410</v>
      </c>
      <c r="D3092" s="174" t="n">
        <v>3</v>
      </c>
      <c r="E3092" s="175" t="inlineStr">
        <is>
          <t>1410/03/24</t>
        </is>
      </c>
      <c r="F3092" s="128" t="inlineStr">
        <is>
          <t>1410/03</t>
        </is>
      </c>
      <c r="G3092" s="58" t="inlineStr">
        <is>
          <t>خرداد</t>
        </is>
      </c>
      <c r="H3092" s="128" t="inlineStr">
        <is>
          <t>بهار</t>
        </is>
      </c>
      <c r="I3092" s="128" t="inlineStr">
        <is>
          <t>شنبه</t>
        </is>
      </c>
      <c r="J3092" s="128" t="inlineStr">
        <is>
          <t>خیر</t>
        </is>
      </c>
    </row>
    <row r="3093">
      <c r="A3093" s="176" t="n">
        <v>48014</v>
      </c>
      <c r="B3093" s="177" t="n">
        <v>48014</v>
      </c>
      <c r="C3093" s="177" t="n">
        <v>1410</v>
      </c>
      <c r="D3093" s="177" t="n">
        <v>3</v>
      </c>
      <c r="E3093" s="178" t="inlineStr">
        <is>
          <t>1410/03/25</t>
        </is>
      </c>
      <c r="F3093" s="134" t="inlineStr">
        <is>
          <t>1410/03</t>
        </is>
      </c>
      <c r="G3093" s="61" t="inlineStr">
        <is>
          <t>خرداد</t>
        </is>
      </c>
      <c r="H3093" s="134" t="inlineStr">
        <is>
          <t>بهار</t>
        </is>
      </c>
      <c r="I3093" s="134" t="inlineStr">
        <is>
          <t>یکشنبه</t>
        </is>
      </c>
      <c r="J3093" s="134" t="inlineStr">
        <is>
          <t>خیر</t>
        </is>
      </c>
    </row>
    <row r="3094">
      <c r="A3094" s="173" t="n">
        <v>48015</v>
      </c>
      <c r="B3094" s="174" t="n">
        <v>48015</v>
      </c>
      <c r="C3094" s="174" t="n">
        <v>1410</v>
      </c>
      <c r="D3094" s="174" t="n">
        <v>3</v>
      </c>
      <c r="E3094" s="175" t="inlineStr">
        <is>
          <t>1410/03/26</t>
        </is>
      </c>
      <c r="F3094" s="128" t="inlineStr">
        <is>
          <t>1410/03</t>
        </is>
      </c>
      <c r="G3094" s="58" t="inlineStr">
        <is>
          <t>خرداد</t>
        </is>
      </c>
      <c r="H3094" s="128" t="inlineStr">
        <is>
          <t>بهار</t>
        </is>
      </c>
      <c r="I3094" s="128" t="inlineStr">
        <is>
          <t>دوشنبه</t>
        </is>
      </c>
      <c r="J3094" s="128" t="inlineStr">
        <is>
          <t>بله</t>
        </is>
      </c>
    </row>
    <row r="3095">
      <c r="A3095" s="176" t="n">
        <v>48016</v>
      </c>
      <c r="B3095" s="177" t="n">
        <v>48016</v>
      </c>
      <c r="C3095" s="177" t="n">
        <v>1410</v>
      </c>
      <c r="D3095" s="177" t="n">
        <v>3</v>
      </c>
      <c r="E3095" s="178" t="inlineStr">
        <is>
          <t>1410/03/27</t>
        </is>
      </c>
      <c r="F3095" s="134" t="inlineStr">
        <is>
          <t>1410/03</t>
        </is>
      </c>
      <c r="G3095" s="61" t="inlineStr">
        <is>
          <t>خرداد</t>
        </is>
      </c>
      <c r="H3095" s="134" t="inlineStr">
        <is>
          <t>بهار</t>
        </is>
      </c>
      <c r="I3095" s="134" t="inlineStr">
        <is>
          <t>سه‌شنبه</t>
        </is>
      </c>
      <c r="J3095" s="134" t="inlineStr">
        <is>
          <t>بله</t>
        </is>
      </c>
    </row>
    <row r="3096">
      <c r="A3096" s="173" t="n">
        <v>48017</v>
      </c>
      <c r="B3096" s="174" t="n">
        <v>48017</v>
      </c>
      <c r="C3096" s="174" t="n">
        <v>1410</v>
      </c>
      <c r="D3096" s="174" t="n">
        <v>3</v>
      </c>
      <c r="E3096" s="175" t="inlineStr">
        <is>
          <t>1410/03/28</t>
        </is>
      </c>
      <c r="F3096" s="128" t="inlineStr">
        <is>
          <t>1410/03</t>
        </is>
      </c>
      <c r="G3096" s="58" t="inlineStr">
        <is>
          <t>خرداد</t>
        </is>
      </c>
      <c r="H3096" s="128" t="inlineStr">
        <is>
          <t>بهار</t>
        </is>
      </c>
      <c r="I3096" s="128" t="inlineStr">
        <is>
          <t>چهارشنبه</t>
        </is>
      </c>
      <c r="J3096" s="128" t="inlineStr">
        <is>
          <t>بله</t>
        </is>
      </c>
    </row>
    <row r="3097">
      <c r="A3097" s="176" t="n">
        <v>48018</v>
      </c>
      <c r="B3097" s="177" t="n">
        <v>48018</v>
      </c>
      <c r="C3097" s="177" t="n">
        <v>1410</v>
      </c>
      <c r="D3097" s="177" t="n">
        <v>3</v>
      </c>
      <c r="E3097" s="178" t="inlineStr">
        <is>
          <t>1410/03/29</t>
        </is>
      </c>
      <c r="F3097" s="134" t="inlineStr">
        <is>
          <t>1410/03</t>
        </is>
      </c>
      <c r="G3097" s="61" t="inlineStr">
        <is>
          <t>خرداد</t>
        </is>
      </c>
      <c r="H3097" s="134" t="inlineStr">
        <is>
          <t>بهار</t>
        </is>
      </c>
      <c r="I3097" s="134" t="inlineStr">
        <is>
          <t>پنجشنبه</t>
        </is>
      </c>
      <c r="J3097" s="134" t="inlineStr">
        <is>
          <t>بله</t>
        </is>
      </c>
    </row>
    <row r="3098">
      <c r="A3098" s="173" t="n">
        <v>48019</v>
      </c>
      <c r="B3098" s="174" t="n">
        <v>48019</v>
      </c>
      <c r="C3098" s="174" t="n">
        <v>1410</v>
      </c>
      <c r="D3098" s="174" t="n">
        <v>3</v>
      </c>
      <c r="E3098" s="175" t="inlineStr">
        <is>
          <t>1410/03/30</t>
        </is>
      </c>
      <c r="F3098" s="128" t="inlineStr">
        <is>
          <t>1410/03</t>
        </is>
      </c>
      <c r="G3098" s="58" t="inlineStr">
        <is>
          <t>خرداد</t>
        </is>
      </c>
      <c r="H3098" s="128" t="inlineStr">
        <is>
          <t>بهار</t>
        </is>
      </c>
      <c r="I3098" s="128" t="inlineStr">
        <is>
          <t>جمعه</t>
        </is>
      </c>
      <c r="J3098" s="128" t="inlineStr">
        <is>
          <t>بله</t>
        </is>
      </c>
    </row>
    <row r="3099">
      <c r="A3099" s="176" t="n">
        <v>48020</v>
      </c>
      <c r="B3099" s="177" t="n">
        <v>48020</v>
      </c>
      <c r="C3099" s="177" t="n">
        <v>1410</v>
      </c>
      <c r="D3099" s="177" t="n">
        <v>3</v>
      </c>
      <c r="E3099" s="178" t="inlineStr">
        <is>
          <t>1410/03/31</t>
        </is>
      </c>
      <c r="F3099" s="134" t="inlineStr">
        <is>
          <t>1410/03</t>
        </is>
      </c>
      <c r="G3099" s="61" t="inlineStr">
        <is>
          <t>خرداد</t>
        </is>
      </c>
      <c r="H3099" s="134" t="inlineStr">
        <is>
          <t>بهار</t>
        </is>
      </c>
      <c r="I3099" s="134" t="inlineStr">
        <is>
          <t>شنبه</t>
        </is>
      </c>
      <c r="J3099" s="134" t="inlineStr">
        <is>
          <t>خیر</t>
        </is>
      </c>
    </row>
    <row r="3100">
      <c r="A3100" s="173" t="n">
        <v>48021</v>
      </c>
      <c r="B3100" s="174" t="n">
        <v>48021</v>
      </c>
      <c r="C3100" s="174" t="n">
        <v>1410</v>
      </c>
      <c r="D3100" s="174" t="n">
        <v>4</v>
      </c>
      <c r="E3100" s="175" t="inlineStr">
        <is>
          <t>1410/04/01</t>
        </is>
      </c>
      <c r="F3100" s="128" t="inlineStr">
        <is>
          <t>1410/04</t>
        </is>
      </c>
      <c r="G3100" s="58" t="inlineStr">
        <is>
          <t>تیر</t>
        </is>
      </c>
      <c r="H3100" s="128" t="inlineStr">
        <is>
          <t>تابستان</t>
        </is>
      </c>
      <c r="I3100" s="128" t="inlineStr">
        <is>
          <t>یکشنبه</t>
        </is>
      </c>
      <c r="J3100" s="128" t="inlineStr">
        <is>
          <t>خیر</t>
        </is>
      </c>
    </row>
    <row r="3101">
      <c r="A3101" s="176" t="n">
        <v>48022</v>
      </c>
      <c r="B3101" s="177" t="n">
        <v>48022</v>
      </c>
      <c r="C3101" s="177" t="n">
        <v>1410</v>
      </c>
      <c r="D3101" s="177" t="n">
        <v>4</v>
      </c>
      <c r="E3101" s="178" t="inlineStr">
        <is>
          <t>1410/04/02</t>
        </is>
      </c>
      <c r="F3101" s="134" t="inlineStr">
        <is>
          <t>1410/04</t>
        </is>
      </c>
      <c r="G3101" s="61" t="inlineStr">
        <is>
          <t>تیر</t>
        </is>
      </c>
      <c r="H3101" s="134" t="inlineStr">
        <is>
          <t>تابستان</t>
        </is>
      </c>
      <c r="I3101" s="134" t="inlineStr">
        <is>
          <t>دوشنبه</t>
        </is>
      </c>
      <c r="J3101" s="134" t="inlineStr">
        <is>
          <t>بله</t>
        </is>
      </c>
    </row>
    <row r="3102">
      <c r="A3102" s="173" t="n">
        <v>48023</v>
      </c>
      <c r="B3102" s="174" t="n">
        <v>48023</v>
      </c>
      <c r="C3102" s="174" t="n">
        <v>1410</v>
      </c>
      <c r="D3102" s="174" t="n">
        <v>4</v>
      </c>
      <c r="E3102" s="175" t="inlineStr">
        <is>
          <t>1410/04/03</t>
        </is>
      </c>
      <c r="F3102" s="128" t="inlineStr">
        <is>
          <t>1410/04</t>
        </is>
      </c>
      <c r="G3102" s="58" t="inlineStr">
        <is>
          <t>تیر</t>
        </is>
      </c>
      <c r="H3102" s="128" t="inlineStr">
        <is>
          <t>تابستان</t>
        </is>
      </c>
      <c r="I3102" s="128" t="inlineStr">
        <is>
          <t>سه‌شنبه</t>
        </is>
      </c>
      <c r="J3102" s="128" t="inlineStr">
        <is>
          <t>بله</t>
        </is>
      </c>
    </row>
    <row r="3103">
      <c r="A3103" s="176" t="n">
        <v>48024</v>
      </c>
      <c r="B3103" s="177" t="n">
        <v>48024</v>
      </c>
      <c r="C3103" s="177" t="n">
        <v>1410</v>
      </c>
      <c r="D3103" s="177" t="n">
        <v>4</v>
      </c>
      <c r="E3103" s="178" t="inlineStr">
        <is>
          <t>1410/04/04</t>
        </is>
      </c>
      <c r="F3103" s="134" t="inlineStr">
        <is>
          <t>1410/04</t>
        </is>
      </c>
      <c r="G3103" s="61" t="inlineStr">
        <is>
          <t>تیر</t>
        </is>
      </c>
      <c r="H3103" s="134" t="inlineStr">
        <is>
          <t>تابستان</t>
        </is>
      </c>
      <c r="I3103" s="134" t="inlineStr">
        <is>
          <t>چهارشنبه</t>
        </is>
      </c>
      <c r="J3103" s="134" t="inlineStr">
        <is>
          <t>بله</t>
        </is>
      </c>
    </row>
    <row r="3104">
      <c r="A3104" s="173" t="n">
        <v>48025</v>
      </c>
      <c r="B3104" s="174" t="n">
        <v>48025</v>
      </c>
      <c r="C3104" s="174" t="n">
        <v>1410</v>
      </c>
      <c r="D3104" s="174" t="n">
        <v>4</v>
      </c>
      <c r="E3104" s="175" t="inlineStr">
        <is>
          <t>1410/04/05</t>
        </is>
      </c>
      <c r="F3104" s="128" t="inlineStr">
        <is>
          <t>1410/04</t>
        </is>
      </c>
      <c r="G3104" s="58" t="inlineStr">
        <is>
          <t>تیر</t>
        </is>
      </c>
      <c r="H3104" s="128" t="inlineStr">
        <is>
          <t>تابستان</t>
        </is>
      </c>
      <c r="I3104" s="128" t="inlineStr">
        <is>
          <t>پنجشنبه</t>
        </is>
      </c>
      <c r="J3104" s="128" t="inlineStr">
        <is>
          <t>بله</t>
        </is>
      </c>
    </row>
    <row r="3105">
      <c r="A3105" s="176" t="n">
        <v>48026</v>
      </c>
      <c r="B3105" s="177" t="n">
        <v>48026</v>
      </c>
      <c r="C3105" s="177" t="n">
        <v>1410</v>
      </c>
      <c r="D3105" s="177" t="n">
        <v>4</v>
      </c>
      <c r="E3105" s="178" t="inlineStr">
        <is>
          <t>1410/04/06</t>
        </is>
      </c>
      <c r="F3105" s="134" t="inlineStr">
        <is>
          <t>1410/04</t>
        </is>
      </c>
      <c r="G3105" s="61" t="inlineStr">
        <is>
          <t>تیر</t>
        </is>
      </c>
      <c r="H3105" s="134" t="inlineStr">
        <is>
          <t>تابستان</t>
        </is>
      </c>
      <c r="I3105" s="134" t="inlineStr">
        <is>
          <t>جمعه</t>
        </is>
      </c>
      <c r="J3105" s="134" t="inlineStr">
        <is>
          <t>بله</t>
        </is>
      </c>
    </row>
    <row r="3106">
      <c r="A3106" s="173" t="n">
        <v>48027</v>
      </c>
      <c r="B3106" s="174" t="n">
        <v>48027</v>
      </c>
      <c r="C3106" s="174" t="n">
        <v>1410</v>
      </c>
      <c r="D3106" s="174" t="n">
        <v>4</v>
      </c>
      <c r="E3106" s="175" t="inlineStr">
        <is>
          <t>1410/04/07</t>
        </is>
      </c>
      <c r="F3106" s="128" t="inlineStr">
        <is>
          <t>1410/04</t>
        </is>
      </c>
      <c r="G3106" s="58" t="inlineStr">
        <is>
          <t>تیر</t>
        </is>
      </c>
      <c r="H3106" s="128" t="inlineStr">
        <is>
          <t>تابستان</t>
        </is>
      </c>
      <c r="I3106" s="128" t="inlineStr">
        <is>
          <t>شنبه</t>
        </is>
      </c>
      <c r="J3106" s="128" t="inlineStr">
        <is>
          <t>خیر</t>
        </is>
      </c>
    </row>
    <row r="3107">
      <c r="A3107" s="176" t="n">
        <v>48028</v>
      </c>
      <c r="B3107" s="177" t="n">
        <v>48028</v>
      </c>
      <c r="C3107" s="177" t="n">
        <v>1410</v>
      </c>
      <c r="D3107" s="177" t="n">
        <v>4</v>
      </c>
      <c r="E3107" s="178" t="inlineStr">
        <is>
          <t>1410/04/08</t>
        </is>
      </c>
      <c r="F3107" s="134" t="inlineStr">
        <is>
          <t>1410/04</t>
        </is>
      </c>
      <c r="G3107" s="61" t="inlineStr">
        <is>
          <t>تیر</t>
        </is>
      </c>
      <c r="H3107" s="134" t="inlineStr">
        <is>
          <t>تابستان</t>
        </is>
      </c>
      <c r="I3107" s="134" t="inlineStr">
        <is>
          <t>یکشنبه</t>
        </is>
      </c>
      <c r="J3107" s="134" t="inlineStr">
        <is>
          <t>خیر</t>
        </is>
      </c>
    </row>
    <row r="3108">
      <c r="A3108" s="173" t="n">
        <v>48029</v>
      </c>
      <c r="B3108" s="174" t="n">
        <v>48029</v>
      </c>
      <c r="C3108" s="174" t="n">
        <v>1410</v>
      </c>
      <c r="D3108" s="174" t="n">
        <v>4</v>
      </c>
      <c r="E3108" s="175" t="inlineStr">
        <is>
          <t>1410/04/09</t>
        </is>
      </c>
      <c r="F3108" s="128" t="inlineStr">
        <is>
          <t>1410/04</t>
        </is>
      </c>
      <c r="G3108" s="58" t="inlineStr">
        <is>
          <t>تیر</t>
        </is>
      </c>
      <c r="H3108" s="128" t="inlineStr">
        <is>
          <t>تابستان</t>
        </is>
      </c>
      <c r="I3108" s="128" t="inlineStr">
        <is>
          <t>دوشنبه</t>
        </is>
      </c>
      <c r="J3108" s="128" t="inlineStr">
        <is>
          <t>بله</t>
        </is>
      </c>
    </row>
    <row r="3109">
      <c r="A3109" s="176" t="n">
        <v>48030</v>
      </c>
      <c r="B3109" s="177" t="n">
        <v>48030</v>
      </c>
      <c r="C3109" s="177" t="n">
        <v>1410</v>
      </c>
      <c r="D3109" s="177" t="n">
        <v>4</v>
      </c>
      <c r="E3109" s="178" t="inlineStr">
        <is>
          <t>1410/04/10</t>
        </is>
      </c>
      <c r="F3109" s="134" t="inlineStr">
        <is>
          <t>1410/04</t>
        </is>
      </c>
      <c r="G3109" s="61" t="inlineStr">
        <is>
          <t>تیر</t>
        </is>
      </c>
      <c r="H3109" s="134" t="inlineStr">
        <is>
          <t>تابستان</t>
        </is>
      </c>
      <c r="I3109" s="134" t="inlineStr">
        <is>
          <t>سه‌شنبه</t>
        </is>
      </c>
      <c r="J3109" s="134" t="inlineStr">
        <is>
          <t>بله</t>
        </is>
      </c>
    </row>
    <row r="3110">
      <c r="A3110" s="173" t="n">
        <v>48031</v>
      </c>
      <c r="B3110" s="174" t="n">
        <v>48031</v>
      </c>
      <c r="C3110" s="174" t="n">
        <v>1410</v>
      </c>
      <c r="D3110" s="174" t="n">
        <v>4</v>
      </c>
      <c r="E3110" s="175" t="inlineStr">
        <is>
          <t>1410/04/11</t>
        </is>
      </c>
      <c r="F3110" s="128" t="inlineStr">
        <is>
          <t>1410/04</t>
        </is>
      </c>
      <c r="G3110" s="58" t="inlineStr">
        <is>
          <t>تیر</t>
        </is>
      </c>
      <c r="H3110" s="128" t="inlineStr">
        <is>
          <t>تابستان</t>
        </is>
      </c>
      <c r="I3110" s="128" t="inlineStr">
        <is>
          <t>چهارشنبه</t>
        </is>
      </c>
      <c r="J3110" s="128" t="inlineStr">
        <is>
          <t>بله</t>
        </is>
      </c>
    </row>
    <row r="3111">
      <c r="A3111" s="176" t="n">
        <v>48032</v>
      </c>
      <c r="B3111" s="177" t="n">
        <v>48032</v>
      </c>
      <c r="C3111" s="177" t="n">
        <v>1410</v>
      </c>
      <c r="D3111" s="177" t="n">
        <v>4</v>
      </c>
      <c r="E3111" s="178" t="inlineStr">
        <is>
          <t>1410/04/12</t>
        </is>
      </c>
      <c r="F3111" s="134" t="inlineStr">
        <is>
          <t>1410/04</t>
        </is>
      </c>
      <c r="G3111" s="61" t="inlineStr">
        <is>
          <t>تیر</t>
        </is>
      </c>
      <c r="H3111" s="134" t="inlineStr">
        <is>
          <t>تابستان</t>
        </is>
      </c>
      <c r="I3111" s="134" t="inlineStr">
        <is>
          <t>پنجشنبه</t>
        </is>
      </c>
      <c r="J3111" s="134" t="inlineStr">
        <is>
          <t>بله</t>
        </is>
      </c>
    </row>
    <row r="3112">
      <c r="A3112" s="173" t="n">
        <v>48033</v>
      </c>
      <c r="B3112" s="174" t="n">
        <v>48033</v>
      </c>
      <c r="C3112" s="174" t="n">
        <v>1410</v>
      </c>
      <c r="D3112" s="174" t="n">
        <v>4</v>
      </c>
      <c r="E3112" s="175" t="inlineStr">
        <is>
          <t>1410/04/13</t>
        </is>
      </c>
      <c r="F3112" s="128" t="inlineStr">
        <is>
          <t>1410/04</t>
        </is>
      </c>
      <c r="G3112" s="58" t="inlineStr">
        <is>
          <t>تیر</t>
        </is>
      </c>
      <c r="H3112" s="128" t="inlineStr">
        <is>
          <t>تابستان</t>
        </is>
      </c>
      <c r="I3112" s="128" t="inlineStr">
        <is>
          <t>جمعه</t>
        </is>
      </c>
      <c r="J3112" s="128" t="inlineStr">
        <is>
          <t>بله</t>
        </is>
      </c>
    </row>
    <row r="3113">
      <c r="A3113" s="176" t="n">
        <v>48034</v>
      </c>
      <c r="B3113" s="177" t="n">
        <v>48034</v>
      </c>
      <c r="C3113" s="177" t="n">
        <v>1410</v>
      </c>
      <c r="D3113" s="177" t="n">
        <v>4</v>
      </c>
      <c r="E3113" s="178" t="inlineStr">
        <is>
          <t>1410/04/14</t>
        </is>
      </c>
      <c r="F3113" s="134" t="inlineStr">
        <is>
          <t>1410/04</t>
        </is>
      </c>
      <c r="G3113" s="61" t="inlineStr">
        <is>
          <t>تیر</t>
        </is>
      </c>
      <c r="H3113" s="134" t="inlineStr">
        <is>
          <t>تابستان</t>
        </is>
      </c>
      <c r="I3113" s="134" t="inlineStr">
        <is>
          <t>شنبه</t>
        </is>
      </c>
      <c r="J3113" s="134" t="inlineStr">
        <is>
          <t>خیر</t>
        </is>
      </c>
    </row>
    <row r="3114">
      <c r="A3114" s="173" t="n">
        <v>48035</v>
      </c>
      <c r="B3114" s="174" t="n">
        <v>48035</v>
      </c>
      <c r="C3114" s="174" t="n">
        <v>1410</v>
      </c>
      <c r="D3114" s="174" t="n">
        <v>4</v>
      </c>
      <c r="E3114" s="175" t="inlineStr">
        <is>
          <t>1410/04/15</t>
        </is>
      </c>
      <c r="F3114" s="128" t="inlineStr">
        <is>
          <t>1410/04</t>
        </is>
      </c>
      <c r="G3114" s="58" t="inlineStr">
        <is>
          <t>تیر</t>
        </is>
      </c>
      <c r="H3114" s="128" t="inlineStr">
        <is>
          <t>تابستان</t>
        </is>
      </c>
      <c r="I3114" s="128" t="inlineStr">
        <is>
          <t>یکشنبه</t>
        </is>
      </c>
      <c r="J3114" s="128" t="inlineStr">
        <is>
          <t>خیر</t>
        </is>
      </c>
    </row>
    <row r="3115">
      <c r="A3115" s="176" t="n">
        <v>48036</v>
      </c>
      <c r="B3115" s="177" t="n">
        <v>48036</v>
      </c>
      <c r="C3115" s="177" t="n">
        <v>1410</v>
      </c>
      <c r="D3115" s="177" t="n">
        <v>4</v>
      </c>
      <c r="E3115" s="178" t="inlineStr">
        <is>
          <t>1410/04/16</t>
        </is>
      </c>
      <c r="F3115" s="134" t="inlineStr">
        <is>
          <t>1410/04</t>
        </is>
      </c>
      <c r="G3115" s="61" t="inlineStr">
        <is>
          <t>تیر</t>
        </is>
      </c>
      <c r="H3115" s="134" t="inlineStr">
        <is>
          <t>تابستان</t>
        </is>
      </c>
      <c r="I3115" s="134" t="inlineStr">
        <is>
          <t>دوشنبه</t>
        </is>
      </c>
      <c r="J3115" s="134" t="inlineStr">
        <is>
          <t>بله</t>
        </is>
      </c>
    </row>
    <row r="3116">
      <c r="A3116" s="173" t="n">
        <v>48037</v>
      </c>
      <c r="B3116" s="174" t="n">
        <v>48037</v>
      </c>
      <c r="C3116" s="174" t="n">
        <v>1410</v>
      </c>
      <c r="D3116" s="174" t="n">
        <v>4</v>
      </c>
      <c r="E3116" s="175" t="inlineStr">
        <is>
          <t>1410/04/17</t>
        </is>
      </c>
      <c r="F3116" s="128" t="inlineStr">
        <is>
          <t>1410/04</t>
        </is>
      </c>
      <c r="G3116" s="58" t="inlineStr">
        <is>
          <t>تیر</t>
        </is>
      </c>
      <c r="H3116" s="128" t="inlineStr">
        <is>
          <t>تابستان</t>
        </is>
      </c>
      <c r="I3116" s="128" t="inlineStr">
        <is>
          <t>سه‌شنبه</t>
        </is>
      </c>
      <c r="J3116" s="128" t="inlineStr">
        <is>
          <t>بله</t>
        </is>
      </c>
    </row>
    <row r="3117">
      <c r="A3117" s="176" t="n">
        <v>48038</v>
      </c>
      <c r="B3117" s="177" t="n">
        <v>48038</v>
      </c>
      <c r="C3117" s="177" t="n">
        <v>1410</v>
      </c>
      <c r="D3117" s="177" t="n">
        <v>4</v>
      </c>
      <c r="E3117" s="178" t="inlineStr">
        <is>
          <t>1410/04/18</t>
        </is>
      </c>
      <c r="F3117" s="134" t="inlineStr">
        <is>
          <t>1410/04</t>
        </is>
      </c>
      <c r="G3117" s="61" t="inlineStr">
        <is>
          <t>تیر</t>
        </is>
      </c>
      <c r="H3117" s="134" t="inlineStr">
        <is>
          <t>تابستان</t>
        </is>
      </c>
      <c r="I3117" s="134" t="inlineStr">
        <is>
          <t>چهارشنبه</t>
        </is>
      </c>
      <c r="J3117" s="134" t="inlineStr">
        <is>
          <t>بله</t>
        </is>
      </c>
    </row>
    <row r="3118">
      <c r="A3118" s="173" t="n">
        <v>48039</v>
      </c>
      <c r="B3118" s="174" t="n">
        <v>48039</v>
      </c>
      <c r="C3118" s="174" t="n">
        <v>1410</v>
      </c>
      <c r="D3118" s="174" t="n">
        <v>4</v>
      </c>
      <c r="E3118" s="175" t="inlineStr">
        <is>
          <t>1410/04/19</t>
        </is>
      </c>
      <c r="F3118" s="128" t="inlineStr">
        <is>
          <t>1410/04</t>
        </is>
      </c>
      <c r="G3118" s="58" t="inlineStr">
        <is>
          <t>تیر</t>
        </is>
      </c>
      <c r="H3118" s="128" t="inlineStr">
        <is>
          <t>تابستان</t>
        </is>
      </c>
      <c r="I3118" s="128" t="inlineStr">
        <is>
          <t>پنجشنبه</t>
        </is>
      </c>
      <c r="J3118" s="128" t="inlineStr">
        <is>
          <t>بله</t>
        </is>
      </c>
    </row>
    <row r="3119">
      <c r="A3119" s="176" t="n">
        <v>48040</v>
      </c>
      <c r="B3119" s="177" t="n">
        <v>48040</v>
      </c>
      <c r="C3119" s="177" t="n">
        <v>1410</v>
      </c>
      <c r="D3119" s="177" t="n">
        <v>4</v>
      </c>
      <c r="E3119" s="178" t="inlineStr">
        <is>
          <t>1410/04/20</t>
        </is>
      </c>
      <c r="F3119" s="134" t="inlineStr">
        <is>
          <t>1410/04</t>
        </is>
      </c>
      <c r="G3119" s="61" t="inlineStr">
        <is>
          <t>تیر</t>
        </is>
      </c>
      <c r="H3119" s="134" t="inlineStr">
        <is>
          <t>تابستان</t>
        </is>
      </c>
      <c r="I3119" s="134" t="inlineStr">
        <is>
          <t>جمعه</t>
        </is>
      </c>
      <c r="J3119" s="134" t="inlineStr">
        <is>
          <t>بله</t>
        </is>
      </c>
    </row>
    <row r="3120">
      <c r="A3120" s="173" t="n">
        <v>48041</v>
      </c>
      <c r="B3120" s="174" t="n">
        <v>48041</v>
      </c>
      <c r="C3120" s="174" t="n">
        <v>1410</v>
      </c>
      <c r="D3120" s="174" t="n">
        <v>4</v>
      </c>
      <c r="E3120" s="175" t="inlineStr">
        <is>
          <t>1410/04/21</t>
        </is>
      </c>
      <c r="F3120" s="128" t="inlineStr">
        <is>
          <t>1410/04</t>
        </is>
      </c>
      <c r="G3120" s="58" t="inlineStr">
        <is>
          <t>تیر</t>
        </is>
      </c>
      <c r="H3120" s="128" t="inlineStr">
        <is>
          <t>تابستان</t>
        </is>
      </c>
      <c r="I3120" s="128" t="inlineStr">
        <is>
          <t>شنبه</t>
        </is>
      </c>
      <c r="J3120" s="128" t="inlineStr">
        <is>
          <t>خیر</t>
        </is>
      </c>
    </row>
    <row r="3121">
      <c r="A3121" s="176" t="n">
        <v>48042</v>
      </c>
      <c r="B3121" s="177" t="n">
        <v>48042</v>
      </c>
      <c r="C3121" s="177" t="n">
        <v>1410</v>
      </c>
      <c r="D3121" s="177" t="n">
        <v>4</v>
      </c>
      <c r="E3121" s="178" t="inlineStr">
        <is>
          <t>1410/04/22</t>
        </is>
      </c>
      <c r="F3121" s="134" t="inlineStr">
        <is>
          <t>1410/04</t>
        </is>
      </c>
      <c r="G3121" s="61" t="inlineStr">
        <is>
          <t>تیر</t>
        </is>
      </c>
      <c r="H3121" s="134" t="inlineStr">
        <is>
          <t>تابستان</t>
        </is>
      </c>
      <c r="I3121" s="134" t="inlineStr">
        <is>
          <t>یکشنبه</t>
        </is>
      </c>
      <c r="J3121" s="134" t="inlineStr">
        <is>
          <t>خیر</t>
        </is>
      </c>
    </row>
    <row r="3122">
      <c r="A3122" s="173" t="n">
        <v>48043</v>
      </c>
      <c r="B3122" s="174" t="n">
        <v>48043</v>
      </c>
      <c r="C3122" s="174" t="n">
        <v>1410</v>
      </c>
      <c r="D3122" s="174" t="n">
        <v>4</v>
      </c>
      <c r="E3122" s="175" t="inlineStr">
        <is>
          <t>1410/04/23</t>
        </is>
      </c>
      <c r="F3122" s="128" t="inlineStr">
        <is>
          <t>1410/04</t>
        </is>
      </c>
      <c r="G3122" s="58" t="inlineStr">
        <is>
          <t>تیر</t>
        </is>
      </c>
      <c r="H3122" s="128" t="inlineStr">
        <is>
          <t>تابستان</t>
        </is>
      </c>
      <c r="I3122" s="128" t="inlineStr">
        <is>
          <t>دوشنبه</t>
        </is>
      </c>
      <c r="J3122" s="128" t="inlineStr">
        <is>
          <t>بله</t>
        </is>
      </c>
    </row>
    <row r="3123">
      <c r="A3123" s="176" t="n">
        <v>48044</v>
      </c>
      <c r="B3123" s="177" t="n">
        <v>48044</v>
      </c>
      <c r="C3123" s="177" t="n">
        <v>1410</v>
      </c>
      <c r="D3123" s="177" t="n">
        <v>4</v>
      </c>
      <c r="E3123" s="178" t="inlineStr">
        <is>
          <t>1410/04/24</t>
        </is>
      </c>
      <c r="F3123" s="134" t="inlineStr">
        <is>
          <t>1410/04</t>
        </is>
      </c>
      <c r="G3123" s="61" t="inlineStr">
        <is>
          <t>تیر</t>
        </is>
      </c>
      <c r="H3123" s="134" t="inlineStr">
        <is>
          <t>تابستان</t>
        </is>
      </c>
      <c r="I3123" s="134" t="inlineStr">
        <is>
          <t>سه‌شنبه</t>
        </is>
      </c>
      <c r="J3123" s="134" t="inlineStr">
        <is>
          <t>بله</t>
        </is>
      </c>
    </row>
    <row r="3124">
      <c r="A3124" s="173" t="n">
        <v>48045</v>
      </c>
      <c r="B3124" s="174" t="n">
        <v>48045</v>
      </c>
      <c r="C3124" s="174" t="n">
        <v>1410</v>
      </c>
      <c r="D3124" s="174" t="n">
        <v>4</v>
      </c>
      <c r="E3124" s="175" t="inlineStr">
        <is>
          <t>1410/04/25</t>
        </is>
      </c>
      <c r="F3124" s="128" t="inlineStr">
        <is>
          <t>1410/04</t>
        </is>
      </c>
      <c r="G3124" s="58" t="inlineStr">
        <is>
          <t>تیر</t>
        </is>
      </c>
      <c r="H3124" s="128" t="inlineStr">
        <is>
          <t>تابستان</t>
        </is>
      </c>
      <c r="I3124" s="128" t="inlineStr">
        <is>
          <t>چهارشنبه</t>
        </is>
      </c>
      <c r="J3124" s="128" t="inlineStr">
        <is>
          <t>بله</t>
        </is>
      </c>
    </row>
    <row r="3125">
      <c r="A3125" s="176" t="n">
        <v>48046</v>
      </c>
      <c r="B3125" s="177" t="n">
        <v>48046</v>
      </c>
      <c r="C3125" s="177" t="n">
        <v>1410</v>
      </c>
      <c r="D3125" s="177" t="n">
        <v>4</v>
      </c>
      <c r="E3125" s="178" t="inlineStr">
        <is>
          <t>1410/04/26</t>
        </is>
      </c>
      <c r="F3125" s="134" t="inlineStr">
        <is>
          <t>1410/04</t>
        </is>
      </c>
      <c r="G3125" s="61" t="inlineStr">
        <is>
          <t>تیر</t>
        </is>
      </c>
      <c r="H3125" s="134" t="inlineStr">
        <is>
          <t>تابستان</t>
        </is>
      </c>
      <c r="I3125" s="134" t="inlineStr">
        <is>
          <t>پنجشنبه</t>
        </is>
      </c>
      <c r="J3125" s="134" t="inlineStr">
        <is>
          <t>بله</t>
        </is>
      </c>
    </row>
    <row r="3126">
      <c r="A3126" s="173" t="n">
        <v>48047</v>
      </c>
      <c r="B3126" s="174" t="n">
        <v>48047</v>
      </c>
      <c r="C3126" s="174" t="n">
        <v>1410</v>
      </c>
      <c r="D3126" s="174" t="n">
        <v>4</v>
      </c>
      <c r="E3126" s="175" t="inlineStr">
        <is>
          <t>1410/04/27</t>
        </is>
      </c>
      <c r="F3126" s="128" t="inlineStr">
        <is>
          <t>1410/04</t>
        </is>
      </c>
      <c r="G3126" s="58" t="inlineStr">
        <is>
          <t>تیر</t>
        </is>
      </c>
      <c r="H3126" s="128" t="inlineStr">
        <is>
          <t>تابستان</t>
        </is>
      </c>
      <c r="I3126" s="128" t="inlineStr">
        <is>
          <t>جمعه</t>
        </is>
      </c>
      <c r="J3126" s="128" t="inlineStr">
        <is>
          <t>بله</t>
        </is>
      </c>
    </row>
    <row r="3127">
      <c r="A3127" s="176" t="n">
        <v>48048</v>
      </c>
      <c r="B3127" s="177" t="n">
        <v>48048</v>
      </c>
      <c r="C3127" s="177" t="n">
        <v>1410</v>
      </c>
      <c r="D3127" s="177" t="n">
        <v>4</v>
      </c>
      <c r="E3127" s="178" t="inlineStr">
        <is>
          <t>1410/04/28</t>
        </is>
      </c>
      <c r="F3127" s="134" t="inlineStr">
        <is>
          <t>1410/04</t>
        </is>
      </c>
      <c r="G3127" s="61" t="inlineStr">
        <is>
          <t>تیر</t>
        </is>
      </c>
      <c r="H3127" s="134" t="inlineStr">
        <is>
          <t>تابستان</t>
        </is>
      </c>
      <c r="I3127" s="134" t="inlineStr">
        <is>
          <t>شنبه</t>
        </is>
      </c>
      <c r="J3127" s="134" t="inlineStr">
        <is>
          <t>خیر</t>
        </is>
      </c>
    </row>
    <row r="3128">
      <c r="A3128" s="173" t="n">
        <v>48049</v>
      </c>
      <c r="B3128" s="174" t="n">
        <v>48049</v>
      </c>
      <c r="C3128" s="174" t="n">
        <v>1410</v>
      </c>
      <c r="D3128" s="174" t="n">
        <v>4</v>
      </c>
      <c r="E3128" s="175" t="inlineStr">
        <is>
          <t>1410/04/29</t>
        </is>
      </c>
      <c r="F3128" s="128" t="inlineStr">
        <is>
          <t>1410/04</t>
        </is>
      </c>
      <c r="G3128" s="58" t="inlineStr">
        <is>
          <t>تیر</t>
        </is>
      </c>
      <c r="H3128" s="128" t="inlineStr">
        <is>
          <t>تابستان</t>
        </is>
      </c>
      <c r="I3128" s="128" t="inlineStr">
        <is>
          <t>یکشنبه</t>
        </is>
      </c>
      <c r="J3128" s="128" t="inlineStr">
        <is>
          <t>خیر</t>
        </is>
      </c>
    </row>
    <row r="3129">
      <c r="A3129" s="176" t="n">
        <v>48050</v>
      </c>
      <c r="B3129" s="177" t="n">
        <v>48050</v>
      </c>
      <c r="C3129" s="177" t="n">
        <v>1410</v>
      </c>
      <c r="D3129" s="177" t="n">
        <v>4</v>
      </c>
      <c r="E3129" s="178" t="inlineStr">
        <is>
          <t>1410/04/30</t>
        </is>
      </c>
      <c r="F3129" s="134" t="inlineStr">
        <is>
          <t>1410/04</t>
        </is>
      </c>
      <c r="G3129" s="61" t="inlineStr">
        <is>
          <t>تیر</t>
        </is>
      </c>
      <c r="H3129" s="134" t="inlineStr">
        <is>
          <t>تابستان</t>
        </is>
      </c>
      <c r="I3129" s="134" t="inlineStr">
        <is>
          <t>دوشنبه</t>
        </is>
      </c>
      <c r="J3129" s="134" t="inlineStr">
        <is>
          <t>بله</t>
        </is>
      </c>
    </row>
    <row r="3130">
      <c r="A3130" s="173" t="n">
        <v>48051</v>
      </c>
      <c r="B3130" s="174" t="n">
        <v>48051</v>
      </c>
      <c r="C3130" s="174" t="n">
        <v>1410</v>
      </c>
      <c r="D3130" s="174" t="n">
        <v>4</v>
      </c>
      <c r="E3130" s="175" t="inlineStr">
        <is>
          <t>1410/04/31</t>
        </is>
      </c>
      <c r="F3130" s="128" t="inlineStr">
        <is>
          <t>1410/04</t>
        </is>
      </c>
      <c r="G3130" s="58" t="inlineStr">
        <is>
          <t>تیر</t>
        </is>
      </c>
      <c r="H3130" s="128" t="inlineStr">
        <is>
          <t>تابستان</t>
        </is>
      </c>
      <c r="I3130" s="128" t="inlineStr">
        <is>
          <t>سه‌شنبه</t>
        </is>
      </c>
      <c r="J3130" s="128" t="inlineStr">
        <is>
          <t>بله</t>
        </is>
      </c>
    </row>
    <row r="3131">
      <c r="A3131" s="176" t="n">
        <v>48052</v>
      </c>
      <c r="B3131" s="177" t="n">
        <v>48052</v>
      </c>
      <c r="C3131" s="177" t="n">
        <v>1410</v>
      </c>
      <c r="D3131" s="177" t="n">
        <v>5</v>
      </c>
      <c r="E3131" s="178" t="inlineStr">
        <is>
          <t>1410/05/01</t>
        </is>
      </c>
      <c r="F3131" s="134" t="inlineStr">
        <is>
          <t>1410/05</t>
        </is>
      </c>
      <c r="G3131" s="61" t="inlineStr">
        <is>
          <t>مرداد</t>
        </is>
      </c>
      <c r="H3131" s="134" t="inlineStr">
        <is>
          <t>تابستان</t>
        </is>
      </c>
      <c r="I3131" s="134" t="inlineStr">
        <is>
          <t>چهارشنبه</t>
        </is>
      </c>
      <c r="J3131" s="134" t="inlineStr">
        <is>
          <t>بله</t>
        </is>
      </c>
    </row>
    <row r="3132">
      <c r="A3132" s="173" t="n">
        <v>48053</v>
      </c>
      <c r="B3132" s="174" t="n">
        <v>48053</v>
      </c>
      <c r="C3132" s="174" t="n">
        <v>1410</v>
      </c>
      <c r="D3132" s="174" t="n">
        <v>5</v>
      </c>
      <c r="E3132" s="175" t="inlineStr">
        <is>
          <t>1410/05/02</t>
        </is>
      </c>
      <c r="F3132" s="128" t="inlineStr">
        <is>
          <t>1410/05</t>
        </is>
      </c>
      <c r="G3132" s="58" t="inlineStr">
        <is>
          <t>مرداد</t>
        </is>
      </c>
      <c r="H3132" s="128" t="inlineStr">
        <is>
          <t>تابستان</t>
        </is>
      </c>
      <c r="I3132" s="128" t="inlineStr">
        <is>
          <t>پنجشنبه</t>
        </is>
      </c>
      <c r="J3132" s="128" t="inlineStr">
        <is>
          <t>بله</t>
        </is>
      </c>
    </row>
    <row r="3133">
      <c r="A3133" s="176" t="n">
        <v>48054</v>
      </c>
      <c r="B3133" s="177" t="n">
        <v>48054</v>
      </c>
      <c r="C3133" s="177" t="n">
        <v>1410</v>
      </c>
      <c r="D3133" s="177" t="n">
        <v>5</v>
      </c>
      <c r="E3133" s="178" t="inlineStr">
        <is>
          <t>1410/05/03</t>
        </is>
      </c>
      <c r="F3133" s="134" t="inlineStr">
        <is>
          <t>1410/05</t>
        </is>
      </c>
      <c r="G3133" s="61" t="inlineStr">
        <is>
          <t>مرداد</t>
        </is>
      </c>
      <c r="H3133" s="134" t="inlineStr">
        <is>
          <t>تابستان</t>
        </is>
      </c>
      <c r="I3133" s="134" t="inlineStr">
        <is>
          <t>جمعه</t>
        </is>
      </c>
      <c r="J3133" s="134" t="inlineStr">
        <is>
          <t>بله</t>
        </is>
      </c>
    </row>
    <row r="3134">
      <c r="A3134" s="173" t="n">
        <v>48055</v>
      </c>
      <c r="B3134" s="174" t="n">
        <v>48055</v>
      </c>
      <c r="C3134" s="174" t="n">
        <v>1410</v>
      </c>
      <c r="D3134" s="174" t="n">
        <v>5</v>
      </c>
      <c r="E3134" s="175" t="inlineStr">
        <is>
          <t>1410/05/04</t>
        </is>
      </c>
      <c r="F3134" s="128" t="inlineStr">
        <is>
          <t>1410/05</t>
        </is>
      </c>
      <c r="G3134" s="58" t="inlineStr">
        <is>
          <t>مرداد</t>
        </is>
      </c>
      <c r="H3134" s="128" t="inlineStr">
        <is>
          <t>تابستان</t>
        </is>
      </c>
      <c r="I3134" s="128" t="inlineStr">
        <is>
          <t>شنبه</t>
        </is>
      </c>
      <c r="J3134" s="128" t="inlineStr">
        <is>
          <t>خیر</t>
        </is>
      </c>
    </row>
    <row r="3135">
      <c r="A3135" s="176" t="n">
        <v>48056</v>
      </c>
      <c r="B3135" s="177" t="n">
        <v>48056</v>
      </c>
      <c r="C3135" s="177" t="n">
        <v>1410</v>
      </c>
      <c r="D3135" s="177" t="n">
        <v>5</v>
      </c>
      <c r="E3135" s="178" t="inlineStr">
        <is>
          <t>1410/05/05</t>
        </is>
      </c>
      <c r="F3135" s="134" t="inlineStr">
        <is>
          <t>1410/05</t>
        </is>
      </c>
      <c r="G3135" s="61" t="inlineStr">
        <is>
          <t>مرداد</t>
        </is>
      </c>
      <c r="H3135" s="134" t="inlineStr">
        <is>
          <t>تابستان</t>
        </is>
      </c>
      <c r="I3135" s="134" t="inlineStr">
        <is>
          <t>یکشنبه</t>
        </is>
      </c>
      <c r="J3135" s="134" t="inlineStr">
        <is>
          <t>خیر</t>
        </is>
      </c>
    </row>
    <row r="3136">
      <c r="A3136" s="173" t="n">
        <v>48057</v>
      </c>
      <c r="B3136" s="174" t="n">
        <v>48057</v>
      </c>
      <c r="C3136" s="174" t="n">
        <v>1410</v>
      </c>
      <c r="D3136" s="174" t="n">
        <v>5</v>
      </c>
      <c r="E3136" s="175" t="inlineStr">
        <is>
          <t>1410/05/06</t>
        </is>
      </c>
      <c r="F3136" s="128" t="inlineStr">
        <is>
          <t>1410/05</t>
        </is>
      </c>
      <c r="G3136" s="58" t="inlineStr">
        <is>
          <t>مرداد</t>
        </is>
      </c>
      <c r="H3136" s="128" t="inlineStr">
        <is>
          <t>تابستان</t>
        </is>
      </c>
      <c r="I3136" s="128" t="inlineStr">
        <is>
          <t>دوشنبه</t>
        </is>
      </c>
      <c r="J3136" s="128" t="inlineStr">
        <is>
          <t>بله</t>
        </is>
      </c>
    </row>
    <row r="3137">
      <c r="A3137" s="176" t="n">
        <v>48058</v>
      </c>
      <c r="B3137" s="177" t="n">
        <v>48058</v>
      </c>
      <c r="C3137" s="177" t="n">
        <v>1410</v>
      </c>
      <c r="D3137" s="177" t="n">
        <v>5</v>
      </c>
      <c r="E3137" s="178" t="inlineStr">
        <is>
          <t>1410/05/07</t>
        </is>
      </c>
      <c r="F3137" s="134" t="inlineStr">
        <is>
          <t>1410/05</t>
        </is>
      </c>
      <c r="G3137" s="61" t="inlineStr">
        <is>
          <t>مرداد</t>
        </is>
      </c>
      <c r="H3137" s="134" t="inlineStr">
        <is>
          <t>تابستان</t>
        </is>
      </c>
      <c r="I3137" s="134" t="inlineStr">
        <is>
          <t>سه‌شنبه</t>
        </is>
      </c>
      <c r="J3137" s="134" t="inlineStr">
        <is>
          <t>بله</t>
        </is>
      </c>
    </row>
    <row r="3138">
      <c r="A3138" s="173" t="n">
        <v>48059</v>
      </c>
      <c r="B3138" s="174" t="n">
        <v>48059</v>
      </c>
      <c r="C3138" s="174" t="n">
        <v>1410</v>
      </c>
      <c r="D3138" s="174" t="n">
        <v>5</v>
      </c>
      <c r="E3138" s="175" t="inlineStr">
        <is>
          <t>1410/05/08</t>
        </is>
      </c>
      <c r="F3138" s="128" t="inlineStr">
        <is>
          <t>1410/05</t>
        </is>
      </c>
      <c r="G3138" s="58" t="inlineStr">
        <is>
          <t>مرداد</t>
        </is>
      </c>
      <c r="H3138" s="128" t="inlineStr">
        <is>
          <t>تابستان</t>
        </is>
      </c>
      <c r="I3138" s="128" t="inlineStr">
        <is>
          <t>چهارشنبه</t>
        </is>
      </c>
      <c r="J3138" s="128" t="inlineStr">
        <is>
          <t>بله</t>
        </is>
      </c>
    </row>
    <row r="3139">
      <c r="A3139" s="176" t="n">
        <v>48060</v>
      </c>
      <c r="B3139" s="177" t="n">
        <v>48060</v>
      </c>
      <c r="C3139" s="177" t="n">
        <v>1410</v>
      </c>
      <c r="D3139" s="177" t="n">
        <v>5</v>
      </c>
      <c r="E3139" s="178" t="inlineStr">
        <is>
          <t>1410/05/09</t>
        </is>
      </c>
      <c r="F3139" s="134" t="inlineStr">
        <is>
          <t>1410/05</t>
        </is>
      </c>
      <c r="G3139" s="61" t="inlineStr">
        <is>
          <t>مرداد</t>
        </is>
      </c>
      <c r="H3139" s="134" t="inlineStr">
        <is>
          <t>تابستان</t>
        </is>
      </c>
      <c r="I3139" s="134" t="inlineStr">
        <is>
          <t>پنجشنبه</t>
        </is>
      </c>
      <c r="J3139" s="134" t="inlineStr">
        <is>
          <t>بله</t>
        </is>
      </c>
    </row>
    <row r="3140">
      <c r="A3140" s="173" t="n">
        <v>48061</v>
      </c>
      <c r="B3140" s="174" t="n">
        <v>48061</v>
      </c>
      <c r="C3140" s="174" t="n">
        <v>1410</v>
      </c>
      <c r="D3140" s="174" t="n">
        <v>5</v>
      </c>
      <c r="E3140" s="175" t="inlineStr">
        <is>
          <t>1410/05/10</t>
        </is>
      </c>
      <c r="F3140" s="128" t="inlineStr">
        <is>
          <t>1410/05</t>
        </is>
      </c>
      <c r="G3140" s="58" t="inlineStr">
        <is>
          <t>مرداد</t>
        </is>
      </c>
      <c r="H3140" s="128" t="inlineStr">
        <is>
          <t>تابستان</t>
        </is>
      </c>
      <c r="I3140" s="128" t="inlineStr">
        <is>
          <t>جمعه</t>
        </is>
      </c>
      <c r="J3140" s="128" t="inlineStr">
        <is>
          <t>بله</t>
        </is>
      </c>
    </row>
    <row r="3141">
      <c r="A3141" s="176" t="n">
        <v>48062</v>
      </c>
      <c r="B3141" s="177" t="n">
        <v>48062</v>
      </c>
      <c r="C3141" s="177" t="n">
        <v>1410</v>
      </c>
      <c r="D3141" s="177" t="n">
        <v>5</v>
      </c>
      <c r="E3141" s="178" t="inlineStr">
        <is>
          <t>1410/05/11</t>
        </is>
      </c>
      <c r="F3141" s="134" t="inlineStr">
        <is>
          <t>1410/05</t>
        </is>
      </c>
      <c r="G3141" s="61" t="inlineStr">
        <is>
          <t>مرداد</t>
        </is>
      </c>
      <c r="H3141" s="134" t="inlineStr">
        <is>
          <t>تابستان</t>
        </is>
      </c>
      <c r="I3141" s="134" t="inlineStr">
        <is>
          <t>شنبه</t>
        </is>
      </c>
      <c r="J3141" s="134" t="inlineStr">
        <is>
          <t>خیر</t>
        </is>
      </c>
    </row>
    <row r="3142">
      <c r="A3142" s="173" t="n">
        <v>48063</v>
      </c>
      <c r="B3142" s="174" t="n">
        <v>48063</v>
      </c>
      <c r="C3142" s="174" t="n">
        <v>1410</v>
      </c>
      <c r="D3142" s="174" t="n">
        <v>5</v>
      </c>
      <c r="E3142" s="175" t="inlineStr">
        <is>
          <t>1410/05/12</t>
        </is>
      </c>
      <c r="F3142" s="128" t="inlineStr">
        <is>
          <t>1410/05</t>
        </is>
      </c>
      <c r="G3142" s="58" t="inlineStr">
        <is>
          <t>مرداد</t>
        </is>
      </c>
      <c r="H3142" s="128" t="inlineStr">
        <is>
          <t>تابستان</t>
        </is>
      </c>
      <c r="I3142" s="128" t="inlineStr">
        <is>
          <t>یکشنبه</t>
        </is>
      </c>
      <c r="J3142" s="128" t="inlineStr">
        <is>
          <t>خیر</t>
        </is>
      </c>
    </row>
    <row r="3143">
      <c r="A3143" s="176" t="n">
        <v>48064</v>
      </c>
      <c r="B3143" s="177" t="n">
        <v>48064</v>
      </c>
      <c r="C3143" s="177" t="n">
        <v>1410</v>
      </c>
      <c r="D3143" s="177" t="n">
        <v>5</v>
      </c>
      <c r="E3143" s="178" t="inlineStr">
        <is>
          <t>1410/05/13</t>
        </is>
      </c>
      <c r="F3143" s="134" t="inlineStr">
        <is>
          <t>1410/05</t>
        </is>
      </c>
      <c r="G3143" s="61" t="inlineStr">
        <is>
          <t>مرداد</t>
        </is>
      </c>
      <c r="H3143" s="134" t="inlineStr">
        <is>
          <t>تابستان</t>
        </is>
      </c>
      <c r="I3143" s="134" t="inlineStr">
        <is>
          <t>دوشنبه</t>
        </is>
      </c>
      <c r="J3143" s="134" t="inlineStr">
        <is>
          <t>بله</t>
        </is>
      </c>
    </row>
    <row r="3144">
      <c r="A3144" s="173" t="n">
        <v>48065</v>
      </c>
      <c r="B3144" s="174" t="n">
        <v>48065</v>
      </c>
      <c r="C3144" s="174" t="n">
        <v>1410</v>
      </c>
      <c r="D3144" s="174" t="n">
        <v>5</v>
      </c>
      <c r="E3144" s="175" t="inlineStr">
        <is>
          <t>1410/05/14</t>
        </is>
      </c>
      <c r="F3144" s="128" t="inlineStr">
        <is>
          <t>1410/05</t>
        </is>
      </c>
      <c r="G3144" s="58" t="inlineStr">
        <is>
          <t>مرداد</t>
        </is>
      </c>
      <c r="H3144" s="128" t="inlineStr">
        <is>
          <t>تابستان</t>
        </is>
      </c>
      <c r="I3144" s="128" t="inlineStr">
        <is>
          <t>سه‌شنبه</t>
        </is>
      </c>
      <c r="J3144" s="128" t="inlineStr">
        <is>
          <t>بله</t>
        </is>
      </c>
    </row>
    <row r="3145">
      <c r="A3145" s="176" t="n">
        <v>48066</v>
      </c>
      <c r="B3145" s="177" t="n">
        <v>48066</v>
      </c>
      <c r="C3145" s="177" t="n">
        <v>1410</v>
      </c>
      <c r="D3145" s="177" t="n">
        <v>5</v>
      </c>
      <c r="E3145" s="178" t="inlineStr">
        <is>
          <t>1410/05/15</t>
        </is>
      </c>
      <c r="F3145" s="134" t="inlineStr">
        <is>
          <t>1410/05</t>
        </is>
      </c>
      <c r="G3145" s="61" t="inlineStr">
        <is>
          <t>مرداد</t>
        </is>
      </c>
      <c r="H3145" s="134" t="inlineStr">
        <is>
          <t>تابستان</t>
        </is>
      </c>
      <c r="I3145" s="134" t="inlineStr">
        <is>
          <t>چهارشنبه</t>
        </is>
      </c>
      <c r="J3145" s="134" t="inlineStr">
        <is>
          <t>بله</t>
        </is>
      </c>
    </row>
    <row r="3146">
      <c r="A3146" s="173" t="n">
        <v>48067</v>
      </c>
      <c r="B3146" s="174" t="n">
        <v>48067</v>
      </c>
      <c r="C3146" s="174" t="n">
        <v>1410</v>
      </c>
      <c r="D3146" s="174" t="n">
        <v>5</v>
      </c>
      <c r="E3146" s="175" t="inlineStr">
        <is>
          <t>1410/05/16</t>
        </is>
      </c>
      <c r="F3146" s="128" t="inlineStr">
        <is>
          <t>1410/05</t>
        </is>
      </c>
      <c r="G3146" s="58" t="inlineStr">
        <is>
          <t>مرداد</t>
        </is>
      </c>
      <c r="H3146" s="128" t="inlineStr">
        <is>
          <t>تابستان</t>
        </is>
      </c>
      <c r="I3146" s="128" t="inlineStr">
        <is>
          <t>پنجشنبه</t>
        </is>
      </c>
      <c r="J3146" s="128" t="inlineStr">
        <is>
          <t>بله</t>
        </is>
      </c>
    </row>
    <row r="3147">
      <c r="A3147" s="176" t="n">
        <v>48068</v>
      </c>
      <c r="B3147" s="177" t="n">
        <v>48068</v>
      </c>
      <c r="C3147" s="177" t="n">
        <v>1410</v>
      </c>
      <c r="D3147" s="177" t="n">
        <v>5</v>
      </c>
      <c r="E3147" s="178" t="inlineStr">
        <is>
          <t>1410/05/17</t>
        </is>
      </c>
      <c r="F3147" s="134" t="inlineStr">
        <is>
          <t>1410/05</t>
        </is>
      </c>
      <c r="G3147" s="61" t="inlineStr">
        <is>
          <t>مرداد</t>
        </is>
      </c>
      <c r="H3147" s="134" t="inlineStr">
        <is>
          <t>تابستان</t>
        </is>
      </c>
      <c r="I3147" s="134" t="inlineStr">
        <is>
          <t>جمعه</t>
        </is>
      </c>
      <c r="J3147" s="134" t="inlineStr">
        <is>
          <t>بله</t>
        </is>
      </c>
    </row>
    <row r="3148">
      <c r="A3148" s="173" t="n">
        <v>48069</v>
      </c>
      <c r="B3148" s="174" t="n">
        <v>48069</v>
      </c>
      <c r="C3148" s="174" t="n">
        <v>1410</v>
      </c>
      <c r="D3148" s="174" t="n">
        <v>5</v>
      </c>
      <c r="E3148" s="175" t="inlineStr">
        <is>
          <t>1410/05/18</t>
        </is>
      </c>
      <c r="F3148" s="128" t="inlineStr">
        <is>
          <t>1410/05</t>
        </is>
      </c>
      <c r="G3148" s="58" t="inlineStr">
        <is>
          <t>مرداد</t>
        </is>
      </c>
      <c r="H3148" s="128" t="inlineStr">
        <is>
          <t>تابستان</t>
        </is>
      </c>
      <c r="I3148" s="128" t="inlineStr">
        <is>
          <t>شنبه</t>
        </is>
      </c>
      <c r="J3148" s="128" t="inlineStr">
        <is>
          <t>خیر</t>
        </is>
      </c>
    </row>
    <row r="3149">
      <c r="A3149" s="176" t="n">
        <v>48070</v>
      </c>
      <c r="B3149" s="177" t="n">
        <v>48070</v>
      </c>
      <c r="C3149" s="177" t="n">
        <v>1410</v>
      </c>
      <c r="D3149" s="177" t="n">
        <v>5</v>
      </c>
      <c r="E3149" s="178" t="inlineStr">
        <is>
          <t>1410/05/19</t>
        </is>
      </c>
      <c r="F3149" s="134" t="inlineStr">
        <is>
          <t>1410/05</t>
        </is>
      </c>
      <c r="G3149" s="61" t="inlineStr">
        <is>
          <t>مرداد</t>
        </is>
      </c>
      <c r="H3149" s="134" t="inlineStr">
        <is>
          <t>تابستان</t>
        </is>
      </c>
      <c r="I3149" s="134" t="inlineStr">
        <is>
          <t>یکشنبه</t>
        </is>
      </c>
      <c r="J3149" s="134" t="inlineStr">
        <is>
          <t>خیر</t>
        </is>
      </c>
    </row>
    <row r="3150">
      <c r="A3150" s="173" t="n">
        <v>48071</v>
      </c>
      <c r="B3150" s="174" t="n">
        <v>48071</v>
      </c>
      <c r="C3150" s="174" t="n">
        <v>1410</v>
      </c>
      <c r="D3150" s="174" t="n">
        <v>5</v>
      </c>
      <c r="E3150" s="175" t="inlineStr">
        <is>
          <t>1410/05/20</t>
        </is>
      </c>
      <c r="F3150" s="128" t="inlineStr">
        <is>
          <t>1410/05</t>
        </is>
      </c>
      <c r="G3150" s="58" t="inlineStr">
        <is>
          <t>مرداد</t>
        </is>
      </c>
      <c r="H3150" s="128" t="inlineStr">
        <is>
          <t>تابستان</t>
        </is>
      </c>
      <c r="I3150" s="128" t="inlineStr">
        <is>
          <t>دوشنبه</t>
        </is>
      </c>
      <c r="J3150" s="128" t="inlineStr">
        <is>
          <t>بله</t>
        </is>
      </c>
    </row>
    <row r="3151">
      <c r="A3151" s="176" t="n">
        <v>48072</v>
      </c>
      <c r="B3151" s="177" t="n">
        <v>48072</v>
      </c>
      <c r="C3151" s="177" t="n">
        <v>1410</v>
      </c>
      <c r="D3151" s="177" t="n">
        <v>5</v>
      </c>
      <c r="E3151" s="178" t="inlineStr">
        <is>
          <t>1410/05/21</t>
        </is>
      </c>
      <c r="F3151" s="134" t="inlineStr">
        <is>
          <t>1410/05</t>
        </is>
      </c>
      <c r="G3151" s="61" t="inlineStr">
        <is>
          <t>مرداد</t>
        </is>
      </c>
      <c r="H3151" s="134" t="inlineStr">
        <is>
          <t>تابستان</t>
        </is>
      </c>
      <c r="I3151" s="134" t="inlineStr">
        <is>
          <t>سه‌شنبه</t>
        </is>
      </c>
      <c r="J3151" s="134" t="inlineStr">
        <is>
          <t>بله</t>
        </is>
      </c>
    </row>
    <row r="3152">
      <c r="A3152" s="173" t="n">
        <v>48073</v>
      </c>
      <c r="B3152" s="174" t="n">
        <v>48073</v>
      </c>
      <c r="C3152" s="174" t="n">
        <v>1410</v>
      </c>
      <c r="D3152" s="174" t="n">
        <v>5</v>
      </c>
      <c r="E3152" s="175" t="inlineStr">
        <is>
          <t>1410/05/22</t>
        </is>
      </c>
      <c r="F3152" s="128" t="inlineStr">
        <is>
          <t>1410/05</t>
        </is>
      </c>
      <c r="G3152" s="58" t="inlineStr">
        <is>
          <t>مرداد</t>
        </is>
      </c>
      <c r="H3152" s="128" t="inlineStr">
        <is>
          <t>تابستان</t>
        </is>
      </c>
      <c r="I3152" s="128" t="inlineStr">
        <is>
          <t>چهارشنبه</t>
        </is>
      </c>
      <c r="J3152" s="128" t="inlineStr">
        <is>
          <t>بله</t>
        </is>
      </c>
    </row>
    <row r="3153">
      <c r="A3153" s="176" t="n">
        <v>48074</v>
      </c>
      <c r="B3153" s="177" t="n">
        <v>48074</v>
      </c>
      <c r="C3153" s="177" t="n">
        <v>1410</v>
      </c>
      <c r="D3153" s="177" t="n">
        <v>5</v>
      </c>
      <c r="E3153" s="178" t="inlineStr">
        <is>
          <t>1410/05/23</t>
        </is>
      </c>
      <c r="F3153" s="134" t="inlineStr">
        <is>
          <t>1410/05</t>
        </is>
      </c>
      <c r="G3153" s="61" t="inlineStr">
        <is>
          <t>مرداد</t>
        </is>
      </c>
      <c r="H3153" s="134" t="inlineStr">
        <is>
          <t>تابستان</t>
        </is>
      </c>
      <c r="I3153" s="134" t="inlineStr">
        <is>
          <t>پنجشنبه</t>
        </is>
      </c>
      <c r="J3153" s="134" t="inlineStr">
        <is>
          <t>بله</t>
        </is>
      </c>
    </row>
    <row r="3154">
      <c r="A3154" s="173" t="n">
        <v>48075</v>
      </c>
      <c r="B3154" s="174" t="n">
        <v>48075</v>
      </c>
      <c r="C3154" s="174" t="n">
        <v>1410</v>
      </c>
      <c r="D3154" s="174" t="n">
        <v>5</v>
      </c>
      <c r="E3154" s="175" t="inlineStr">
        <is>
          <t>1410/05/24</t>
        </is>
      </c>
      <c r="F3154" s="128" t="inlineStr">
        <is>
          <t>1410/05</t>
        </is>
      </c>
      <c r="G3154" s="58" t="inlineStr">
        <is>
          <t>مرداد</t>
        </is>
      </c>
      <c r="H3154" s="128" t="inlineStr">
        <is>
          <t>تابستان</t>
        </is>
      </c>
      <c r="I3154" s="128" t="inlineStr">
        <is>
          <t>جمعه</t>
        </is>
      </c>
      <c r="J3154" s="128" t="inlineStr">
        <is>
          <t>بله</t>
        </is>
      </c>
    </row>
    <row r="3155">
      <c r="A3155" s="176" t="n">
        <v>48076</v>
      </c>
      <c r="B3155" s="177" t="n">
        <v>48076</v>
      </c>
      <c r="C3155" s="177" t="n">
        <v>1410</v>
      </c>
      <c r="D3155" s="177" t="n">
        <v>5</v>
      </c>
      <c r="E3155" s="178" t="inlineStr">
        <is>
          <t>1410/05/25</t>
        </is>
      </c>
      <c r="F3155" s="134" t="inlineStr">
        <is>
          <t>1410/05</t>
        </is>
      </c>
      <c r="G3155" s="61" t="inlineStr">
        <is>
          <t>مرداد</t>
        </is>
      </c>
      <c r="H3155" s="134" t="inlineStr">
        <is>
          <t>تابستان</t>
        </is>
      </c>
      <c r="I3155" s="134" t="inlineStr">
        <is>
          <t>شنبه</t>
        </is>
      </c>
      <c r="J3155" s="134" t="inlineStr">
        <is>
          <t>خیر</t>
        </is>
      </c>
    </row>
    <row r="3156">
      <c r="A3156" s="173" t="n">
        <v>48077</v>
      </c>
      <c r="B3156" s="174" t="n">
        <v>48077</v>
      </c>
      <c r="C3156" s="174" t="n">
        <v>1410</v>
      </c>
      <c r="D3156" s="174" t="n">
        <v>5</v>
      </c>
      <c r="E3156" s="175" t="inlineStr">
        <is>
          <t>1410/05/26</t>
        </is>
      </c>
      <c r="F3156" s="128" t="inlineStr">
        <is>
          <t>1410/05</t>
        </is>
      </c>
      <c r="G3156" s="58" t="inlineStr">
        <is>
          <t>مرداد</t>
        </is>
      </c>
      <c r="H3156" s="128" t="inlineStr">
        <is>
          <t>تابستان</t>
        </is>
      </c>
      <c r="I3156" s="128" t="inlineStr">
        <is>
          <t>یکشنبه</t>
        </is>
      </c>
      <c r="J3156" s="128" t="inlineStr">
        <is>
          <t>خیر</t>
        </is>
      </c>
    </row>
    <row r="3157">
      <c r="A3157" s="176" t="n">
        <v>48078</v>
      </c>
      <c r="B3157" s="177" t="n">
        <v>48078</v>
      </c>
      <c r="C3157" s="177" t="n">
        <v>1410</v>
      </c>
      <c r="D3157" s="177" t="n">
        <v>5</v>
      </c>
      <c r="E3157" s="178" t="inlineStr">
        <is>
          <t>1410/05/27</t>
        </is>
      </c>
      <c r="F3157" s="134" t="inlineStr">
        <is>
          <t>1410/05</t>
        </is>
      </c>
      <c r="G3157" s="61" t="inlineStr">
        <is>
          <t>مرداد</t>
        </is>
      </c>
      <c r="H3157" s="134" t="inlineStr">
        <is>
          <t>تابستان</t>
        </is>
      </c>
      <c r="I3157" s="134" t="inlineStr">
        <is>
          <t>دوشنبه</t>
        </is>
      </c>
      <c r="J3157" s="134" t="inlineStr">
        <is>
          <t>بله</t>
        </is>
      </c>
    </row>
    <row r="3158">
      <c r="A3158" s="173" t="n">
        <v>48079</v>
      </c>
      <c r="B3158" s="174" t="n">
        <v>48079</v>
      </c>
      <c r="C3158" s="174" t="n">
        <v>1410</v>
      </c>
      <c r="D3158" s="174" t="n">
        <v>5</v>
      </c>
      <c r="E3158" s="175" t="inlineStr">
        <is>
          <t>1410/05/28</t>
        </is>
      </c>
      <c r="F3158" s="128" t="inlineStr">
        <is>
          <t>1410/05</t>
        </is>
      </c>
      <c r="G3158" s="58" t="inlineStr">
        <is>
          <t>مرداد</t>
        </is>
      </c>
      <c r="H3158" s="128" t="inlineStr">
        <is>
          <t>تابستان</t>
        </is>
      </c>
      <c r="I3158" s="128" t="inlineStr">
        <is>
          <t>سه‌شنبه</t>
        </is>
      </c>
      <c r="J3158" s="128" t="inlineStr">
        <is>
          <t>بله</t>
        </is>
      </c>
    </row>
    <row r="3159">
      <c r="A3159" s="176" t="n">
        <v>48080</v>
      </c>
      <c r="B3159" s="177" t="n">
        <v>48080</v>
      </c>
      <c r="C3159" s="177" t="n">
        <v>1410</v>
      </c>
      <c r="D3159" s="177" t="n">
        <v>5</v>
      </c>
      <c r="E3159" s="178" t="inlineStr">
        <is>
          <t>1410/05/29</t>
        </is>
      </c>
      <c r="F3159" s="134" t="inlineStr">
        <is>
          <t>1410/05</t>
        </is>
      </c>
      <c r="G3159" s="61" t="inlineStr">
        <is>
          <t>مرداد</t>
        </is>
      </c>
      <c r="H3159" s="134" t="inlineStr">
        <is>
          <t>تابستان</t>
        </is>
      </c>
      <c r="I3159" s="134" t="inlineStr">
        <is>
          <t>چهارشنبه</t>
        </is>
      </c>
      <c r="J3159" s="134" t="inlineStr">
        <is>
          <t>بله</t>
        </is>
      </c>
    </row>
    <row r="3160">
      <c r="A3160" s="173" t="n">
        <v>48081</v>
      </c>
      <c r="B3160" s="174" t="n">
        <v>48081</v>
      </c>
      <c r="C3160" s="174" t="n">
        <v>1410</v>
      </c>
      <c r="D3160" s="174" t="n">
        <v>5</v>
      </c>
      <c r="E3160" s="175" t="inlineStr">
        <is>
          <t>1410/05/30</t>
        </is>
      </c>
      <c r="F3160" s="128" t="inlineStr">
        <is>
          <t>1410/05</t>
        </is>
      </c>
      <c r="G3160" s="58" t="inlineStr">
        <is>
          <t>مرداد</t>
        </is>
      </c>
      <c r="H3160" s="128" t="inlineStr">
        <is>
          <t>تابستان</t>
        </is>
      </c>
      <c r="I3160" s="128" t="inlineStr">
        <is>
          <t>پنجشنبه</t>
        </is>
      </c>
      <c r="J3160" s="128" t="inlineStr">
        <is>
          <t>بله</t>
        </is>
      </c>
    </row>
    <row r="3161">
      <c r="A3161" s="176" t="n">
        <v>48082</v>
      </c>
      <c r="B3161" s="177" t="n">
        <v>48082</v>
      </c>
      <c r="C3161" s="177" t="n">
        <v>1410</v>
      </c>
      <c r="D3161" s="177" t="n">
        <v>5</v>
      </c>
      <c r="E3161" s="178" t="inlineStr">
        <is>
          <t>1410/05/31</t>
        </is>
      </c>
      <c r="F3161" s="134" t="inlineStr">
        <is>
          <t>1410/05</t>
        </is>
      </c>
      <c r="G3161" s="61" t="inlineStr">
        <is>
          <t>مرداد</t>
        </is>
      </c>
      <c r="H3161" s="134" t="inlineStr">
        <is>
          <t>تابستان</t>
        </is>
      </c>
      <c r="I3161" s="134" t="inlineStr">
        <is>
          <t>جمعه</t>
        </is>
      </c>
      <c r="J3161" s="134" t="inlineStr">
        <is>
          <t>بله</t>
        </is>
      </c>
    </row>
    <row r="3162">
      <c r="A3162" s="173" t="n">
        <v>48083</v>
      </c>
      <c r="B3162" s="174" t="n">
        <v>48083</v>
      </c>
      <c r="C3162" s="174" t="n">
        <v>1410</v>
      </c>
      <c r="D3162" s="174" t="n">
        <v>6</v>
      </c>
      <c r="E3162" s="175" t="inlineStr">
        <is>
          <t>1410/06/01</t>
        </is>
      </c>
      <c r="F3162" s="128" t="inlineStr">
        <is>
          <t>1410/06</t>
        </is>
      </c>
      <c r="G3162" s="58" t="inlineStr">
        <is>
          <t>شهریور</t>
        </is>
      </c>
      <c r="H3162" s="128" t="inlineStr">
        <is>
          <t>تابستان</t>
        </is>
      </c>
      <c r="I3162" s="128" t="inlineStr">
        <is>
          <t>شنبه</t>
        </is>
      </c>
      <c r="J3162" s="128" t="inlineStr">
        <is>
          <t>خیر</t>
        </is>
      </c>
    </row>
    <row r="3163">
      <c r="A3163" s="176" t="n">
        <v>48084</v>
      </c>
      <c r="B3163" s="177" t="n">
        <v>48084</v>
      </c>
      <c r="C3163" s="177" t="n">
        <v>1410</v>
      </c>
      <c r="D3163" s="177" t="n">
        <v>6</v>
      </c>
      <c r="E3163" s="178" t="inlineStr">
        <is>
          <t>1410/06/02</t>
        </is>
      </c>
      <c r="F3163" s="134" t="inlineStr">
        <is>
          <t>1410/06</t>
        </is>
      </c>
      <c r="G3163" s="61" t="inlineStr">
        <is>
          <t>شهریور</t>
        </is>
      </c>
      <c r="H3163" s="134" t="inlineStr">
        <is>
          <t>تابستان</t>
        </is>
      </c>
      <c r="I3163" s="134" t="inlineStr">
        <is>
          <t>یکشنبه</t>
        </is>
      </c>
      <c r="J3163" s="134" t="inlineStr">
        <is>
          <t>خیر</t>
        </is>
      </c>
    </row>
    <row r="3164">
      <c r="A3164" s="173" t="n">
        <v>48085</v>
      </c>
      <c r="B3164" s="174" t="n">
        <v>48085</v>
      </c>
      <c r="C3164" s="174" t="n">
        <v>1410</v>
      </c>
      <c r="D3164" s="174" t="n">
        <v>6</v>
      </c>
      <c r="E3164" s="175" t="inlineStr">
        <is>
          <t>1410/06/03</t>
        </is>
      </c>
      <c r="F3164" s="128" t="inlineStr">
        <is>
          <t>1410/06</t>
        </is>
      </c>
      <c r="G3164" s="58" t="inlineStr">
        <is>
          <t>شهریور</t>
        </is>
      </c>
      <c r="H3164" s="128" t="inlineStr">
        <is>
          <t>تابستان</t>
        </is>
      </c>
      <c r="I3164" s="128" t="inlineStr">
        <is>
          <t>دوشنبه</t>
        </is>
      </c>
      <c r="J3164" s="128" t="inlineStr">
        <is>
          <t>بله</t>
        </is>
      </c>
    </row>
    <row r="3165">
      <c r="A3165" s="176" t="n">
        <v>48086</v>
      </c>
      <c r="B3165" s="177" t="n">
        <v>48086</v>
      </c>
      <c r="C3165" s="177" t="n">
        <v>1410</v>
      </c>
      <c r="D3165" s="177" t="n">
        <v>6</v>
      </c>
      <c r="E3165" s="178" t="inlineStr">
        <is>
          <t>1410/06/04</t>
        </is>
      </c>
      <c r="F3165" s="134" t="inlineStr">
        <is>
          <t>1410/06</t>
        </is>
      </c>
      <c r="G3165" s="61" t="inlineStr">
        <is>
          <t>شهریور</t>
        </is>
      </c>
      <c r="H3165" s="134" t="inlineStr">
        <is>
          <t>تابستان</t>
        </is>
      </c>
      <c r="I3165" s="134" t="inlineStr">
        <is>
          <t>سه‌شنبه</t>
        </is>
      </c>
      <c r="J3165" s="134" t="inlineStr">
        <is>
          <t>بله</t>
        </is>
      </c>
    </row>
    <row r="3166">
      <c r="A3166" s="173" t="n">
        <v>48087</v>
      </c>
      <c r="B3166" s="174" t="n">
        <v>48087</v>
      </c>
      <c r="C3166" s="174" t="n">
        <v>1410</v>
      </c>
      <c r="D3166" s="174" t="n">
        <v>6</v>
      </c>
      <c r="E3166" s="175" t="inlineStr">
        <is>
          <t>1410/06/05</t>
        </is>
      </c>
      <c r="F3166" s="128" t="inlineStr">
        <is>
          <t>1410/06</t>
        </is>
      </c>
      <c r="G3166" s="58" t="inlineStr">
        <is>
          <t>شهریور</t>
        </is>
      </c>
      <c r="H3166" s="128" t="inlineStr">
        <is>
          <t>تابستان</t>
        </is>
      </c>
      <c r="I3166" s="128" t="inlineStr">
        <is>
          <t>چهارشنبه</t>
        </is>
      </c>
      <c r="J3166" s="128" t="inlineStr">
        <is>
          <t>بله</t>
        </is>
      </c>
    </row>
    <row r="3167">
      <c r="A3167" s="176" t="n">
        <v>48088</v>
      </c>
      <c r="B3167" s="177" t="n">
        <v>48088</v>
      </c>
      <c r="C3167" s="177" t="n">
        <v>1410</v>
      </c>
      <c r="D3167" s="177" t="n">
        <v>6</v>
      </c>
      <c r="E3167" s="178" t="inlineStr">
        <is>
          <t>1410/06/06</t>
        </is>
      </c>
      <c r="F3167" s="134" t="inlineStr">
        <is>
          <t>1410/06</t>
        </is>
      </c>
      <c r="G3167" s="61" t="inlineStr">
        <is>
          <t>شهریور</t>
        </is>
      </c>
      <c r="H3167" s="134" t="inlineStr">
        <is>
          <t>تابستان</t>
        </is>
      </c>
      <c r="I3167" s="134" t="inlineStr">
        <is>
          <t>پنجشنبه</t>
        </is>
      </c>
      <c r="J3167" s="134" t="inlineStr">
        <is>
          <t>بله</t>
        </is>
      </c>
    </row>
    <row r="3168">
      <c r="A3168" s="173" t="n">
        <v>48089</v>
      </c>
      <c r="B3168" s="174" t="n">
        <v>48089</v>
      </c>
      <c r="C3168" s="174" t="n">
        <v>1410</v>
      </c>
      <c r="D3168" s="174" t="n">
        <v>6</v>
      </c>
      <c r="E3168" s="175" t="inlineStr">
        <is>
          <t>1410/06/07</t>
        </is>
      </c>
      <c r="F3168" s="128" t="inlineStr">
        <is>
          <t>1410/06</t>
        </is>
      </c>
      <c r="G3168" s="58" t="inlineStr">
        <is>
          <t>شهریور</t>
        </is>
      </c>
      <c r="H3168" s="128" t="inlineStr">
        <is>
          <t>تابستان</t>
        </is>
      </c>
      <c r="I3168" s="128" t="inlineStr">
        <is>
          <t>جمعه</t>
        </is>
      </c>
      <c r="J3168" s="128" t="inlineStr">
        <is>
          <t>بله</t>
        </is>
      </c>
    </row>
    <row r="3169">
      <c r="A3169" s="176" t="n">
        <v>48090</v>
      </c>
      <c r="B3169" s="177" t="n">
        <v>48090</v>
      </c>
      <c r="C3169" s="177" t="n">
        <v>1410</v>
      </c>
      <c r="D3169" s="177" t="n">
        <v>6</v>
      </c>
      <c r="E3169" s="178" t="inlineStr">
        <is>
          <t>1410/06/08</t>
        </is>
      </c>
      <c r="F3169" s="134" t="inlineStr">
        <is>
          <t>1410/06</t>
        </is>
      </c>
      <c r="G3169" s="61" t="inlineStr">
        <is>
          <t>شهریور</t>
        </is>
      </c>
      <c r="H3169" s="134" t="inlineStr">
        <is>
          <t>تابستان</t>
        </is>
      </c>
      <c r="I3169" s="134" t="inlineStr">
        <is>
          <t>شنبه</t>
        </is>
      </c>
      <c r="J3169" s="134" t="inlineStr">
        <is>
          <t>خیر</t>
        </is>
      </c>
    </row>
    <row r="3170">
      <c r="A3170" s="173" t="n">
        <v>48091</v>
      </c>
      <c r="B3170" s="174" t="n">
        <v>48091</v>
      </c>
      <c r="C3170" s="174" t="n">
        <v>1410</v>
      </c>
      <c r="D3170" s="174" t="n">
        <v>6</v>
      </c>
      <c r="E3170" s="175" t="inlineStr">
        <is>
          <t>1410/06/09</t>
        </is>
      </c>
      <c r="F3170" s="128" t="inlineStr">
        <is>
          <t>1410/06</t>
        </is>
      </c>
      <c r="G3170" s="58" t="inlineStr">
        <is>
          <t>شهریور</t>
        </is>
      </c>
      <c r="H3170" s="128" t="inlineStr">
        <is>
          <t>تابستان</t>
        </is>
      </c>
      <c r="I3170" s="128" t="inlineStr">
        <is>
          <t>یکشنبه</t>
        </is>
      </c>
      <c r="J3170" s="128" t="inlineStr">
        <is>
          <t>خیر</t>
        </is>
      </c>
    </row>
    <row r="3171">
      <c r="A3171" s="176" t="n">
        <v>48092</v>
      </c>
      <c r="B3171" s="177" t="n">
        <v>48092</v>
      </c>
      <c r="C3171" s="177" t="n">
        <v>1410</v>
      </c>
      <c r="D3171" s="177" t="n">
        <v>6</v>
      </c>
      <c r="E3171" s="178" t="inlineStr">
        <is>
          <t>1410/06/10</t>
        </is>
      </c>
      <c r="F3171" s="134" t="inlineStr">
        <is>
          <t>1410/06</t>
        </is>
      </c>
      <c r="G3171" s="61" t="inlineStr">
        <is>
          <t>شهریور</t>
        </is>
      </c>
      <c r="H3171" s="134" t="inlineStr">
        <is>
          <t>تابستان</t>
        </is>
      </c>
      <c r="I3171" s="134" t="inlineStr">
        <is>
          <t>دوشنبه</t>
        </is>
      </c>
      <c r="J3171" s="134" t="inlineStr">
        <is>
          <t>بله</t>
        </is>
      </c>
    </row>
    <row r="3172">
      <c r="A3172" s="173" t="n">
        <v>48093</v>
      </c>
      <c r="B3172" s="174" t="n">
        <v>48093</v>
      </c>
      <c r="C3172" s="174" t="n">
        <v>1410</v>
      </c>
      <c r="D3172" s="174" t="n">
        <v>6</v>
      </c>
      <c r="E3172" s="175" t="inlineStr">
        <is>
          <t>1410/06/11</t>
        </is>
      </c>
      <c r="F3172" s="128" t="inlineStr">
        <is>
          <t>1410/06</t>
        </is>
      </c>
      <c r="G3172" s="58" t="inlineStr">
        <is>
          <t>شهریور</t>
        </is>
      </c>
      <c r="H3172" s="128" t="inlineStr">
        <is>
          <t>تابستان</t>
        </is>
      </c>
      <c r="I3172" s="128" t="inlineStr">
        <is>
          <t>سه‌شنبه</t>
        </is>
      </c>
      <c r="J3172" s="128" t="inlineStr">
        <is>
          <t>بله</t>
        </is>
      </c>
    </row>
    <row r="3173">
      <c r="A3173" s="176" t="n">
        <v>48094</v>
      </c>
      <c r="B3173" s="177" t="n">
        <v>48094</v>
      </c>
      <c r="C3173" s="177" t="n">
        <v>1410</v>
      </c>
      <c r="D3173" s="177" t="n">
        <v>6</v>
      </c>
      <c r="E3173" s="178" t="inlineStr">
        <is>
          <t>1410/06/12</t>
        </is>
      </c>
      <c r="F3173" s="134" t="inlineStr">
        <is>
          <t>1410/06</t>
        </is>
      </c>
      <c r="G3173" s="61" t="inlineStr">
        <is>
          <t>شهریور</t>
        </is>
      </c>
      <c r="H3173" s="134" t="inlineStr">
        <is>
          <t>تابستان</t>
        </is>
      </c>
      <c r="I3173" s="134" t="inlineStr">
        <is>
          <t>چهارشنبه</t>
        </is>
      </c>
      <c r="J3173" s="134" t="inlineStr">
        <is>
          <t>بله</t>
        </is>
      </c>
    </row>
    <row r="3174">
      <c r="A3174" s="173" t="n">
        <v>48095</v>
      </c>
      <c r="B3174" s="174" t="n">
        <v>48095</v>
      </c>
      <c r="C3174" s="174" t="n">
        <v>1410</v>
      </c>
      <c r="D3174" s="174" t="n">
        <v>6</v>
      </c>
      <c r="E3174" s="175" t="inlineStr">
        <is>
          <t>1410/06/13</t>
        </is>
      </c>
      <c r="F3174" s="128" t="inlineStr">
        <is>
          <t>1410/06</t>
        </is>
      </c>
      <c r="G3174" s="58" t="inlineStr">
        <is>
          <t>شهریور</t>
        </is>
      </c>
      <c r="H3174" s="128" t="inlineStr">
        <is>
          <t>تابستان</t>
        </is>
      </c>
      <c r="I3174" s="128" t="inlineStr">
        <is>
          <t>پنجشنبه</t>
        </is>
      </c>
      <c r="J3174" s="128" t="inlineStr">
        <is>
          <t>بله</t>
        </is>
      </c>
    </row>
    <row r="3175">
      <c r="A3175" s="176" t="n">
        <v>48096</v>
      </c>
      <c r="B3175" s="177" t="n">
        <v>48096</v>
      </c>
      <c r="C3175" s="177" t="n">
        <v>1410</v>
      </c>
      <c r="D3175" s="177" t="n">
        <v>6</v>
      </c>
      <c r="E3175" s="178" t="inlineStr">
        <is>
          <t>1410/06/14</t>
        </is>
      </c>
      <c r="F3175" s="134" t="inlineStr">
        <is>
          <t>1410/06</t>
        </is>
      </c>
      <c r="G3175" s="61" t="inlineStr">
        <is>
          <t>شهریور</t>
        </is>
      </c>
      <c r="H3175" s="134" t="inlineStr">
        <is>
          <t>تابستان</t>
        </is>
      </c>
      <c r="I3175" s="134" t="inlineStr">
        <is>
          <t>جمعه</t>
        </is>
      </c>
      <c r="J3175" s="134" t="inlineStr">
        <is>
          <t>بله</t>
        </is>
      </c>
    </row>
    <row r="3176">
      <c r="A3176" s="173" t="n">
        <v>48097</v>
      </c>
      <c r="B3176" s="174" t="n">
        <v>48097</v>
      </c>
      <c r="C3176" s="174" t="n">
        <v>1410</v>
      </c>
      <c r="D3176" s="174" t="n">
        <v>6</v>
      </c>
      <c r="E3176" s="175" t="inlineStr">
        <is>
          <t>1410/06/15</t>
        </is>
      </c>
      <c r="F3176" s="128" t="inlineStr">
        <is>
          <t>1410/06</t>
        </is>
      </c>
      <c r="G3176" s="58" t="inlineStr">
        <is>
          <t>شهریور</t>
        </is>
      </c>
      <c r="H3176" s="128" t="inlineStr">
        <is>
          <t>تابستان</t>
        </is>
      </c>
      <c r="I3176" s="128" t="inlineStr">
        <is>
          <t>شنبه</t>
        </is>
      </c>
      <c r="J3176" s="128" t="inlineStr">
        <is>
          <t>خیر</t>
        </is>
      </c>
    </row>
    <row r="3177">
      <c r="A3177" s="176" t="n">
        <v>48098</v>
      </c>
      <c r="B3177" s="177" t="n">
        <v>48098</v>
      </c>
      <c r="C3177" s="177" t="n">
        <v>1410</v>
      </c>
      <c r="D3177" s="177" t="n">
        <v>6</v>
      </c>
      <c r="E3177" s="178" t="inlineStr">
        <is>
          <t>1410/06/16</t>
        </is>
      </c>
      <c r="F3177" s="134" t="inlineStr">
        <is>
          <t>1410/06</t>
        </is>
      </c>
      <c r="G3177" s="61" t="inlineStr">
        <is>
          <t>شهریور</t>
        </is>
      </c>
      <c r="H3177" s="134" t="inlineStr">
        <is>
          <t>تابستان</t>
        </is>
      </c>
      <c r="I3177" s="134" t="inlineStr">
        <is>
          <t>یکشنبه</t>
        </is>
      </c>
      <c r="J3177" s="134" t="inlineStr">
        <is>
          <t>خیر</t>
        </is>
      </c>
    </row>
    <row r="3178">
      <c r="A3178" s="173" t="n">
        <v>48099</v>
      </c>
      <c r="B3178" s="174" t="n">
        <v>48099</v>
      </c>
      <c r="C3178" s="174" t="n">
        <v>1410</v>
      </c>
      <c r="D3178" s="174" t="n">
        <v>6</v>
      </c>
      <c r="E3178" s="175" t="inlineStr">
        <is>
          <t>1410/06/17</t>
        </is>
      </c>
      <c r="F3178" s="128" t="inlineStr">
        <is>
          <t>1410/06</t>
        </is>
      </c>
      <c r="G3178" s="58" t="inlineStr">
        <is>
          <t>شهریور</t>
        </is>
      </c>
      <c r="H3178" s="128" t="inlineStr">
        <is>
          <t>تابستان</t>
        </is>
      </c>
      <c r="I3178" s="128" t="inlineStr">
        <is>
          <t>دوشنبه</t>
        </is>
      </c>
      <c r="J3178" s="128" t="inlineStr">
        <is>
          <t>بله</t>
        </is>
      </c>
    </row>
    <row r="3179">
      <c r="A3179" s="176" t="n">
        <v>48100</v>
      </c>
      <c r="B3179" s="177" t="n">
        <v>48100</v>
      </c>
      <c r="C3179" s="177" t="n">
        <v>1410</v>
      </c>
      <c r="D3179" s="177" t="n">
        <v>6</v>
      </c>
      <c r="E3179" s="178" t="inlineStr">
        <is>
          <t>1410/06/18</t>
        </is>
      </c>
      <c r="F3179" s="134" t="inlineStr">
        <is>
          <t>1410/06</t>
        </is>
      </c>
      <c r="G3179" s="61" t="inlineStr">
        <is>
          <t>شهریور</t>
        </is>
      </c>
      <c r="H3179" s="134" t="inlineStr">
        <is>
          <t>تابستان</t>
        </is>
      </c>
      <c r="I3179" s="134" t="inlineStr">
        <is>
          <t>سه‌شنبه</t>
        </is>
      </c>
      <c r="J3179" s="134" t="inlineStr">
        <is>
          <t>بله</t>
        </is>
      </c>
    </row>
    <row r="3180">
      <c r="A3180" s="173" t="n">
        <v>48101</v>
      </c>
      <c r="B3180" s="174" t="n">
        <v>48101</v>
      </c>
      <c r="C3180" s="174" t="n">
        <v>1410</v>
      </c>
      <c r="D3180" s="174" t="n">
        <v>6</v>
      </c>
      <c r="E3180" s="175" t="inlineStr">
        <is>
          <t>1410/06/19</t>
        </is>
      </c>
      <c r="F3180" s="128" t="inlineStr">
        <is>
          <t>1410/06</t>
        </is>
      </c>
      <c r="G3180" s="58" t="inlineStr">
        <is>
          <t>شهریور</t>
        </is>
      </c>
      <c r="H3180" s="128" t="inlineStr">
        <is>
          <t>تابستان</t>
        </is>
      </c>
      <c r="I3180" s="128" t="inlineStr">
        <is>
          <t>چهارشنبه</t>
        </is>
      </c>
      <c r="J3180" s="128" t="inlineStr">
        <is>
          <t>بله</t>
        </is>
      </c>
    </row>
    <row r="3181">
      <c r="A3181" s="176" t="n">
        <v>48102</v>
      </c>
      <c r="B3181" s="177" t="n">
        <v>48102</v>
      </c>
      <c r="C3181" s="177" t="n">
        <v>1410</v>
      </c>
      <c r="D3181" s="177" t="n">
        <v>6</v>
      </c>
      <c r="E3181" s="178" t="inlineStr">
        <is>
          <t>1410/06/20</t>
        </is>
      </c>
      <c r="F3181" s="134" t="inlineStr">
        <is>
          <t>1410/06</t>
        </is>
      </c>
      <c r="G3181" s="61" t="inlineStr">
        <is>
          <t>شهریور</t>
        </is>
      </c>
      <c r="H3181" s="134" t="inlineStr">
        <is>
          <t>تابستان</t>
        </is>
      </c>
      <c r="I3181" s="134" t="inlineStr">
        <is>
          <t>پنجشنبه</t>
        </is>
      </c>
      <c r="J3181" s="134" t="inlineStr">
        <is>
          <t>بله</t>
        </is>
      </c>
    </row>
    <row r="3182">
      <c r="A3182" s="173" t="n">
        <v>48103</v>
      </c>
      <c r="B3182" s="174" t="n">
        <v>48103</v>
      </c>
      <c r="C3182" s="174" t="n">
        <v>1410</v>
      </c>
      <c r="D3182" s="174" t="n">
        <v>6</v>
      </c>
      <c r="E3182" s="175" t="inlineStr">
        <is>
          <t>1410/06/21</t>
        </is>
      </c>
      <c r="F3182" s="128" t="inlineStr">
        <is>
          <t>1410/06</t>
        </is>
      </c>
      <c r="G3182" s="58" t="inlineStr">
        <is>
          <t>شهریور</t>
        </is>
      </c>
      <c r="H3182" s="128" t="inlineStr">
        <is>
          <t>تابستان</t>
        </is>
      </c>
      <c r="I3182" s="128" t="inlineStr">
        <is>
          <t>جمعه</t>
        </is>
      </c>
      <c r="J3182" s="128" t="inlineStr">
        <is>
          <t>بله</t>
        </is>
      </c>
    </row>
    <row r="3183">
      <c r="A3183" s="176" t="n">
        <v>48104</v>
      </c>
      <c r="B3183" s="177" t="n">
        <v>48104</v>
      </c>
      <c r="C3183" s="177" t="n">
        <v>1410</v>
      </c>
      <c r="D3183" s="177" t="n">
        <v>6</v>
      </c>
      <c r="E3183" s="178" t="inlineStr">
        <is>
          <t>1410/06/22</t>
        </is>
      </c>
      <c r="F3183" s="134" t="inlineStr">
        <is>
          <t>1410/06</t>
        </is>
      </c>
      <c r="G3183" s="61" t="inlineStr">
        <is>
          <t>شهریور</t>
        </is>
      </c>
      <c r="H3183" s="134" t="inlineStr">
        <is>
          <t>تابستان</t>
        </is>
      </c>
      <c r="I3183" s="134" t="inlineStr">
        <is>
          <t>شنبه</t>
        </is>
      </c>
      <c r="J3183" s="134" t="inlineStr">
        <is>
          <t>خیر</t>
        </is>
      </c>
    </row>
    <row r="3184">
      <c r="A3184" s="173" t="n">
        <v>48105</v>
      </c>
      <c r="B3184" s="174" t="n">
        <v>48105</v>
      </c>
      <c r="C3184" s="174" t="n">
        <v>1410</v>
      </c>
      <c r="D3184" s="174" t="n">
        <v>6</v>
      </c>
      <c r="E3184" s="175" t="inlineStr">
        <is>
          <t>1410/06/23</t>
        </is>
      </c>
      <c r="F3184" s="128" t="inlineStr">
        <is>
          <t>1410/06</t>
        </is>
      </c>
      <c r="G3184" s="58" t="inlineStr">
        <is>
          <t>شهریور</t>
        </is>
      </c>
      <c r="H3184" s="128" t="inlineStr">
        <is>
          <t>تابستان</t>
        </is>
      </c>
      <c r="I3184" s="128" t="inlineStr">
        <is>
          <t>یکشنبه</t>
        </is>
      </c>
      <c r="J3184" s="128" t="inlineStr">
        <is>
          <t>خیر</t>
        </is>
      </c>
    </row>
    <row r="3185">
      <c r="A3185" s="176" t="n">
        <v>48106</v>
      </c>
      <c r="B3185" s="177" t="n">
        <v>48106</v>
      </c>
      <c r="C3185" s="177" t="n">
        <v>1410</v>
      </c>
      <c r="D3185" s="177" t="n">
        <v>6</v>
      </c>
      <c r="E3185" s="178" t="inlineStr">
        <is>
          <t>1410/06/24</t>
        </is>
      </c>
      <c r="F3185" s="134" t="inlineStr">
        <is>
          <t>1410/06</t>
        </is>
      </c>
      <c r="G3185" s="61" t="inlineStr">
        <is>
          <t>شهریور</t>
        </is>
      </c>
      <c r="H3185" s="134" t="inlineStr">
        <is>
          <t>تابستان</t>
        </is>
      </c>
      <c r="I3185" s="134" t="inlineStr">
        <is>
          <t>دوشنبه</t>
        </is>
      </c>
      <c r="J3185" s="134" t="inlineStr">
        <is>
          <t>بله</t>
        </is>
      </c>
    </row>
    <row r="3186">
      <c r="A3186" s="173" t="n">
        <v>48107</v>
      </c>
      <c r="B3186" s="174" t="n">
        <v>48107</v>
      </c>
      <c r="C3186" s="174" t="n">
        <v>1410</v>
      </c>
      <c r="D3186" s="174" t="n">
        <v>6</v>
      </c>
      <c r="E3186" s="175" t="inlineStr">
        <is>
          <t>1410/06/25</t>
        </is>
      </c>
      <c r="F3186" s="128" t="inlineStr">
        <is>
          <t>1410/06</t>
        </is>
      </c>
      <c r="G3186" s="58" t="inlineStr">
        <is>
          <t>شهریور</t>
        </is>
      </c>
      <c r="H3186" s="128" t="inlineStr">
        <is>
          <t>تابستان</t>
        </is>
      </c>
      <c r="I3186" s="128" t="inlineStr">
        <is>
          <t>سه‌شنبه</t>
        </is>
      </c>
      <c r="J3186" s="128" t="inlineStr">
        <is>
          <t>بله</t>
        </is>
      </c>
    </row>
    <row r="3187">
      <c r="A3187" s="176" t="n">
        <v>48108</v>
      </c>
      <c r="B3187" s="177" t="n">
        <v>48108</v>
      </c>
      <c r="C3187" s="177" t="n">
        <v>1410</v>
      </c>
      <c r="D3187" s="177" t="n">
        <v>6</v>
      </c>
      <c r="E3187" s="178" t="inlineStr">
        <is>
          <t>1410/06/26</t>
        </is>
      </c>
      <c r="F3187" s="134" t="inlineStr">
        <is>
          <t>1410/06</t>
        </is>
      </c>
      <c r="G3187" s="61" t="inlineStr">
        <is>
          <t>شهریور</t>
        </is>
      </c>
      <c r="H3187" s="134" t="inlineStr">
        <is>
          <t>تابستان</t>
        </is>
      </c>
      <c r="I3187" s="134" t="inlineStr">
        <is>
          <t>چهارشنبه</t>
        </is>
      </c>
      <c r="J3187" s="134" t="inlineStr">
        <is>
          <t>بله</t>
        </is>
      </c>
    </row>
    <row r="3188">
      <c r="A3188" s="173" t="n">
        <v>48109</v>
      </c>
      <c r="B3188" s="174" t="n">
        <v>48109</v>
      </c>
      <c r="C3188" s="174" t="n">
        <v>1410</v>
      </c>
      <c r="D3188" s="174" t="n">
        <v>6</v>
      </c>
      <c r="E3188" s="175" t="inlineStr">
        <is>
          <t>1410/06/27</t>
        </is>
      </c>
      <c r="F3188" s="128" t="inlineStr">
        <is>
          <t>1410/06</t>
        </is>
      </c>
      <c r="G3188" s="58" t="inlineStr">
        <is>
          <t>شهریور</t>
        </is>
      </c>
      <c r="H3188" s="128" t="inlineStr">
        <is>
          <t>تابستان</t>
        </is>
      </c>
      <c r="I3188" s="128" t="inlineStr">
        <is>
          <t>پنجشنبه</t>
        </is>
      </c>
      <c r="J3188" s="128" t="inlineStr">
        <is>
          <t>بله</t>
        </is>
      </c>
    </row>
    <row r="3189">
      <c r="A3189" s="176" t="n">
        <v>48110</v>
      </c>
      <c r="B3189" s="177" t="n">
        <v>48110</v>
      </c>
      <c r="C3189" s="177" t="n">
        <v>1410</v>
      </c>
      <c r="D3189" s="177" t="n">
        <v>6</v>
      </c>
      <c r="E3189" s="178" t="inlineStr">
        <is>
          <t>1410/06/28</t>
        </is>
      </c>
      <c r="F3189" s="134" t="inlineStr">
        <is>
          <t>1410/06</t>
        </is>
      </c>
      <c r="G3189" s="61" t="inlineStr">
        <is>
          <t>شهریور</t>
        </is>
      </c>
      <c r="H3189" s="134" t="inlineStr">
        <is>
          <t>تابستان</t>
        </is>
      </c>
      <c r="I3189" s="134" t="inlineStr">
        <is>
          <t>جمعه</t>
        </is>
      </c>
      <c r="J3189" s="134" t="inlineStr">
        <is>
          <t>بله</t>
        </is>
      </c>
    </row>
    <row r="3190">
      <c r="A3190" s="173" t="n">
        <v>48111</v>
      </c>
      <c r="B3190" s="174" t="n">
        <v>48111</v>
      </c>
      <c r="C3190" s="174" t="n">
        <v>1410</v>
      </c>
      <c r="D3190" s="174" t="n">
        <v>6</v>
      </c>
      <c r="E3190" s="175" t="inlineStr">
        <is>
          <t>1410/06/29</t>
        </is>
      </c>
      <c r="F3190" s="128" t="inlineStr">
        <is>
          <t>1410/06</t>
        </is>
      </c>
      <c r="G3190" s="58" t="inlineStr">
        <is>
          <t>شهریور</t>
        </is>
      </c>
      <c r="H3190" s="128" t="inlineStr">
        <is>
          <t>تابستان</t>
        </is>
      </c>
      <c r="I3190" s="128" t="inlineStr">
        <is>
          <t>شنبه</t>
        </is>
      </c>
      <c r="J3190" s="128" t="inlineStr">
        <is>
          <t>خیر</t>
        </is>
      </c>
    </row>
    <row r="3191">
      <c r="A3191" s="176" t="n">
        <v>48112</v>
      </c>
      <c r="B3191" s="177" t="n">
        <v>48112</v>
      </c>
      <c r="C3191" s="177" t="n">
        <v>1410</v>
      </c>
      <c r="D3191" s="177" t="n">
        <v>6</v>
      </c>
      <c r="E3191" s="178" t="inlineStr">
        <is>
          <t>1410/06/30</t>
        </is>
      </c>
      <c r="F3191" s="134" t="inlineStr">
        <is>
          <t>1410/06</t>
        </is>
      </c>
      <c r="G3191" s="61" t="inlineStr">
        <is>
          <t>شهریور</t>
        </is>
      </c>
      <c r="H3191" s="134" t="inlineStr">
        <is>
          <t>تابستان</t>
        </is>
      </c>
      <c r="I3191" s="134" t="inlineStr">
        <is>
          <t>یکشنبه</t>
        </is>
      </c>
      <c r="J3191" s="134" t="inlineStr">
        <is>
          <t>خیر</t>
        </is>
      </c>
    </row>
    <row r="3192">
      <c r="A3192" s="173" t="n">
        <v>48113</v>
      </c>
      <c r="B3192" s="174" t="n">
        <v>48113</v>
      </c>
      <c r="C3192" s="174" t="n">
        <v>1410</v>
      </c>
      <c r="D3192" s="174" t="n">
        <v>6</v>
      </c>
      <c r="E3192" s="175" t="inlineStr">
        <is>
          <t>1410/06/31</t>
        </is>
      </c>
      <c r="F3192" s="128" t="inlineStr">
        <is>
          <t>1410/06</t>
        </is>
      </c>
      <c r="G3192" s="58" t="inlineStr">
        <is>
          <t>شهریور</t>
        </is>
      </c>
      <c r="H3192" s="128" t="inlineStr">
        <is>
          <t>تابستان</t>
        </is>
      </c>
      <c r="I3192" s="128" t="inlineStr">
        <is>
          <t>دوشنبه</t>
        </is>
      </c>
      <c r="J3192" s="128" t="inlineStr">
        <is>
          <t>بله</t>
        </is>
      </c>
    </row>
    <row r="3193">
      <c r="A3193" s="176" t="n">
        <v>48114</v>
      </c>
      <c r="B3193" s="177" t="n">
        <v>48114</v>
      </c>
      <c r="C3193" s="177" t="n">
        <v>1410</v>
      </c>
      <c r="D3193" s="177" t="n">
        <v>7</v>
      </c>
      <c r="E3193" s="178" t="inlineStr">
        <is>
          <t>1410/07/01</t>
        </is>
      </c>
      <c r="F3193" s="134" t="inlineStr">
        <is>
          <t>1410/07</t>
        </is>
      </c>
      <c r="G3193" s="61" t="inlineStr">
        <is>
          <t>مهر</t>
        </is>
      </c>
      <c r="H3193" s="134" t="inlineStr">
        <is>
          <t>پاییز</t>
        </is>
      </c>
      <c r="I3193" s="134" t="inlineStr">
        <is>
          <t>سه‌شنبه</t>
        </is>
      </c>
      <c r="J3193" s="134" t="inlineStr">
        <is>
          <t>بله</t>
        </is>
      </c>
    </row>
    <row r="3194">
      <c r="A3194" s="173" t="n">
        <v>48115</v>
      </c>
      <c r="B3194" s="174" t="n">
        <v>48115</v>
      </c>
      <c r="C3194" s="174" t="n">
        <v>1410</v>
      </c>
      <c r="D3194" s="174" t="n">
        <v>7</v>
      </c>
      <c r="E3194" s="175" t="inlineStr">
        <is>
          <t>1410/07/02</t>
        </is>
      </c>
      <c r="F3194" s="128" t="inlineStr">
        <is>
          <t>1410/07</t>
        </is>
      </c>
      <c r="G3194" s="58" t="inlineStr">
        <is>
          <t>مهر</t>
        </is>
      </c>
      <c r="H3194" s="128" t="inlineStr">
        <is>
          <t>پاییز</t>
        </is>
      </c>
      <c r="I3194" s="128" t="inlineStr">
        <is>
          <t>چهارشنبه</t>
        </is>
      </c>
      <c r="J3194" s="128" t="inlineStr">
        <is>
          <t>بله</t>
        </is>
      </c>
    </row>
    <row r="3195">
      <c r="A3195" s="176" t="n">
        <v>48116</v>
      </c>
      <c r="B3195" s="177" t="n">
        <v>48116</v>
      </c>
      <c r="C3195" s="177" t="n">
        <v>1410</v>
      </c>
      <c r="D3195" s="177" t="n">
        <v>7</v>
      </c>
      <c r="E3195" s="178" t="inlineStr">
        <is>
          <t>1410/07/03</t>
        </is>
      </c>
      <c r="F3195" s="134" t="inlineStr">
        <is>
          <t>1410/07</t>
        </is>
      </c>
      <c r="G3195" s="61" t="inlineStr">
        <is>
          <t>مهر</t>
        </is>
      </c>
      <c r="H3195" s="134" t="inlineStr">
        <is>
          <t>پاییز</t>
        </is>
      </c>
      <c r="I3195" s="134" t="inlineStr">
        <is>
          <t>پنجشنبه</t>
        </is>
      </c>
      <c r="J3195" s="134" t="inlineStr">
        <is>
          <t>بله</t>
        </is>
      </c>
    </row>
    <row r="3196">
      <c r="A3196" s="173" t="n">
        <v>48117</v>
      </c>
      <c r="B3196" s="174" t="n">
        <v>48117</v>
      </c>
      <c r="C3196" s="174" t="n">
        <v>1410</v>
      </c>
      <c r="D3196" s="174" t="n">
        <v>7</v>
      </c>
      <c r="E3196" s="175" t="inlineStr">
        <is>
          <t>1410/07/04</t>
        </is>
      </c>
      <c r="F3196" s="128" t="inlineStr">
        <is>
          <t>1410/07</t>
        </is>
      </c>
      <c r="G3196" s="58" t="inlineStr">
        <is>
          <t>مهر</t>
        </is>
      </c>
      <c r="H3196" s="128" t="inlineStr">
        <is>
          <t>پاییز</t>
        </is>
      </c>
      <c r="I3196" s="128" t="inlineStr">
        <is>
          <t>جمعه</t>
        </is>
      </c>
      <c r="J3196" s="128" t="inlineStr">
        <is>
          <t>بله</t>
        </is>
      </c>
    </row>
    <row r="3197">
      <c r="A3197" s="176" t="n">
        <v>48118</v>
      </c>
      <c r="B3197" s="177" t="n">
        <v>48118</v>
      </c>
      <c r="C3197" s="177" t="n">
        <v>1410</v>
      </c>
      <c r="D3197" s="177" t="n">
        <v>7</v>
      </c>
      <c r="E3197" s="178" t="inlineStr">
        <is>
          <t>1410/07/05</t>
        </is>
      </c>
      <c r="F3197" s="134" t="inlineStr">
        <is>
          <t>1410/07</t>
        </is>
      </c>
      <c r="G3197" s="61" t="inlineStr">
        <is>
          <t>مهر</t>
        </is>
      </c>
      <c r="H3197" s="134" t="inlineStr">
        <is>
          <t>پاییز</t>
        </is>
      </c>
      <c r="I3197" s="134" t="inlineStr">
        <is>
          <t>شنبه</t>
        </is>
      </c>
      <c r="J3197" s="134" t="inlineStr">
        <is>
          <t>خیر</t>
        </is>
      </c>
    </row>
    <row r="3198">
      <c r="A3198" s="173" t="n">
        <v>48119</v>
      </c>
      <c r="B3198" s="174" t="n">
        <v>48119</v>
      </c>
      <c r="C3198" s="174" t="n">
        <v>1410</v>
      </c>
      <c r="D3198" s="174" t="n">
        <v>7</v>
      </c>
      <c r="E3198" s="175" t="inlineStr">
        <is>
          <t>1410/07/06</t>
        </is>
      </c>
      <c r="F3198" s="128" t="inlineStr">
        <is>
          <t>1410/07</t>
        </is>
      </c>
      <c r="G3198" s="58" t="inlineStr">
        <is>
          <t>مهر</t>
        </is>
      </c>
      <c r="H3198" s="128" t="inlineStr">
        <is>
          <t>پاییز</t>
        </is>
      </c>
      <c r="I3198" s="128" t="inlineStr">
        <is>
          <t>یکشنبه</t>
        </is>
      </c>
      <c r="J3198" s="128" t="inlineStr">
        <is>
          <t>خیر</t>
        </is>
      </c>
    </row>
    <row r="3199">
      <c r="A3199" s="176" t="n">
        <v>48120</v>
      </c>
      <c r="B3199" s="177" t="n">
        <v>48120</v>
      </c>
      <c r="C3199" s="177" t="n">
        <v>1410</v>
      </c>
      <c r="D3199" s="177" t="n">
        <v>7</v>
      </c>
      <c r="E3199" s="178" t="inlineStr">
        <is>
          <t>1410/07/07</t>
        </is>
      </c>
      <c r="F3199" s="134" t="inlineStr">
        <is>
          <t>1410/07</t>
        </is>
      </c>
      <c r="G3199" s="61" t="inlineStr">
        <is>
          <t>مهر</t>
        </is>
      </c>
      <c r="H3199" s="134" t="inlineStr">
        <is>
          <t>پاییز</t>
        </is>
      </c>
      <c r="I3199" s="134" t="inlineStr">
        <is>
          <t>دوشنبه</t>
        </is>
      </c>
      <c r="J3199" s="134" t="inlineStr">
        <is>
          <t>بله</t>
        </is>
      </c>
    </row>
    <row r="3200">
      <c r="A3200" s="173" t="n">
        <v>48121</v>
      </c>
      <c r="B3200" s="174" t="n">
        <v>48121</v>
      </c>
      <c r="C3200" s="174" t="n">
        <v>1410</v>
      </c>
      <c r="D3200" s="174" t="n">
        <v>7</v>
      </c>
      <c r="E3200" s="175" t="inlineStr">
        <is>
          <t>1410/07/08</t>
        </is>
      </c>
      <c r="F3200" s="128" t="inlineStr">
        <is>
          <t>1410/07</t>
        </is>
      </c>
      <c r="G3200" s="58" t="inlineStr">
        <is>
          <t>مهر</t>
        </is>
      </c>
      <c r="H3200" s="128" t="inlineStr">
        <is>
          <t>پاییز</t>
        </is>
      </c>
      <c r="I3200" s="128" t="inlineStr">
        <is>
          <t>سه‌شنبه</t>
        </is>
      </c>
      <c r="J3200" s="128" t="inlineStr">
        <is>
          <t>بله</t>
        </is>
      </c>
    </row>
    <row r="3201">
      <c r="A3201" s="176" t="n">
        <v>48122</v>
      </c>
      <c r="B3201" s="177" t="n">
        <v>48122</v>
      </c>
      <c r="C3201" s="177" t="n">
        <v>1410</v>
      </c>
      <c r="D3201" s="177" t="n">
        <v>7</v>
      </c>
      <c r="E3201" s="178" t="inlineStr">
        <is>
          <t>1410/07/09</t>
        </is>
      </c>
      <c r="F3201" s="134" t="inlineStr">
        <is>
          <t>1410/07</t>
        </is>
      </c>
      <c r="G3201" s="61" t="inlineStr">
        <is>
          <t>مهر</t>
        </is>
      </c>
      <c r="H3201" s="134" t="inlineStr">
        <is>
          <t>پاییز</t>
        </is>
      </c>
      <c r="I3201" s="134" t="inlineStr">
        <is>
          <t>چهارشنبه</t>
        </is>
      </c>
      <c r="J3201" s="134" t="inlineStr">
        <is>
          <t>بله</t>
        </is>
      </c>
    </row>
    <row r="3202">
      <c r="A3202" s="173" t="n">
        <v>48123</v>
      </c>
      <c r="B3202" s="174" t="n">
        <v>48123</v>
      </c>
      <c r="C3202" s="174" t="n">
        <v>1410</v>
      </c>
      <c r="D3202" s="174" t="n">
        <v>7</v>
      </c>
      <c r="E3202" s="175" t="inlineStr">
        <is>
          <t>1410/07/10</t>
        </is>
      </c>
      <c r="F3202" s="128" t="inlineStr">
        <is>
          <t>1410/07</t>
        </is>
      </c>
      <c r="G3202" s="58" t="inlineStr">
        <is>
          <t>مهر</t>
        </is>
      </c>
      <c r="H3202" s="128" t="inlineStr">
        <is>
          <t>پاییز</t>
        </is>
      </c>
      <c r="I3202" s="128" t="inlineStr">
        <is>
          <t>پنجشنبه</t>
        </is>
      </c>
      <c r="J3202" s="128" t="inlineStr">
        <is>
          <t>بله</t>
        </is>
      </c>
    </row>
    <row r="3203">
      <c r="A3203" s="176" t="n">
        <v>48124</v>
      </c>
      <c r="B3203" s="177" t="n">
        <v>48124</v>
      </c>
      <c r="C3203" s="177" t="n">
        <v>1410</v>
      </c>
      <c r="D3203" s="177" t="n">
        <v>7</v>
      </c>
      <c r="E3203" s="178" t="inlineStr">
        <is>
          <t>1410/07/11</t>
        </is>
      </c>
      <c r="F3203" s="134" t="inlineStr">
        <is>
          <t>1410/07</t>
        </is>
      </c>
      <c r="G3203" s="61" t="inlineStr">
        <is>
          <t>مهر</t>
        </is>
      </c>
      <c r="H3203" s="134" t="inlineStr">
        <is>
          <t>پاییز</t>
        </is>
      </c>
      <c r="I3203" s="134" t="inlineStr">
        <is>
          <t>جمعه</t>
        </is>
      </c>
      <c r="J3203" s="134" t="inlineStr">
        <is>
          <t>بله</t>
        </is>
      </c>
    </row>
    <row r="3204">
      <c r="A3204" s="173" t="n">
        <v>48125</v>
      </c>
      <c r="B3204" s="174" t="n">
        <v>48125</v>
      </c>
      <c r="C3204" s="174" t="n">
        <v>1410</v>
      </c>
      <c r="D3204" s="174" t="n">
        <v>7</v>
      </c>
      <c r="E3204" s="175" t="inlineStr">
        <is>
          <t>1410/07/12</t>
        </is>
      </c>
      <c r="F3204" s="128" t="inlineStr">
        <is>
          <t>1410/07</t>
        </is>
      </c>
      <c r="G3204" s="58" t="inlineStr">
        <is>
          <t>مهر</t>
        </is>
      </c>
      <c r="H3204" s="128" t="inlineStr">
        <is>
          <t>پاییز</t>
        </is>
      </c>
      <c r="I3204" s="128" t="inlineStr">
        <is>
          <t>شنبه</t>
        </is>
      </c>
      <c r="J3204" s="128" t="inlineStr">
        <is>
          <t>خیر</t>
        </is>
      </c>
    </row>
    <row r="3205">
      <c r="A3205" s="176" t="n">
        <v>48126</v>
      </c>
      <c r="B3205" s="177" t="n">
        <v>48126</v>
      </c>
      <c r="C3205" s="177" t="n">
        <v>1410</v>
      </c>
      <c r="D3205" s="177" t="n">
        <v>7</v>
      </c>
      <c r="E3205" s="178" t="inlineStr">
        <is>
          <t>1410/07/13</t>
        </is>
      </c>
      <c r="F3205" s="134" t="inlineStr">
        <is>
          <t>1410/07</t>
        </is>
      </c>
      <c r="G3205" s="61" t="inlineStr">
        <is>
          <t>مهر</t>
        </is>
      </c>
      <c r="H3205" s="134" t="inlineStr">
        <is>
          <t>پاییز</t>
        </is>
      </c>
      <c r="I3205" s="134" t="inlineStr">
        <is>
          <t>یکشنبه</t>
        </is>
      </c>
      <c r="J3205" s="134" t="inlineStr">
        <is>
          <t>خیر</t>
        </is>
      </c>
    </row>
    <row r="3206">
      <c r="A3206" s="173" t="n">
        <v>48127</v>
      </c>
      <c r="B3206" s="174" t="n">
        <v>48127</v>
      </c>
      <c r="C3206" s="174" t="n">
        <v>1410</v>
      </c>
      <c r="D3206" s="174" t="n">
        <v>7</v>
      </c>
      <c r="E3206" s="175" t="inlineStr">
        <is>
          <t>1410/07/14</t>
        </is>
      </c>
      <c r="F3206" s="128" t="inlineStr">
        <is>
          <t>1410/07</t>
        </is>
      </c>
      <c r="G3206" s="58" t="inlineStr">
        <is>
          <t>مهر</t>
        </is>
      </c>
      <c r="H3206" s="128" t="inlineStr">
        <is>
          <t>پاییز</t>
        </is>
      </c>
      <c r="I3206" s="128" t="inlineStr">
        <is>
          <t>دوشنبه</t>
        </is>
      </c>
      <c r="J3206" s="128" t="inlineStr">
        <is>
          <t>بله</t>
        </is>
      </c>
    </row>
    <row r="3207">
      <c r="A3207" s="176" t="n">
        <v>48128</v>
      </c>
      <c r="B3207" s="177" t="n">
        <v>48128</v>
      </c>
      <c r="C3207" s="177" t="n">
        <v>1410</v>
      </c>
      <c r="D3207" s="177" t="n">
        <v>7</v>
      </c>
      <c r="E3207" s="178" t="inlineStr">
        <is>
          <t>1410/07/15</t>
        </is>
      </c>
      <c r="F3207" s="134" t="inlineStr">
        <is>
          <t>1410/07</t>
        </is>
      </c>
      <c r="G3207" s="61" t="inlineStr">
        <is>
          <t>مهر</t>
        </is>
      </c>
      <c r="H3207" s="134" t="inlineStr">
        <is>
          <t>پاییز</t>
        </is>
      </c>
      <c r="I3207" s="134" t="inlineStr">
        <is>
          <t>سه‌شنبه</t>
        </is>
      </c>
      <c r="J3207" s="134" t="inlineStr">
        <is>
          <t>بله</t>
        </is>
      </c>
    </row>
    <row r="3208">
      <c r="A3208" s="173" t="n">
        <v>48129</v>
      </c>
      <c r="B3208" s="174" t="n">
        <v>48129</v>
      </c>
      <c r="C3208" s="174" t="n">
        <v>1410</v>
      </c>
      <c r="D3208" s="174" t="n">
        <v>7</v>
      </c>
      <c r="E3208" s="175" t="inlineStr">
        <is>
          <t>1410/07/16</t>
        </is>
      </c>
      <c r="F3208" s="128" t="inlineStr">
        <is>
          <t>1410/07</t>
        </is>
      </c>
      <c r="G3208" s="58" t="inlineStr">
        <is>
          <t>مهر</t>
        </is>
      </c>
      <c r="H3208" s="128" t="inlineStr">
        <is>
          <t>پاییز</t>
        </is>
      </c>
      <c r="I3208" s="128" t="inlineStr">
        <is>
          <t>چهارشنبه</t>
        </is>
      </c>
      <c r="J3208" s="128" t="inlineStr">
        <is>
          <t>بله</t>
        </is>
      </c>
    </row>
    <row r="3209">
      <c r="A3209" s="176" t="n">
        <v>48130</v>
      </c>
      <c r="B3209" s="177" t="n">
        <v>48130</v>
      </c>
      <c r="C3209" s="177" t="n">
        <v>1410</v>
      </c>
      <c r="D3209" s="177" t="n">
        <v>7</v>
      </c>
      <c r="E3209" s="178" t="inlineStr">
        <is>
          <t>1410/07/17</t>
        </is>
      </c>
      <c r="F3209" s="134" t="inlineStr">
        <is>
          <t>1410/07</t>
        </is>
      </c>
      <c r="G3209" s="61" t="inlineStr">
        <is>
          <t>مهر</t>
        </is>
      </c>
      <c r="H3209" s="134" t="inlineStr">
        <is>
          <t>پاییز</t>
        </is>
      </c>
      <c r="I3209" s="134" t="inlineStr">
        <is>
          <t>پنجشنبه</t>
        </is>
      </c>
      <c r="J3209" s="134" t="inlineStr">
        <is>
          <t>بله</t>
        </is>
      </c>
    </row>
    <row r="3210">
      <c r="A3210" s="173" t="n">
        <v>48131</v>
      </c>
      <c r="B3210" s="174" t="n">
        <v>48131</v>
      </c>
      <c r="C3210" s="174" t="n">
        <v>1410</v>
      </c>
      <c r="D3210" s="174" t="n">
        <v>7</v>
      </c>
      <c r="E3210" s="175" t="inlineStr">
        <is>
          <t>1410/07/18</t>
        </is>
      </c>
      <c r="F3210" s="128" t="inlineStr">
        <is>
          <t>1410/07</t>
        </is>
      </c>
      <c r="G3210" s="58" t="inlineStr">
        <is>
          <t>مهر</t>
        </is>
      </c>
      <c r="H3210" s="128" t="inlineStr">
        <is>
          <t>پاییز</t>
        </is>
      </c>
      <c r="I3210" s="128" t="inlineStr">
        <is>
          <t>جمعه</t>
        </is>
      </c>
      <c r="J3210" s="128" t="inlineStr">
        <is>
          <t>بله</t>
        </is>
      </c>
    </row>
    <row r="3211">
      <c r="A3211" s="176" t="n">
        <v>48132</v>
      </c>
      <c r="B3211" s="177" t="n">
        <v>48132</v>
      </c>
      <c r="C3211" s="177" t="n">
        <v>1410</v>
      </c>
      <c r="D3211" s="177" t="n">
        <v>7</v>
      </c>
      <c r="E3211" s="178" t="inlineStr">
        <is>
          <t>1410/07/19</t>
        </is>
      </c>
      <c r="F3211" s="134" t="inlineStr">
        <is>
          <t>1410/07</t>
        </is>
      </c>
      <c r="G3211" s="61" t="inlineStr">
        <is>
          <t>مهر</t>
        </is>
      </c>
      <c r="H3211" s="134" t="inlineStr">
        <is>
          <t>پاییز</t>
        </is>
      </c>
      <c r="I3211" s="134" t="inlineStr">
        <is>
          <t>شنبه</t>
        </is>
      </c>
      <c r="J3211" s="134" t="inlineStr">
        <is>
          <t>خیر</t>
        </is>
      </c>
    </row>
    <row r="3212">
      <c r="A3212" s="173" t="n">
        <v>48133</v>
      </c>
      <c r="B3212" s="174" t="n">
        <v>48133</v>
      </c>
      <c r="C3212" s="174" t="n">
        <v>1410</v>
      </c>
      <c r="D3212" s="174" t="n">
        <v>7</v>
      </c>
      <c r="E3212" s="175" t="inlineStr">
        <is>
          <t>1410/07/20</t>
        </is>
      </c>
      <c r="F3212" s="128" t="inlineStr">
        <is>
          <t>1410/07</t>
        </is>
      </c>
      <c r="G3212" s="58" t="inlineStr">
        <is>
          <t>مهر</t>
        </is>
      </c>
      <c r="H3212" s="128" t="inlineStr">
        <is>
          <t>پاییز</t>
        </is>
      </c>
      <c r="I3212" s="128" t="inlineStr">
        <is>
          <t>یکشنبه</t>
        </is>
      </c>
      <c r="J3212" s="128" t="inlineStr">
        <is>
          <t>خیر</t>
        </is>
      </c>
    </row>
    <row r="3213">
      <c r="A3213" s="176" t="n">
        <v>48134</v>
      </c>
      <c r="B3213" s="177" t="n">
        <v>48134</v>
      </c>
      <c r="C3213" s="177" t="n">
        <v>1410</v>
      </c>
      <c r="D3213" s="177" t="n">
        <v>7</v>
      </c>
      <c r="E3213" s="178" t="inlineStr">
        <is>
          <t>1410/07/21</t>
        </is>
      </c>
      <c r="F3213" s="134" t="inlineStr">
        <is>
          <t>1410/07</t>
        </is>
      </c>
      <c r="G3213" s="61" t="inlineStr">
        <is>
          <t>مهر</t>
        </is>
      </c>
      <c r="H3213" s="134" t="inlineStr">
        <is>
          <t>پاییز</t>
        </is>
      </c>
      <c r="I3213" s="134" t="inlineStr">
        <is>
          <t>دوشنبه</t>
        </is>
      </c>
      <c r="J3213" s="134" t="inlineStr">
        <is>
          <t>بله</t>
        </is>
      </c>
    </row>
    <row r="3214">
      <c r="A3214" s="173" t="n">
        <v>48135</v>
      </c>
      <c r="B3214" s="174" t="n">
        <v>48135</v>
      </c>
      <c r="C3214" s="174" t="n">
        <v>1410</v>
      </c>
      <c r="D3214" s="174" t="n">
        <v>7</v>
      </c>
      <c r="E3214" s="175" t="inlineStr">
        <is>
          <t>1410/07/22</t>
        </is>
      </c>
      <c r="F3214" s="128" t="inlineStr">
        <is>
          <t>1410/07</t>
        </is>
      </c>
      <c r="G3214" s="58" t="inlineStr">
        <is>
          <t>مهر</t>
        </is>
      </c>
      <c r="H3214" s="128" t="inlineStr">
        <is>
          <t>پاییز</t>
        </is>
      </c>
      <c r="I3214" s="128" t="inlineStr">
        <is>
          <t>سه‌شنبه</t>
        </is>
      </c>
      <c r="J3214" s="128" t="inlineStr">
        <is>
          <t>بله</t>
        </is>
      </c>
    </row>
    <row r="3215">
      <c r="A3215" s="176" t="n">
        <v>48136</v>
      </c>
      <c r="B3215" s="177" t="n">
        <v>48136</v>
      </c>
      <c r="C3215" s="177" t="n">
        <v>1410</v>
      </c>
      <c r="D3215" s="177" t="n">
        <v>7</v>
      </c>
      <c r="E3215" s="178" t="inlineStr">
        <is>
          <t>1410/07/23</t>
        </is>
      </c>
      <c r="F3215" s="134" t="inlineStr">
        <is>
          <t>1410/07</t>
        </is>
      </c>
      <c r="G3215" s="61" t="inlineStr">
        <is>
          <t>مهر</t>
        </is>
      </c>
      <c r="H3215" s="134" t="inlineStr">
        <is>
          <t>پاییز</t>
        </is>
      </c>
      <c r="I3215" s="134" t="inlineStr">
        <is>
          <t>چهارشنبه</t>
        </is>
      </c>
      <c r="J3215" s="134" t="inlineStr">
        <is>
          <t>بله</t>
        </is>
      </c>
    </row>
    <row r="3216">
      <c r="A3216" s="173" t="n">
        <v>48137</v>
      </c>
      <c r="B3216" s="174" t="n">
        <v>48137</v>
      </c>
      <c r="C3216" s="174" t="n">
        <v>1410</v>
      </c>
      <c r="D3216" s="174" t="n">
        <v>7</v>
      </c>
      <c r="E3216" s="175" t="inlineStr">
        <is>
          <t>1410/07/24</t>
        </is>
      </c>
      <c r="F3216" s="128" t="inlineStr">
        <is>
          <t>1410/07</t>
        </is>
      </c>
      <c r="G3216" s="58" t="inlineStr">
        <is>
          <t>مهر</t>
        </is>
      </c>
      <c r="H3216" s="128" t="inlineStr">
        <is>
          <t>پاییز</t>
        </is>
      </c>
      <c r="I3216" s="128" t="inlineStr">
        <is>
          <t>پنجشنبه</t>
        </is>
      </c>
      <c r="J3216" s="128" t="inlineStr">
        <is>
          <t>بله</t>
        </is>
      </c>
    </row>
    <row r="3217">
      <c r="A3217" s="176" t="n">
        <v>48138</v>
      </c>
      <c r="B3217" s="177" t="n">
        <v>48138</v>
      </c>
      <c r="C3217" s="177" t="n">
        <v>1410</v>
      </c>
      <c r="D3217" s="177" t="n">
        <v>7</v>
      </c>
      <c r="E3217" s="178" t="inlineStr">
        <is>
          <t>1410/07/25</t>
        </is>
      </c>
      <c r="F3217" s="134" t="inlineStr">
        <is>
          <t>1410/07</t>
        </is>
      </c>
      <c r="G3217" s="61" t="inlineStr">
        <is>
          <t>مهر</t>
        </is>
      </c>
      <c r="H3217" s="134" t="inlineStr">
        <is>
          <t>پاییز</t>
        </is>
      </c>
      <c r="I3217" s="134" t="inlineStr">
        <is>
          <t>جمعه</t>
        </is>
      </c>
      <c r="J3217" s="134" t="inlineStr">
        <is>
          <t>بله</t>
        </is>
      </c>
    </row>
    <row r="3218">
      <c r="A3218" s="173" t="n">
        <v>48139</v>
      </c>
      <c r="B3218" s="174" t="n">
        <v>48139</v>
      </c>
      <c r="C3218" s="174" t="n">
        <v>1410</v>
      </c>
      <c r="D3218" s="174" t="n">
        <v>7</v>
      </c>
      <c r="E3218" s="175" t="inlineStr">
        <is>
          <t>1410/07/26</t>
        </is>
      </c>
      <c r="F3218" s="128" t="inlineStr">
        <is>
          <t>1410/07</t>
        </is>
      </c>
      <c r="G3218" s="58" t="inlineStr">
        <is>
          <t>مهر</t>
        </is>
      </c>
      <c r="H3218" s="128" t="inlineStr">
        <is>
          <t>پاییز</t>
        </is>
      </c>
      <c r="I3218" s="128" t="inlineStr">
        <is>
          <t>شنبه</t>
        </is>
      </c>
      <c r="J3218" s="128" t="inlineStr">
        <is>
          <t>خیر</t>
        </is>
      </c>
    </row>
    <row r="3219">
      <c r="A3219" s="176" t="n">
        <v>48140</v>
      </c>
      <c r="B3219" s="177" t="n">
        <v>48140</v>
      </c>
      <c r="C3219" s="177" t="n">
        <v>1410</v>
      </c>
      <c r="D3219" s="177" t="n">
        <v>7</v>
      </c>
      <c r="E3219" s="178" t="inlineStr">
        <is>
          <t>1410/07/27</t>
        </is>
      </c>
      <c r="F3219" s="134" t="inlineStr">
        <is>
          <t>1410/07</t>
        </is>
      </c>
      <c r="G3219" s="61" t="inlineStr">
        <is>
          <t>مهر</t>
        </is>
      </c>
      <c r="H3219" s="134" t="inlineStr">
        <is>
          <t>پاییز</t>
        </is>
      </c>
      <c r="I3219" s="134" t="inlineStr">
        <is>
          <t>یکشنبه</t>
        </is>
      </c>
      <c r="J3219" s="134" t="inlineStr">
        <is>
          <t>خیر</t>
        </is>
      </c>
    </row>
    <row r="3220">
      <c r="A3220" s="173" t="n">
        <v>48141</v>
      </c>
      <c r="B3220" s="174" t="n">
        <v>48141</v>
      </c>
      <c r="C3220" s="174" t="n">
        <v>1410</v>
      </c>
      <c r="D3220" s="174" t="n">
        <v>7</v>
      </c>
      <c r="E3220" s="175" t="inlineStr">
        <is>
          <t>1410/07/28</t>
        </is>
      </c>
      <c r="F3220" s="128" t="inlineStr">
        <is>
          <t>1410/07</t>
        </is>
      </c>
      <c r="G3220" s="58" t="inlineStr">
        <is>
          <t>مهر</t>
        </is>
      </c>
      <c r="H3220" s="128" t="inlineStr">
        <is>
          <t>پاییز</t>
        </is>
      </c>
      <c r="I3220" s="128" t="inlineStr">
        <is>
          <t>دوشنبه</t>
        </is>
      </c>
      <c r="J3220" s="128" t="inlineStr">
        <is>
          <t>بله</t>
        </is>
      </c>
    </row>
    <row r="3221">
      <c r="A3221" s="176" t="n">
        <v>48142</v>
      </c>
      <c r="B3221" s="177" t="n">
        <v>48142</v>
      </c>
      <c r="C3221" s="177" t="n">
        <v>1410</v>
      </c>
      <c r="D3221" s="177" t="n">
        <v>7</v>
      </c>
      <c r="E3221" s="178" t="inlineStr">
        <is>
          <t>1410/07/29</t>
        </is>
      </c>
      <c r="F3221" s="134" t="inlineStr">
        <is>
          <t>1410/07</t>
        </is>
      </c>
      <c r="G3221" s="61" t="inlineStr">
        <is>
          <t>مهر</t>
        </is>
      </c>
      <c r="H3221" s="134" t="inlineStr">
        <is>
          <t>پاییز</t>
        </is>
      </c>
      <c r="I3221" s="134" t="inlineStr">
        <is>
          <t>سه‌شنبه</t>
        </is>
      </c>
      <c r="J3221" s="134" t="inlineStr">
        <is>
          <t>بله</t>
        </is>
      </c>
    </row>
    <row r="3222">
      <c r="A3222" s="173" t="n">
        <v>48143</v>
      </c>
      <c r="B3222" s="174" t="n">
        <v>48143</v>
      </c>
      <c r="C3222" s="174" t="n">
        <v>1410</v>
      </c>
      <c r="D3222" s="174" t="n">
        <v>7</v>
      </c>
      <c r="E3222" s="175" t="inlineStr">
        <is>
          <t>1410/07/30</t>
        </is>
      </c>
      <c r="F3222" s="128" t="inlineStr">
        <is>
          <t>1410/07</t>
        </is>
      </c>
      <c r="G3222" s="58" t="inlineStr">
        <is>
          <t>مهر</t>
        </is>
      </c>
      <c r="H3222" s="128" t="inlineStr">
        <is>
          <t>پاییز</t>
        </is>
      </c>
      <c r="I3222" s="128" t="inlineStr">
        <is>
          <t>چهارشنبه</t>
        </is>
      </c>
      <c r="J3222" s="128" t="inlineStr">
        <is>
          <t>بله</t>
        </is>
      </c>
    </row>
    <row r="3223">
      <c r="A3223" s="176" t="n">
        <v>48144</v>
      </c>
      <c r="B3223" s="177" t="n">
        <v>48144</v>
      </c>
      <c r="C3223" s="177" t="n">
        <v>1410</v>
      </c>
      <c r="D3223" s="177" t="n">
        <v>8</v>
      </c>
      <c r="E3223" s="178" t="inlineStr">
        <is>
          <t>1410/08/01</t>
        </is>
      </c>
      <c r="F3223" s="134" t="inlineStr">
        <is>
          <t>1410/08</t>
        </is>
      </c>
      <c r="G3223" s="61" t="inlineStr">
        <is>
          <t>آبان</t>
        </is>
      </c>
      <c r="H3223" s="134" t="inlineStr">
        <is>
          <t>پاییز</t>
        </is>
      </c>
      <c r="I3223" s="134" t="inlineStr">
        <is>
          <t>پنجشنبه</t>
        </is>
      </c>
      <c r="J3223" s="134" t="inlineStr">
        <is>
          <t>بله</t>
        </is>
      </c>
    </row>
    <row r="3224">
      <c r="A3224" s="173" t="n">
        <v>48145</v>
      </c>
      <c r="B3224" s="174" t="n">
        <v>48145</v>
      </c>
      <c r="C3224" s="174" t="n">
        <v>1410</v>
      </c>
      <c r="D3224" s="174" t="n">
        <v>8</v>
      </c>
      <c r="E3224" s="175" t="inlineStr">
        <is>
          <t>1410/08/02</t>
        </is>
      </c>
      <c r="F3224" s="128" t="inlineStr">
        <is>
          <t>1410/08</t>
        </is>
      </c>
      <c r="G3224" s="58" t="inlineStr">
        <is>
          <t>آبان</t>
        </is>
      </c>
      <c r="H3224" s="128" t="inlineStr">
        <is>
          <t>پاییز</t>
        </is>
      </c>
      <c r="I3224" s="128" t="inlineStr">
        <is>
          <t>جمعه</t>
        </is>
      </c>
      <c r="J3224" s="128" t="inlineStr">
        <is>
          <t>بله</t>
        </is>
      </c>
    </row>
    <row r="3225">
      <c r="A3225" s="176" t="n">
        <v>48146</v>
      </c>
      <c r="B3225" s="177" t="n">
        <v>48146</v>
      </c>
      <c r="C3225" s="177" t="n">
        <v>1410</v>
      </c>
      <c r="D3225" s="177" t="n">
        <v>8</v>
      </c>
      <c r="E3225" s="178" t="inlineStr">
        <is>
          <t>1410/08/03</t>
        </is>
      </c>
      <c r="F3225" s="134" t="inlineStr">
        <is>
          <t>1410/08</t>
        </is>
      </c>
      <c r="G3225" s="61" t="inlineStr">
        <is>
          <t>آبان</t>
        </is>
      </c>
      <c r="H3225" s="134" t="inlineStr">
        <is>
          <t>پاییز</t>
        </is>
      </c>
      <c r="I3225" s="134" t="inlineStr">
        <is>
          <t>شنبه</t>
        </is>
      </c>
      <c r="J3225" s="134" t="inlineStr">
        <is>
          <t>خیر</t>
        </is>
      </c>
    </row>
    <row r="3226">
      <c r="A3226" s="173" t="n">
        <v>48147</v>
      </c>
      <c r="B3226" s="174" t="n">
        <v>48147</v>
      </c>
      <c r="C3226" s="174" t="n">
        <v>1410</v>
      </c>
      <c r="D3226" s="174" t="n">
        <v>8</v>
      </c>
      <c r="E3226" s="175" t="inlineStr">
        <is>
          <t>1410/08/04</t>
        </is>
      </c>
      <c r="F3226" s="128" t="inlineStr">
        <is>
          <t>1410/08</t>
        </is>
      </c>
      <c r="G3226" s="58" t="inlineStr">
        <is>
          <t>آبان</t>
        </is>
      </c>
      <c r="H3226" s="128" t="inlineStr">
        <is>
          <t>پاییز</t>
        </is>
      </c>
      <c r="I3226" s="128" t="inlineStr">
        <is>
          <t>یکشنبه</t>
        </is>
      </c>
      <c r="J3226" s="128" t="inlineStr">
        <is>
          <t>خیر</t>
        </is>
      </c>
    </row>
    <row r="3227">
      <c r="A3227" s="176" t="n">
        <v>48148</v>
      </c>
      <c r="B3227" s="177" t="n">
        <v>48148</v>
      </c>
      <c r="C3227" s="177" t="n">
        <v>1410</v>
      </c>
      <c r="D3227" s="177" t="n">
        <v>8</v>
      </c>
      <c r="E3227" s="178" t="inlineStr">
        <is>
          <t>1410/08/05</t>
        </is>
      </c>
      <c r="F3227" s="134" t="inlineStr">
        <is>
          <t>1410/08</t>
        </is>
      </c>
      <c r="G3227" s="61" t="inlineStr">
        <is>
          <t>آبان</t>
        </is>
      </c>
      <c r="H3227" s="134" t="inlineStr">
        <is>
          <t>پاییز</t>
        </is>
      </c>
      <c r="I3227" s="134" t="inlineStr">
        <is>
          <t>دوشنبه</t>
        </is>
      </c>
      <c r="J3227" s="134" t="inlineStr">
        <is>
          <t>بله</t>
        </is>
      </c>
    </row>
    <row r="3228">
      <c r="A3228" s="173" t="n">
        <v>48149</v>
      </c>
      <c r="B3228" s="174" t="n">
        <v>48149</v>
      </c>
      <c r="C3228" s="174" t="n">
        <v>1410</v>
      </c>
      <c r="D3228" s="174" t="n">
        <v>8</v>
      </c>
      <c r="E3228" s="175" t="inlineStr">
        <is>
          <t>1410/08/06</t>
        </is>
      </c>
      <c r="F3228" s="128" t="inlineStr">
        <is>
          <t>1410/08</t>
        </is>
      </c>
      <c r="G3228" s="58" t="inlineStr">
        <is>
          <t>آبان</t>
        </is>
      </c>
      <c r="H3228" s="128" t="inlineStr">
        <is>
          <t>پاییز</t>
        </is>
      </c>
      <c r="I3228" s="128" t="inlineStr">
        <is>
          <t>سه‌شنبه</t>
        </is>
      </c>
      <c r="J3228" s="128" t="inlineStr">
        <is>
          <t>بله</t>
        </is>
      </c>
    </row>
    <row r="3229">
      <c r="A3229" s="176" t="n">
        <v>48150</v>
      </c>
      <c r="B3229" s="177" t="n">
        <v>48150</v>
      </c>
      <c r="C3229" s="177" t="n">
        <v>1410</v>
      </c>
      <c r="D3229" s="177" t="n">
        <v>8</v>
      </c>
      <c r="E3229" s="178" t="inlineStr">
        <is>
          <t>1410/08/07</t>
        </is>
      </c>
      <c r="F3229" s="134" t="inlineStr">
        <is>
          <t>1410/08</t>
        </is>
      </c>
      <c r="G3229" s="61" t="inlineStr">
        <is>
          <t>آبان</t>
        </is>
      </c>
      <c r="H3229" s="134" t="inlineStr">
        <is>
          <t>پاییز</t>
        </is>
      </c>
      <c r="I3229" s="134" t="inlineStr">
        <is>
          <t>چهارشنبه</t>
        </is>
      </c>
      <c r="J3229" s="134" t="inlineStr">
        <is>
          <t>بله</t>
        </is>
      </c>
    </row>
    <row r="3230">
      <c r="A3230" s="173" t="n">
        <v>48151</v>
      </c>
      <c r="B3230" s="174" t="n">
        <v>48151</v>
      </c>
      <c r="C3230" s="174" t="n">
        <v>1410</v>
      </c>
      <c r="D3230" s="174" t="n">
        <v>8</v>
      </c>
      <c r="E3230" s="175" t="inlineStr">
        <is>
          <t>1410/08/08</t>
        </is>
      </c>
      <c r="F3230" s="128" t="inlineStr">
        <is>
          <t>1410/08</t>
        </is>
      </c>
      <c r="G3230" s="58" t="inlineStr">
        <is>
          <t>آبان</t>
        </is>
      </c>
      <c r="H3230" s="128" t="inlineStr">
        <is>
          <t>پاییز</t>
        </is>
      </c>
      <c r="I3230" s="128" t="inlineStr">
        <is>
          <t>پنجشنبه</t>
        </is>
      </c>
      <c r="J3230" s="128" t="inlineStr">
        <is>
          <t>بله</t>
        </is>
      </c>
    </row>
    <row r="3231">
      <c r="A3231" s="176" t="n">
        <v>48152</v>
      </c>
      <c r="B3231" s="177" t="n">
        <v>48152</v>
      </c>
      <c r="C3231" s="177" t="n">
        <v>1410</v>
      </c>
      <c r="D3231" s="177" t="n">
        <v>8</v>
      </c>
      <c r="E3231" s="178" t="inlineStr">
        <is>
          <t>1410/08/09</t>
        </is>
      </c>
      <c r="F3231" s="134" t="inlineStr">
        <is>
          <t>1410/08</t>
        </is>
      </c>
      <c r="G3231" s="61" t="inlineStr">
        <is>
          <t>آبان</t>
        </is>
      </c>
      <c r="H3231" s="134" t="inlineStr">
        <is>
          <t>پاییز</t>
        </is>
      </c>
      <c r="I3231" s="134" t="inlineStr">
        <is>
          <t>جمعه</t>
        </is>
      </c>
      <c r="J3231" s="134" t="inlineStr">
        <is>
          <t>بله</t>
        </is>
      </c>
    </row>
    <row r="3232">
      <c r="A3232" s="173" t="n">
        <v>48153</v>
      </c>
      <c r="B3232" s="174" t="n">
        <v>48153</v>
      </c>
      <c r="C3232" s="174" t="n">
        <v>1410</v>
      </c>
      <c r="D3232" s="174" t="n">
        <v>8</v>
      </c>
      <c r="E3232" s="175" t="inlineStr">
        <is>
          <t>1410/08/10</t>
        </is>
      </c>
      <c r="F3232" s="128" t="inlineStr">
        <is>
          <t>1410/08</t>
        </is>
      </c>
      <c r="G3232" s="58" t="inlineStr">
        <is>
          <t>آبان</t>
        </is>
      </c>
      <c r="H3232" s="128" t="inlineStr">
        <is>
          <t>پاییز</t>
        </is>
      </c>
      <c r="I3232" s="128" t="inlineStr">
        <is>
          <t>شنبه</t>
        </is>
      </c>
      <c r="J3232" s="128" t="inlineStr">
        <is>
          <t>خیر</t>
        </is>
      </c>
    </row>
    <row r="3233">
      <c r="A3233" s="176" t="n">
        <v>48154</v>
      </c>
      <c r="B3233" s="177" t="n">
        <v>48154</v>
      </c>
      <c r="C3233" s="177" t="n">
        <v>1410</v>
      </c>
      <c r="D3233" s="177" t="n">
        <v>8</v>
      </c>
      <c r="E3233" s="178" t="inlineStr">
        <is>
          <t>1410/08/11</t>
        </is>
      </c>
      <c r="F3233" s="134" t="inlineStr">
        <is>
          <t>1410/08</t>
        </is>
      </c>
      <c r="G3233" s="61" t="inlineStr">
        <is>
          <t>آبان</t>
        </is>
      </c>
      <c r="H3233" s="134" t="inlineStr">
        <is>
          <t>پاییز</t>
        </is>
      </c>
      <c r="I3233" s="134" t="inlineStr">
        <is>
          <t>یکشنبه</t>
        </is>
      </c>
      <c r="J3233" s="134" t="inlineStr">
        <is>
          <t>خیر</t>
        </is>
      </c>
    </row>
    <row r="3234">
      <c r="A3234" s="173" t="n">
        <v>48155</v>
      </c>
      <c r="B3234" s="174" t="n">
        <v>48155</v>
      </c>
      <c r="C3234" s="174" t="n">
        <v>1410</v>
      </c>
      <c r="D3234" s="174" t="n">
        <v>8</v>
      </c>
      <c r="E3234" s="175" t="inlineStr">
        <is>
          <t>1410/08/12</t>
        </is>
      </c>
      <c r="F3234" s="128" t="inlineStr">
        <is>
          <t>1410/08</t>
        </is>
      </c>
      <c r="G3234" s="58" t="inlineStr">
        <is>
          <t>آبان</t>
        </is>
      </c>
      <c r="H3234" s="128" t="inlineStr">
        <is>
          <t>پاییز</t>
        </is>
      </c>
      <c r="I3234" s="128" t="inlineStr">
        <is>
          <t>دوشنبه</t>
        </is>
      </c>
      <c r="J3234" s="128" t="inlineStr">
        <is>
          <t>بله</t>
        </is>
      </c>
    </row>
    <row r="3235">
      <c r="A3235" s="176" t="n">
        <v>48156</v>
      </c>
      <c r="B3235" s="177" t="n">
        <v>48156</v>
      </c>
      <c r="C3235" s="177" t="n">
        <v>1410</v>
      </c>
      <c r="D3235" s="177" t="n">
        <v>8</v>
      </c>
      <c r="E3235" s="178" t="inlineStr">
        <is>
          <t>1410/08/13</t>
        </is>
      </c>
      <c r="F3235" s="134" t="inlineStr">
        <is>
          <t>1410/08</t>
        </is>
      </c>
      <c r="G3235" s="61" t="inlineStr">
        <is>
          <t>آبان</t>
        </is>
      </c>
      <c r="H3235" s="134" t="inlineStr">
        <is>
          <t>پاییز</t>
        </is>
      </c>
      <c r="I3235" s="134" t="inlineStr">
        <is>
          <t>سه‌شنبه</t>
        </is>
      </c>
      <c r="J3235" s="134" t="inlineStr">
        <is>
          <t>بله</t>
        </is>
      </c>
    </row>
    <row r="3236">
      <c r="A3236" s="173" t="n">
        <v>48157</v>
      </c>
      <c r="B3236" s="174" t="n">
        <v>48157</v>
      </c>
      <c r="C3236" s="174" t="n">
        <v>1410</v>
      </c>
      <c r="D3236" s="174" t="n">
        <v>8</v>
      </c>
      <c r="E3236" s="175" t="inlineStr">
        <is>
          <t>1410/08/14</t>
        </is>
      </c>
      <c r="F3236" s="128" t="inlineStr">
        <is>
          <t>1410/08</t>
        </is>
      </c>
      <c r="G3236" s="58" t="inlineStr">
        <is>
          <t>آبان</t>
        </is>
      </c>
      <c r="H3236" s="128" t="inlineStr">
        <is>
          <t>پاییز</t>
        </is>
      </c>
      <c r="I3236" s="128" t="inlineStr">
        <is>
          <t>چهارشنبه</t>
        </is>
      </c>
      <c r="J3236" s="128" t="inlineStr">
        <is>
          <t>بله</t>
        </is>
      </c>
    </row>
    <row r="3237">
      <c r="A3237" s="176" t="n">
        <v>48158</v>
      </c>
      <c r="B3237" s="177" t="n">
        <v>48158</v>
      </c>
      <c r="C3237" s="177" t="n">
        <v>1410</v>
      </c>
      <c r="D3237" s="177" t="n">
        <v>8</v>
      </c>
      <c r="E3237" s="178" t="inlineStr">
        <is>
          <t>1410/08/15</t>
        </is>
      </c>
      <c r="F3237" s="134" t="inlineStr">
        <is>
          <t>1410/08</t>
        </is>
      </c>
      <c r="G3237" s="61" t="inlineStr">
        <is>
          <t>آبان</t>
        </is>
      </c>
      <c r="H3237" s="134" t="inlineStr">
        <is>
          <t>پاییز</t>
        </is>
      </c>
      <c r="I3237" s="134" t="inlineStr">
        <is>
          <t>پنجشنبه</t>
        </is>
      </c>
      <c r="J3237" s="134" t="inlineStr">
        <is>
          <t>بله</t>
        </is>
      </c>
    </row>
    <row r="3238">
      <c r="A3238" s="173" t="n">
        <v>48159</v>
      </c>
      <c r="B3238" s="174" t="n">
        <v>48159</v>
      </c>
      <c r="C3238" s="174" t="n">
        <v>1410</v>
      </c>
      <c r="D3238" s="174" t="n">
        <v>8</v>
      </c>
      <c r="E3238" s="175" t="inlineStr">
        <is>
          <t>1410/08/16</t>
        </is>
      </c>
      <c r="F3238" s="128" t="inlineStr">
        <is>
          <t>1410/08</t>
        </is>
      </c>
      <c r="G3238" s="58" t="inlineStr">
        <is>
          <t>آبان</t>
        </is>
      </c>
      <c r="H3238" s="128" t="inlineStr">
        <is>
          <t>پاییز</t>
        </is>
      </c>
      <c r="I3238" s="128" t="inlineStr">
        <is>
          <t>جمعه</t>
        </is>
      </c>
      <c r="J3238" s="128" t="inlineStr">
        <is>
          <t>بله</t>
        </is>
      </c>
    </row>
    <row r="3239">
      <c r="A3239" s="176" t="n">
        <v>48160</v>
      </c>
      <c r="B3239" s="177" t="n">
        <v>48160</v>
      </c>
      <c r="C3239" s="177" t="n">
        <v>1410</v>
      </c>
      <c r="D3239" s="177" t="n">
        <v>8</v>
      </c>
      <c r="E3239" s="178" t="inlineStr">
        <is>
          <t>1410/08/17</t>
        </is>
      </c>
      <c r="F3239" s="134" t="inlineStr">
        <is>
          <t>1410/08</t>
        </is>
      </c>
      <c r="G3239" s="61" t="inlineStr">
        <is>
          <t>آبان</t>
        </is>
      </c>
      <c r="H3239" s="134" t="inlineStr">
        <is>
          <t>پاییز</t>
        </is>
      </c>
      <c r="I3239" s="134" t="inlineStr">
        <is>
          <t>شنبه</t>
        </is>
      </c>
      <c r="J3239" s="134" t="inlineStr">
        <is>
          <t>خیر</t>
        </is>
      </c>
    </row>
    <row r="3240">
      <c r="A3240" s="173" t="n">
        <v>48161</v>
      </c>
      <c r="B3240" s="174" t="n">
        <v>48161</v>
      </c>
      <c r="C3240" s="174" t="n">
        <v>1410</v>
      </c>
      <c r="D3240" s="174" t="n">
        <v>8</v>
      </c>
      <c r="E3240" s="175" t="inlineStr">
        <is>
          <t>1410/08/18</t>
        </is>
      </c>
      <c r="F3240" s="128" t="inlineStr">
        <is>
          <t>1410/08</t>
        </is>
      </c>
      <c r="G3240" s="58" t="inlineStr">
        <is>
          <t>آبان</t>
        </is>
      </c>
      <c r="H3240" s="128" t="inlineStr">
        <is>
          <t>پاییز</t>
        </is>
      </c>
      <c r="I3240" s="128" t="inlineStr">
        <is>
          <t>یکشنبه</t>
        </is>
      </c>
      <c r="J3240" s="128" t="inlineStr">
        <is>
          <t>خیر</t>
        </is>
      </c>
    </row>
    <row r="3241">
      <c r="A3241" s="176" t="n">
        <v>48162</v>
      </c>
      <c r="B3241" s="177" t="n">
        <v>48162</v>
      </c>
      <c r="C3241" s="177" t="n">
        <v>1410</v>
      </c>
      <c r="D3241" s="177" t="n">
        <v>8</v>
      </c>
      <c r="E3241" s="178" t="inlineStr">
        <is>
          <t>1410/08/19</t>
        </is>
      </c>
      <c r="F3241" s="134" t="inlineStr">
        <is>
          <t>1410/08</t>
        </is>
      </c>
      <c r="G3241" s="61" t="inlineStr">
        <is>
          <t>آبان</t>
        </is>
      </c>
      <c r="H3241" s="134" t="inlineStr">
        <is>
          <t>پاییز</t>
        </is>
      </c>
      <c r="I3241" s="134" t="inlineStr">
        <is>
          <t>دوشنبه</t>
        </is>
      </c>
      <c r="J3241" s="134" t="inlineStr">
        <is>
          <t>بله</t>
        </is>
      </c>
    </row>
    <row r="3242">
      <c r="A3242" s="173" t="n">
        <v>48163</v>
      </c>
      <c r="B3242" s="174" t="n">
        <v>48163</v>
      </c>
      <c r="C3242" s="174" t="n">
        <v>1410</v>
      </c>
      <c r="D3242" s="174" t="n">
        <v>8</v>
      </c>
      <c r="E3242" s="175" t="inlineStr">
        <is>
          <t>1410/08/20</t>
        </is>
      </c>
      <c r="F3242" s="128" t="inlineStr">
        <is>
          <t>1410/08</t>
        </is>
      </c>
      <c r="G3242" s="58" t="inlineStr">
        <is>
          <t>آبان</t>
        </is>
      </c>
      <c r="H3242" s="128" t="inlineStr">
        <is>
          <t>پاییز</t>
        </is>
      </c>
      <c r="I3242" s="128" t="inlineStr">
        <is>
          <t>سه‌شنبه</t>
        </is>
      </c>
      <c r="J3242" s="128" t="inlineStr">
        <is>
          <t>بله</t>
        </is>
      </c>
    </row>
    <row r="3243">
      <c r="A3243" s="176" t="n">
        <v>48164</v>
      </c>
      <c r="B3243" s="177" t="n">
        <v>48164</v>
      </c>
      <c r="C3243" s="177" t="n">
        <v>1410</v>
      </c>
      <c r="D3243" s="177" t="n">
        <v>8</v>
      </c>
      <c r="E3243" s="178" t="inlineStr">
        <is>
          <t>1410/08/21</t>
        </is>
      </c>
      <c r="F3243" s="134" t="inlineStr">
        <is>
          <t>1410/08</t>
        </is>
      </c>
      <c r="G3243" s="61" t="inlineStr">
        <is>
          <t>آبان</t>
        </is>
      </c>
      <c r="H3243" s="134" t="inlineStr">
        <is>
          <t>پاییز</t>
        </is>
      </c>
      <c r="I3243" s="134" t="inlineStr">
        <is>
          <t>چهارشنبه</t>
        </is>
      </c>
      <c r="J3243" s="134" t="inlineStr">
        <is>
          <t>بله</t>
        </is>
      </c>
    </row>
    <row r="3244">
      <c r="A3244" s="173" t="n">
        <v>48165</v>
      </c>
      <c r="B3244" s="174" t="n">
        <v>48165</v>
      </c>
      <c r="C3244" s="174" t="n">
        <v>1410</v>
      </c>
      <c r="D3244" s="174" t="n">
        <v>8</v>
      </c>
      <c r="E3244" s="175" t="inlineStr">
        <is>
          <t>1410/08/22</t>
        </is>
      </c>
      <c r="F3244" s="128" t="inlineStr">
        <is>
          <t>1410/08</t>
        </is>
      </c>
      <c r="G3244" s="58" t="inlineStr">
        <is>
          <t>آبان</t>
        </is>
      </c>
      <c r="H3244" s="128" t="inlineStr">
        <is>
          <t>پاییز</t>
        </is>
      </c>
      <c r="I3244" s="128" t="inlineStr">
        <is>
          <t>پنجشنبه</t>
        </is>
      </c>
      <c r="J3244" s="128" t="inlineStr">
        <is>
          <t>بله</t>
        </is>
      </c>
    </row>
    <row r="3245">
      <c r="A3245" s="176" t="n">
        <v>48166</v>
      </c>
      <c r="B3245" s="177" t="n">
        <v>48166</v>
      </c>
      <c r="C3245" s="177" t="n">
        <v>1410</v>
      </c>
      <c r="D3245" s="177" t="n">
        <v>8</v>
      </c>
      <c r="E3245" s="178" t="inlineStr">
        <is>
          <t>1410/08/23</t>
        </is>
      </c>
      <c r="F3245" s="134" t="inlineStr">
        <is>
          <t>1410/08</t>
        </is>
      </c>
      <c r="G3245" s="61" t="inlineStr">
        <is>
          <t>آبان</t>
        </is>
      </c>
      <c r="H3245" s="134" t="inlineStr">
        <is>
          <t>پاییز</t>
        </is>
      </c>
      <c r="I3245" s="134" t="inlineStr">
        <is>
          <t>جمعه</t>
        </is>
      </c>
      <c r="J3245" s="134" t="inlineStr">
        <is>
          <t>بله</t>
        </is>
      </c>
    </row>
    <row r="3246">
      <c r="A3246" s="173" t="n">
        <v>48167</v>
      </c>
      <c r="B3246" s="174" t="n">
        <v>48167</v>
      </c>
      <c r="C3246" s="174" t="n">
        <v>1410</v>
      </c>
      <c r="D3246" s="174" t="n">
        <v>8</v>
      </c>
      <c r="E3246" s="175" t="inlineStr">
        <is>
          <t>1410/08/24</t>
        </is>
      </c>
      <c r="F3246" s="128" t="inlineStr">
        <is>
          <t>1410/08</t>
        </is>
      </c>
      <c r="G3246" s="58" t="inlineStr">
        <is>
          <t>آبان</t>
        </is>
      </c>
      <c r="H3246" s="128" t="inlineStr">
        <is>
          <t>پاییز</t>
        </is>
      </c>
      <c r="I3246" s="128" t="inlineStr">
        <is>
          <t>شنبه</t>
        </is>
      </c>
      <c r="J3246" s="128" t="inlineStr">
        <is>
          <t>خیر</t>
        </is>
      </c>
    </row>
    <row r="3247">
      <c r="A3247" s="176" t="n">
        <v>48168</v>
      </c>
      <c r="B3247" s="177" t="n">
        <v>48168</v>
      </c>
      <c r="C3247" s="177" t="n">
        <v>1410</v>
      </c>
      <c r="D3247" s="177" t="n">
        <v>8</v>
      </c>
      <c r="E3247" s="178" t="inlineStr">
        <is>
          <t>1410/08/25</t>
        </is>
      </c>
      <c r="F3247" s="134" t="inlineStr">
        <is>
          <t>1410/08</t>
        </is>
      </c>
      <c r="G3247" s="61" t="inlineStr">
        <is>
          <t>آبان</t>
        </is>
      </c>
      <c r="H3247" s="134" t="inlineStr">
        <is>
          <t>پاییز</t>
        </is>
      </c>
      <c r="I3247" s="134" t="inlineStr">
        <is>
          <t>یکشنبه</t>
        </is>
      </c>
      <c r="J3247" s="134" t="inlineStr">
        <is>
          <t>خیر</t>
        </is>
      </c>
    </row>
    <row r="3248">
      <c r="A3248" s="173" t="n">
        <v>48169</v>
      </c>
      <c r="B3248" s="174" t="n">
        <v>48169</v>
      </c>
      <c r="C3248" s="174" t="n">
        <v>1410</v>
      </c>
      <c r="D3248" s="174" t="n">
        <v>8</v>
      </c>
      <c r="E3248" s="175" t="inlineStr">
        <is>
          <t>1410/08/26</t>
        </is>
      </c>
      <c r="F3248" s="128" t="inlineStr">
        <is>
          <t>1410/08</t>
        </is>
      </c>
      <c r="G3248" s="58" t="inlineStr">
        <is>
          <t>آبان</t>
        </is>
      </c>
      <c r="H3248" s="128" t="inlineStr">
        <is>
          <t>پاییز</t>
        </is>
      </c>
      <c r="I3248" s="128" t="inlineStr">
        <is>
          <t>دوشنبه</t>
        </is>
      </c>
      <c r="J3248" s="128" t="inlineStr">
        <is>
          <t>بله</t>
        </is>
      </c>
    </row>
    <row r="3249">
      <c r="A3249" s="176" t="n">
        <v>48170</v>
      </c>
      <c r="B3249" s="177" t="n">
        <v>48170</v>
      </c>
      <c r="C3249" s="177" t="n">
        <v>1410</v>
      </c>
      <c r="D3249" s="177" t="n">
        <v>8</v>
      </c>
      <c r="E3249" s="178" t="inlineStr">
        <is>
          <t>1410/08/27</t>
        </is>
      </c>
      <c r="F3249" s="134" t="inlineStr">
        <is>
          <t>1410/08</t>
        </is>
      </c>
      <c r="G3249" s="61" t="inlineStr">
        <is>
          <t>آبان</t>
        </is>
      </c>
      <c r="H3249" s="134" t="inlineStr">
        <is>
          <t>پاییز</t>
        </is>
      </c>
      <c r="I3249" s="134" t="inlineStr">
        <is>
          <t>سه‌شنبه</t>
        </is>
      </c>
      <c r="J3249" s="134" t="inlineStr">
        <is>
          <t>بله</t>
        </is>
      </c>
    </row>
    <row r="3250">
      <c r="A3250" s="173" t="n">
        <v>48171</v>
      </c>
      <c r="B3250" s="174" t="n">
        <v>48171</v>
      </c>
      <c r="C3250" s="174" t="n">
        <v>1410</v>
      </c>
      <c r="D3250" s="174" t="n">
        <v>8</v>
      </c>
      <c r="E3250" s="175" t="inlineStr">
        <is>
          <t>1410/08/28</t>
        </is>
      </c>
      <c r="F3250" s="128" t="inlineStr">
        <is>
          <t>1410/08</t>
        </is>
      </c>
      <c r="G3250" s="58" t="inlineStr">
        <is>
          <t>آبان</t>
        </is>
      </c>
      <c r="H3250" s="128" t="inlineStr">
        <is>
          <t>پاییز</t>
        </is>
      </c>
      <c r="I3250" s="128" t="inlineStr">
        <is>
          <t>چهارشنبه</t>
        </is>
      </c>
      <c r="J3250" s="128" t="inlineStr">
        <is>
          <t>بله</t>
        </is>
      </c>
    </row>
    <row r="3251">
      <c r="A3251" s="176" t="n">
        <v>48172</v>
      </c>
      <c r="B3251" s="177" t="n">
        <v>48172</v>
      </c>
      <c r="C3251" s="177" t="n">
        <v>1410</v>
      </c>
      <c r="D3251" s="177" t="n">
        <v>8</v>
      </c>
      <c r="E3251" s="178" t="inlineStr">
        <is>
          <t>1410/08/29</t>
        </is>
      </c>
      <c r="F3251" s="134" t="inlineStr">
        <is>
          <t>1410/08</t>
        </is>
      </c>
      <c r="G3251" s="61" t="inlineStr">
        <is>
          <t>آبان</t>
        </is>
      </c>
      <c r="H3251" s="134" t="inlineStr">
        <is>
          <t>پاییز</t>
        </is>
      </c>
      <c r="I3251" s="134" t="inlineStr">
        <is>
          <t>پنجشنبه</t>
        </is>
      </c>
      <c r="J3251" s="134" t="inlineStr">
        <is>
          <t>بله</t>
        </is>
      </c>
    </row>
    <row r="3252">
      <c r="A3252" s="173" t="n">
        <v>48173</v>
      </c>
      <c r="B3252" s="174" t="n">
        <v>48173</v>
      </c>
      <c r="C3252" s="174" t="n">
        <v>1410</v>
      </c>
      <c r="D3252" s="174" t="n">
        <v>8</v>
      </c>
      <c r="E3252" s="175" t="inlineStr">
        <is>
          <t>1410/08/30</t>
        </is>
      </c>
      <c r="F3252" s="128" t="inlineStr">
        <is>
          <t>1410/08</t>
        </is>
      </c>
      <c r="G3252" s="58" t="inlineStr">
        <is>
          <t>آبان</t>
        </is>
      </c>
      <c r="H3252" s="128" t="inlineStr">
        <is>
          <t>پاییز</t>
        </is>
      </c>
      <c r="I3252" s="128" t="inlineStr">
        <is>
          <t>جمعه</t>
        </is>
      </c>
      <c r="J3252" s="128" t="inlineStr">
        <is>
          <t>بله</t>
        </is>
      </c>
    </row>
    <row r="3253">
      <c r="A3253" s="176" t="n">
        <v>48174</v>
      </c>
      <c r="B3253" s="177" t="n">
        <v>48174</v>
      </c>
      <c r="C3253" s="177" t="n">
        <v>1410</v>
      </c>
      <c r="D3253" s="177" t="n">
        <v>9</v>
      </c>
      <c r="E3253" s="178" t="inlineStr">
        <is>
          <t>1410/09/01</t>
        </is>
      </c>
      <c r="F3253" s="134" t="inlineStr">
        <is>
          <t>1410/09</t>
        </is>
      </c>
      <c r="G3253" s="61" t="inlineStr">
        <is>
          <t>آذر</t>
        </is>
      </c>
      <c r="H3253" s="134" t="inlineStr">
        <is>
          <t>پاییز</t>
        </is>
      </c>
      <c r="I3253" s="134" t="inlineStr">
        <is>
          <t>شنبه</t>
        </is>
      </c>
      <c r="J3253" s="134" t="inlineStr">
        <is>
          <t>خیر</t>
        </is>
      </c>
    </row>
    <row r="3254">
      <c r="A3254" s="173" t="n">
        <v>48175</v>
      </c>
      <c r="B3254" s="174" t="n">
        <v>48175</v>
      </c>
      <c r="C3254" s="174" t="n">
        <v>1410</v>
      </c>
      <c r="D3254" s="174" t="n">
        <v>9</v>
      </c>
      <c r="E3254" s="175" t="inlineStr">
        <is>
          <t>1410/09/02</t>
        </is>
      </c>
      <c r="F3254" s="128" t="inlineStr">
        <is>
          <t>1410/09</t>
        </is>
      </c>
      <c r="G3254" s="58" t="inlineStr">
        <is>
          <t>آذر</t>
        </is>
      </c>
      <c r="H3254" s="128" t="inlineStr">
        <is>
          <t>پاییز</t>
        </is>
      </c>
      <c r="I3254" s="128" t="inlineStr">
        <is>
          <t>یکشنبه</t>
        </is>
      </c>
      <c r="J3254" s="128" t="inlineStr">
        <is>
          <t>خیر</t>
        </is>
      </c>
    </row>
    <row r="3255">
      <c r="A3255" s="176" t="n">
        <v>48176</v>
      </c>
      <c r="B3255" s="177" t="n">
        <v>48176</v>
      </c>
      <c r="C3255" s="177" t="n">
        <v>1410</v>
      </c>
      <c r="D3255" s="177" t="n">
        <v>9</v>
      </c>
      <c r="E3255" s="178" t="inlineStr">
        <is>
          <t>1410/09/03</t>
        </is>
      </c>
      <c r="F3255" s="134" t="inlineStr">
        <is>
          <t>1410/09</t>
        </is>
      </c>
      <c r="G3255" s="61" t="inlineStr">
        <is>
          <t>آذر</t>
        </is>
      </c>
      <c r="H3255" s="134" t="inlineStr">
        <is>
          <t>پاییز</t>
        </is>
      </c>
      <c r="I3255" s="134" t="inlineStr">
        <is>
          <t>دوشنبه</t>
        </is>
      </c>
      <c r="J3255" s="134" t="inlineStr">
        <is>
          <t>بله</t>
        </is>
      </c>
    </row>
    <row r="3256">
      <c r="A3256" s="173" t="n">
        <v>48177</v>
      </c>
      <c r="B3256" s="174" t="n">
        <v>48177</v>
      </c>
      <c r="C3256" s="174" t="n">
        <v>1410</v>
      </c>
      <c r="D3256" s="174" t="n">
        <v>9</v>
      </c>
      <c r="E3256" s="175" t="inlineStr">
        <is>
          <t>1410/09/04</t>
        </is>
      </c>
      <c r="F3256" s="128" t="inlineStr">
        <is>
          <t>1410/09</t>
        </is>
      </c>
      <c r="G3256" s="58" t="inlineStr">
        <is>
          <t>آذر</t>
        </is>
      </c>
      <c r="H3256" s="128" t="inlineStr">
        <is>
          <t>پاییز</t>
        </is>
      </c>
      <c r="I3256" s="128" t="inlineStr">
        <is>
          <t>سه‌شنبه</t>
        </is>
      </c>
      <c r="J3256" s="128" t="inlineStr">
        <is>
          <t>بله</t>
        </is>
      </c>
    </row>
    <row r="3257">
      <c r="A3257" s="176" t="n">
        <v>48178</v>
      </c>
      <c r="B3257" s="177" t="n">
        <v>48178</v>
      </c>
      <c r="C3257" s="177" t="n">
        <v>1410</v>
      </c>
      <c r="D3257" s="177" t="n">
        <v>9</v>
      </c>
      <c r="E3257" s="178" t="inlineStr">
        <is>
          <t>1410/09/05</t>
        </is>
      </c>
      <c r="F3257" s="134" t="inlineStr">
        <is>
          <t>1410/09</t>
        </is>
      </c>
      <c r="G3257" s="61" t="inlineStr">
        <is>
          <t>آذر</t>
        </is>
      </c>
      <c r="H3257" s="134" t="inlineStr">
        <is>
          <t>پاییز</t>
        </is>
      </c>
      <c r="I3257" s="134" t="inlineStr">
        <is>
          <t>چهارشنبه</t>
        </is>
      </c>
      <c r="J3257" s="134" t="inlineStr">
        <is>
          <t>بله</t>
        </is>
      </c>
    </row>
    <row r="3258">
      <c r="A3258" s="173" t="n">
        <v>48179</v>
      </c>
      <c r="B3258" s="174" t="n">
        <v>48179</v>
      </c>
      <c r="C3258" s="174" t="n">
        <v>1410</v>
      </c>
      <c r="D3258" s="174" t="n">
        <v>9</v>
      </c>
      <c r="E3258" s="175" t="inlineStr">
        <is>
          <t>1410/09/06</t>
        </is>
      </c>
      <c r="F3258" s="128" t="inlineStr">
        <is>
          <t>1410/09</t>
        </is>
      </c>
      <c r="G3258" s="58" t="inlineStr">
        <is>
          <t>آذر</t>
        </is>
      </c>
      <c r="H3258" s="128" t="inlineStr">
        <is>
          <t>پاییز</t>
        </is>
      </c>
      <c r="I3258" s="128" t="inlineStr">
        <is>
          <t>پنجشنبه</t>
        </is>
      </c>
      <c r="J3258" s="128" t="inlineStr">
        <is>
          <t>بله</t>
        </is>
      </c>
    </row>
    <row r="3259">
      <c r="A3259" s="176" t="n">
        <v>48180</v>
      </c>
      <c r="B3259" s="177" t="n">
        <v>48180</v>
      </c>
      <c r="C3259" s="177" t="n">
        <v>1410</v>
      </c>
      <c r="D3259" s="177" t="n">
        <v>9</v>
      </c>
      <c r="E3259" s="178" t="inlineStr">
        <is>
          <t>1410/09/07</t>
        </is>
      </c>
      <c r="F3259" s="134" t="inlineStr">
        <is>
          <t>1410/09</t>
        </is>
      </c>
      <c r="G3259" s="61" t="inlineStr">
        <is>
          <t>آذر</t>
        </is>
      </c>
      <c r="H3259" s="134" t="inlineStr">
        <is>
          <t>پاییز</t>
        </is>
      </c>
      <c r="I3259" s="134" t="inlineStr">
        <is>
          <t>جمعه</t>
        </is>
      </c>
      <c r="J3259" s="134" t="inlineStr">
        <is>
          <t>بله</t>
        </is>
      </c>
    </row>
    <row r="3260">
      <c r="A3260" s="173" t="n">
        <v>48181</v>
      </c>
      <c r="B3260" s="174" t="n">
        <v>48181</v>
      </c>
      <c r="C3260" s="174" t="n">
        <v>1410</v>
      </c>
      <c r="D3260" s="174" t="n">
        <v>9</v>
      </c>
      <c r="E3260" s="175" t="inlineStr">
        <is>
          <t>1410/09/08</t>
        </is>
      </c>
      <c r="F3260" s="128" t="inlineStr">
        <is>
          <t>1410/09</t>
        </is>
      </c>
      <c r="G3260" s="58" t="inlineStr">
        <is>
          <t>آذر</t>
        </is>
      </c>
      <c r="H3260" s="128" t="inlineStr">
        <is>
          <t>پاییز</t>
        </is>
      </c>
      <c r="I3260" s="128" t="inlineStr">
        <is>
          <t>شنبه</t>
        </is>
      </c>
      <c r="J3260" s="128" t="inlineStr">
        <is>
          <t>خیر</t>
        </is>
      </c>
    </row>
    <row r="3261">
      <c r="A3261" s="176" t="n">
        <v>48182</v>
      </c>
      <c r="B3261" s="177" t="n">
        <v>48182</v>
      </c>
      <c r="C3261" s="177" t="n">
        <v>1410</v>
      </c>
      <c r="D3261" s="177" t="n">
        <v>9</v>
      </c>
      <c r="E3261" s="178" t="inlineStr">
        <is>
          <t>1410/09/09</t>
        </is>
      </c>
      <c r="F3261" s="134" t="inlineStr">
        <is>
          <t>1410/09</t>
        </is>
      </c>
      <c r="G3261" s="61" t="inlineStr">
        <is>
          <t>آذر</t>
        </is>
      </c>
      <c r="H3261" s="134" t="inlineStr">
        <is>
          <t>پاییز</t>
        </is>
      </c>
      <c r="I3261" s="134" t="inlineStr">
        <is>
          <t>یکشنبه</t>
        </is>
      </c>
      <c r="J3261" s="134" t="inlineStr">
        <is>
          <t>خیر</t>
        </is>
      </c>
    </row>
    <row r="3262">
      <c r="A3262" s="173" t="n">
        <v>48183</v>
      </c>
      <c r="B3262" s="174" t="n">
        <v>48183</v>
      </c>
      <c r="C3262" s="174" t="n">
        <v>1410</v>
      </c>
      <c r="D3262" s="174" t="n">
        <v>9</v>
      </c>
      <c r="E3262" s="175" t="inlineStr">
        <is>
          <t>1410/09/10</t>
        </is>
      </c>
      <c r="F3262" s="128" t="inlineStr">
        <is>
          <t>1410/09</t>
        </is>
      </c>
      <c r="G3262" s="58" t="inlineStr">
        <is>
          <t>آذر</t>
        </is>
      </c>
      <c r="H3262" s="128" t="inlineStr">
        <is>
          <t>پاییز</t>
        </is>
      </c>
      <c r="I3262" s="128" t="inlineStr">
        <is>
          <t>دوشنبه</t>
        </is>
      </c>
      <c r="J3262" s="128" t="inlineStr">
        <is>
          <t>بله</t>
        </is>
      </c>
    </row>
    <row r="3263">
      <c r="A3263" s="176" t="n">
        <v>48184</v>
      </c>
      <c r="B3263" s="177" t="n">
        <v>48184</v>
      </c>
      <c r="C3263" s="177" t="n">
        <v>1410</v>
      </c>
      <c r="D3263" s="177" t="n">
        <v>9</v>
      </c>
      <c r="E3263" s="178" t="inlineStr">
        <is>
          <t>1410/09/11</t>
        </is>
      </c>
      <c r="F3263" s="134" t="inlineStr">
        <is>
          <t>1410/09</t>
        </is>
      </c>
      <c r="G3263" s="61" t="inlineStr">
        <is>
          <t>آذر</t>
        </is>
      </c>
      <c r="H3263" s="134" t="inlineStr">
        <is>
          <t>پاییز</t>
        </is>
      </c>
      <c r="I3263" s="134" t="inlineStr">
        <is>
          <t>سه‌شنبه</t>
        </is>
      </c>
      <c r="J3263" s="134" t="inlineStr">
        <is>
          <t>بله</t>
        </is>
      </c>
    </row>
    <row r="3264">
      <c r="A3264" s="173" t="n">
        <v>48185</v>
      </c>
      <c r="B3264" s="174" t="n">
        <v>48185</v>
      </c>
      <c r="C3264" s="174" t="n">
        <v>1410</v>
      </c>
      <c r="D3264" s="174" t="n">
        <v>9</v>
      </c>
      <c r="E3264" s="175" t="inlineStr">
        <is>
          <t>1410/09/12</t>
        </is>
      </c>
      <c r="F3264" s="128" t="inlineStr">
        <is>
          <t>1410/09</t>
        </is>
      </c>
      <c r="G3264" s="58" t="inlineStr">
        <is>
          <t>آذر</t>
        </is>
      </c>
      <c r="H3264" s="128" t="inlineStr">
        <is>
          <t>پاییز</t>
        </is>
      </c>
      <c r="I3264" s="128" t="inlineStr">
        <is>
          <t>چهارشنبه</t>
        </is>
      </c>
      <c r="J3264" s="128" t="inlineStr">
        <is>
          <t>بله</t>
        </is>
      </c>
    </row>
    <row r="3265">
      <c r="A3265" s="176" t="n">
        <v>48186</v>
      </c>
      <c r="B3265" s="177" t="n">
        <v>48186</v>
      </c>
      <c r="C3265" s="177" t="n">
        <v>1410</v>
      </c>
      <c r="D3265" s="177" t="n">
        <v>9</v>
      </c>
      <c r="E3265" s="178" t="inlineStr">
        <is>
          <t>1410/09/13</t>
        </is>
      </c>
      <c r="F3265" s="134" t="inlineStr">
        <is>
          <t>1410/09</t>
        </is>
      </c>
      <c r="G3265" s="61" t="inlineStr">
        <is>
          <t>آذر</t>
        </is>
      </c>
      <c r="H3265" s="134" t="inlineStr">
        <is>
          <t>پاییز</t>
        </is>
      </c>
      <c r="I3265" s="134" t="inlineStr">
        <is>
          <t>پنجشنبه</t>
        </is>
      </c>
      <c r="J3265" s="134" t="inlineStr">
        <is>
          <t>بله</t>
        </is>
      </c>
    </row>
    <row r="3266">
      <c r="A3266" s="173" t="n">
        <v>48187</v>
      </c>
      <c r="B3266" s="174" t="n">
        <v>48187</v>
      </c>
      <c r="C3266" s="174" t="n">
        <v>1410</v>
      </c>
      <c r="D3266" s="174" t="n">
        <v>9</v>
      </c>
      <c r="E3266" s="175" t="inlineStr">
        <is>
          <t>1410/09/14</t>
        </is>
      </c>
      <c r="F3266" s="128" t="inlineStr">
        <is>
          <t>1410/09</t>
        </is>
      </c>
      <c r="G3266" s="58" t="inlineStr">
        <is>
          <t>آذر</t>
        </is>
      </c>
      <c r="H3266" s="128" t="inlineStr">
        <is>
          <t>پاییز</t>
        </is>
      </c>
      <c r="I3266" s="128" t="inlineStr">
        <is>
          <t>جمعه</t>
        </is>
      </c>
      <c r="J3266" s="128" t="inlineStr">
        <is>
          <t>بله</t>
        </is>
      </c>
    </row>
    <row r="3267">
      <c r="A3267" s="176" t="n">
        <v>48188</v>
      </c>
      <c r="B3267" s="177" t="n">
        <v>48188</v>
      </c>
      <c r="C3267" s="177" t="n">
        <v>1410</v>
      </c>
      <c r="D3267" s="177" t="n">
        <v>9</v>
      </c>
      <c r="E3267" s="178" t="inlineStr">
        <is>
          <t>1410/09/15</t>
        </is>
      </c>
      <c r="F3267" s="134" t="inlineStr">
        <is>
          <t>1410/09</t>
        </is>
      </c>
      <c r="G3267" s="61" t="inlineStr">
        <is>
          <t>آذر</t>
        </is>
      </c>
      <c r="H3267" s="134" t="inlineStr">
        <is>
          <t>پاییز</t>
        </is>
      </c>
      <c r="I3267" s="134" t="inlineStr">
        <is>
          <t>شنبه</t>
        </is>
      </c>
      <c r="J3267" s="134" t="inlineStr">
        <is>
          <t>خیر</t>
        </is>
      </c>
    </row>
    <row r="3268">
      <c r="A3268" s="173" t="n">
        <v>48189</v>
      </c>
      <c r="B3268" s="174" t="n">
        <v>48189</v>
      </c>
      <c r="C3268" s="174" t="n">
        <v>1410</v>
      </c>
      <c r="D3268" s="174" t="n">
        <v>9</v>
      </c>
      <c r="E3268" s="175" t="inlineStr">
        <is>
          <t>1410/09/16</t>
        </is>
      </c>
      <c r="F3268" s="128" t="inlineStr">
        <is>
          <t>1410/09</t>
        </is>
      </c>
      <c r="G3268" s="58" t="inlineStr">
        <is>
          <t>آذر</t>
        </is>
      </c>
      <c r="H3268" s="128" t="inlineStr">
        <is>
          <t>پاییز</t>
        </is>
      </c>
      <c r="I3268" s="128" t="inlineStr">
        <is>
          <t>یکشنبه</t>
        </is>
      </c>
      <c r="J3268" s="128" t="inlineStr">
        <is>
          <t>خیر</t>
        </is>
      </c>
    </row>
    <row r="3269">
      <c r="A3269" s="176" t="n">
        <v>48190</v>
      </c>
      <c r="B3269" s="177" t="n">
        <v>48190</v>
      </c>
      <c r="C3269" s="177" t="n">
        <v>1410</v>
      </c>
      <c r="D3269" s="177" t="n">
        <v>9</v>
      </c>
      <c r="E3269" s="178" t="inlineStr">
        <is>
          <t>1410/09/17</t>
        </is>
      </c>
      <c r="F3269" s="134" t="inlineStr">
        <is>
          <t>1410/09</t>
        </is>
      </c>
      <c r="G3269" s="61" t="inlineStr">
        <is>
          <t>آذر</t>
        </is>
      </c>
      <c r="H3269" s="134" t="inlineStr">
        <is>
          <t>پاییز</t>
        </is>
      </c>
      <c r="I3269" s="134" t="inlineStr">
        <is>
          <t>دوشنبه</t>
        </is>
      </c>
      <c r="J3269" s="134" t="inlineStr">
        <is>
          <t>بله</t>
        </is>
      </c>
    </row>
    <row r="3270">
      <c r="A3270" s="173" t="n">
        <v>48191</v>
      </c>
      <c r="B3270" s="174" t="n">
        <v>48191</v>
      </c>
      <c r="C3270" s="174" t="n">
        <v>1410</v>
      </c>
      <c r="D3270" s="174" t="n">
        <v>9</v>
      </c>
      <c r="E3270" s="175" t="inlineStr">
        <is>
          <t>1410/09/18</t>
        </is>
      </c>
      <c r="F3270" s="128" t="inlineStr">
        <is>
          <t>1410/09</t>
        </is>
      </c>
      <c r="G3270" s="58" t="inlineStr">
        <is>
          <t>آذر</t>
        </is>
      </c>
      <c r="H3270" s="128" t="inlineStr">
        <is>
          <t>پاییز</t>
        </is>
      </c>
      <c r="I3270" s="128" t="inlineStr">
        <is>
          <t>سه‌شنبه</t>
        </is>
      </c>
      <c r="J3270" s="128" t="inlineStr">
        <is>
          <t>بله</t>
        </is>
      </c>
    </row>
    <row r="3271">
      <c r="A3271" s="176" t="n">
        <v>48192</v>
      </c>
      <c r="B3271" s="177" t="n">
        <v>48192</v>
      </c>
      <c r="C3271" s="177" t="n">
        <v>1410</v>
      </c>
      <c r="D3271" s="177" t="n">
        <v>9</v>
      </c>
      <c r="E3271" s="178" t="inlineStr">
        <is>
          <t>1410/09/19</t>
        </is>
      </c>
      <c r="F3271" s="134" t="inlineStr">
        <is>
          <t>1410/09</t>
        </is>
      </c>
      <c r="G3271" s="61" t="inlineStr">
        <is>
          <t>آذر</t>
        </is>
      </c>
      <c r="H3271" s="134" t="inlineStr">
        <is>
          <t>پاییز</t>
        </is>
      </c>
      <c r="I3271" s="134" t="inlineStr">
        <is>
          <t>چهارشنبه</t>
        </is>
      </c>
      <c r="J3271" s="134" t="inlineStr">
        <is>
          <t>بله</t>
        </is>
      </c>
    </row>
    <row r="3272">
      <c r="A3272" s="173" t="n">
        <v>48193</v>
      </c>
      <c r="B3272" s="174" t="n">
        <v>48193</v>
      </c>
      <c r="C3272" s="174" t="n">
        <v>1410</v>
      </c>
      <c r="D3272" s="174" t="n">
        <v>9</v>
      </c>
      <c r="E3272" s="175" t="inlineStr">
        <is>
          <t>1410/09/20</t>
        </is>
      </c>
      <c r="F3272" s="128" t="inlineStr">
        <is>
          <t>1410/09</t>
        </is>
      </c>
      <c r="G3272" s="58" t="inlineStr">
        <is>
          <t>آذر</t>
        </is>
      </c>
      <c r="H3272" s="128" t="inlineStr">
        <is>
          <t>پاییز</t>
        </is>
      </c>
      <c r="I3272" s="128" t="inlineStr">
        <is>
          <t>پنجشنبه</t>
        </is>
      </c>
      <c r="J3272" s="128" t="inlineStr">
        <is>
          <t>بله</t>
        </is>
      </c>
    </row>
    <row r="3273">
      <c r="A3273" s="176" t="n">
        <v>48194</v>
      </c>
      <c r="B3273" s="177" t="n">
        <v>48194</v>
      </c>
      <c r="C3273" s="177" t="n">
        <v>1410</v>
      </c>
      <c r="D3273" s="177" t="n">
        <v>9</v>
      </c>
      <c r="E3273" s="178" t="inlineStr">
        <is>
          <t>1410/09/21</t>
        </is>
      </c>
      <c r="F3273" s="134" t="inlineStr">
        <is>
          <t>1410/09</t>
        </is>
      </c>
      <c r="G3273" s="61" t="inlineStr">
        <is>
          <t>آذر</t>
        </is>
      </c>
      <c r="H3273" s="134" t="inlineStr">
        <is>
          <t>پاییز</t>
        </is>
      </c>
      <c r="I3273" s="134" t="inlineStr">
        <is>
          <t>جمعه</t>
        </is>
      </c>
      <c r="J3273" s="134" t="inlineStr">
        <is>
          <t>بله</t>
        </is>
      </c>
    </row>
    <row r="3274">
      <c r="A3274" s="173" t="n">
        <v>48195</v>
      </c>
      <c r="B3274" s="174" t="n">
        <v>48195</v>
      </c>
      <c r="C3274" s="174" t="n">
        <v>1410</v>
      </c>
      <c r="D3274" s="174" t="n">
        <v>9</v>
      </c>
      <c r="E3274" s="175" t="inlineStr">
        <is>
          <t>1410/09/22</t>
        </is>
      </c>
      <c r="F3274" s="128" t="inlineStr">
        <is>
          <t>1410/09</t>
        </is>
      </c>
      <c r="G3274" s="58" t="inlineStr">
        <is>
          <t>آذر</t>
        </is>
      </c>
      <c r="H3274" s="128" t="inlineStr">
        <is>
          <t>پاییز</t>
        </is>
      </c>
      <c r="I3274" s="128" t="inlineStr">
        <is>
          <t>شنبه</t>
        </is>
      </c>
      <c r="J3274" s="128" t="inlineStr">
        <is>
          <t>خیر</t>
        </is>
      </c>
    </row>
    <row r="3275">
      <c r="A3275" s="176" t="n">
        <v>48196</v>
      </c>
      <c r="B3275" s="177" t="n">
        <v>48196</v>
      </c>
      <c r="C3275" s="177" t="n">
        <v>1410</v>
      </c>
      <c r="D3275" s="177" t="n">
        <v>9</v>
      </c>
      <c r="E3275" s="178" t="inlineStr">
        <is>
          <t>1410/09/23</t>
        </is>
      </c>
      <c r="F3275" s="134" t="inlineStr">
        <is>
          <t>1410/09</t>
        </is>
      </c>
      <c r="G3275" s="61" t="inlineStr">
        <is>
          <t>آذر</t>
        </is>
      </c>
      <c r="H3275" s="134" t="inlineStr">
        <is>
          <t>پاییز</t>
        </is>
      </c>
      <c r="I3275" s="134" t="inlineStr">
        <is>
          <t>یکشنبه</t>
        </is>
      </c>
      <c r="J3275" s="134" t="inlineStr">
        <is>
          <t>خیر</t>
        </is>
      </c>
    </row>
    <row r="3276">
      <c r="A3276" s="173" t="n">
        <v>48197</v>
      </c>
      <c r="B3276" s="174" t="n">
        <v>48197</v>
      </c>
      <c r="C3276" s="174" t="n">
        <v>1410</v>
      </c>
      <c r="D3276" s="174" t="n">
        <v>9</v>
      </c>
      <c r="E3276" s="175" t="inlineStr">
        <is>
          <t>1410/09/24</t>
        </is>
      </c>
      <c r="F3276" s="128" t="inlineStr">
        <is>
          <t>1410/09</t>
        </is>
      </c>
      <c r="G3276" s="58" t="inlineStr">
        <is>
          <t>آذر</t>
        </is>
      </c>
      <c r="H3276" s="128" t="inlineStr">
        <is>
          <t>پاییز</t>
        </is>
      </c>
      <c r="I3276" s="128" t="inlineStr">
        <is>
          <t>دوشنبه</t>
        </is>
      </c>
      <c r="J3276" s="128" t="inlineStr">
        <is>
          <t>بله</t>
        </is>
      </c>
    </row>
    <row r="3277">
      <c r="A3277" s="176" t="n">
        <v>48198</v>
      </c>
      <c r="B3277" s="177" t="n">
        <v>48198</v>
      </c>
      <c r="C3277" s="177" t="n">
        <v>1410</v>
      </c>
      <c r="D3277" s="177" t="n">
        <v>9</v>
      </c>
      <c r="E3277" s="178" t="inlineStr">
        <is>
          <t>1410/09/25</t>
        </is>
      </c>
      <c r="F3277" s="134" t="inlineStr">
        <is>
          <t>1410/09</t>
        </is>
      </c>
      <c r="G3277" s="61" t="inlineStr">
        <is>
          <t>آذر</t>
        </is>
      </c>
      <c r="H3277" s="134" t="inlineStr">
        <is>
          <t>پاییز</t>
        </is>
      </c>
      <c r="I3277" s="134" t="inlineStr">
        <is>
          <t>سه‌شنبه</t>
        </is>
      </c>
      <c r="J3277" s="134" t="inlineStr">
        <is>
          <t>بله</t>
        </is>
      </c>
    </row>
    <row r="3278">
      <c r="A3278" s="173" t="n">
        <v>48199</v>
      </c>
      <c r="B3278" s="174" t="n">
        <v>48199</v>
      </c>
      <c r="C3278" s="174" t="n">
        <v>1410</v>
      </c>
      <c r="D3278" s="174" t="n">
        <v>9</v>
      </c>
      <c r="E3278" s="175" t="inlineStr">
        <is>
          <t>1410/09/26</t>
        </is>
      </c>
      <c r="F3278" s="128" t="inlineStr">
        <is>
          <t>1410/09</t>
        </is>
      </c>
      <c r="G3278" s="58" t="inlineStr">
        <is>
          <t>آذر</t>
        </is>
      </c>
      <c r="H3278" s="128" t="inlineStr">
        <is>
          <t>پاییز</t>
        </is>
      </c>
      <c r="I3278" s="128" t="inlineStr">
        <is>
          <t>چهارشنبه</t>
        </is>
      </c>
      <c r="J3278" s="128" t="inlineStr">
        <is>
          <t>بله</t>
        </is>
      </c>
    </row>
    <row r="3279">
      <c r="A3279" s="176" t="n">
        <v>48200</v>
      </c>
      <c r="B3279" s="177" t="n">
        <v>48200</v>
      </c>
      <c r="C3279" s="177" t="n">
        <v>1410</v>
      </c>
      <c r="D3279" s="177" t="n">
        <v>9</v>
      </c>
      <c r="E3279" s="178" t="inlineStr">
        <is>
          <t>1410/09/27</t>
        </is>
      </c>
      <c r="F3279" s="134" t="inlineStr">
        <is>
          <t>1410/09</t>
        </is>
      </c>
      <c r="G3279" s="61" t="inlineStr">
        <is>
          <t>آذر</t>
        </is>
      </c>
      <c r="H3279" s="134" t="inlineStr">
        <is>
          <t>پاییز</t>
        </is>
      </c>
      <c r="I3279" s="134" t="inlineStr">
        <is>
          <t>پنجشنبه</t>
        </is>
      </c>
      <c r="J3279" s="134" t="inlineStr">
        <is>
          <t>بله</t>
        </is>
      </c>
    </row>
    <row r="3280">
      <c r="A3280" s="173" t="n">
        <v>48201</v>
      </c>
      <c r="B3280" s="174" t="n">
        <v>48201</v>
      </c>
      <c r="C3280" s="174" t="n">
        <v>1410</v>
      </c>
      <c r="D3280" s="174" t="n">
        <v>9</v>
      </c>
      <c r="E3280" s="175" t="inlineStr">
        <is>
          <t>1410/09/28</t>
        </is>
      </c>
      <c r="F3280" s="128" t="inlineStr">
        <is>
          <t>1410/09</t>
        </is>
      </c>
      <c r="G3280" s="58" t="inlineStr">
        <is>
          <t>آذر</t>
        </is>
      </c>
      <c r="H3280" s="128" t="inlineStr">
        <is>
          <t>پاییز</t>
        </is>
      </c>
      <c r="I3280" s="128" t="inlineStr">
        <is>
          <t>جمعه</t>
        </is>
      </c>
      <c r="J3280" s="128" t="inlineStr">
        <is>
          <t>بله</t>
        </is>
      </c>
    </row>
    <row r="3281">
      <c r="A3281" s="176" t="n">
        <v>48202</v>
      </c>
      <c r="B3281" s="177" t="n">
        <v>48202</v>
      </c>
      <c r="C3281" s="177" t="n">
        <v>1410</v>
      </c>
      <c r="D3281" s="177" t="n">
        <v>9</v>
      </c>
      <c r="E3281" s="178" t="inlineStr">
        <is>
          <t>1410/09/29</t>
        </is>
      </c>
      <c r="F3281" s="134" t="inlineStr">
        <is>
          <t>1410/09</t>
        </is>
      </c>
      <c r="G3281" s="61" t="inlineStr">
        <is>
          <t>آذر</t>
        </is>
      </c>
      <c r="H3281" s="134" t="inlineStr">
        <is>
          <t>پاییز</t>
        </is>
      </c>
      <c r="I3281" s="134" t="inlineStr">
        <is>
          <t>شنبه</t>
        </is>
      </c>
      <c r="J3281" s="134" t="inlineStr">
        <is>
          <t>خیر</t>
        </is>
      </c>
    </row>
    <row r="3282">
      <c r="A3282" s="173" t="n">
        <v>48203</v>
      </c>
      <c r="B3282" s="174" t="n">
        <v>48203</v>
      </c>
      <c r="C3282" s="174" t="n">
        <v>1410</v>
      </c>
      <c r="D3282" s="174" t="n">
        <v>9</v>
      </c>
      <c r="E3282" s="175" t="inlineStr">
        <is>
          <t>1410/09/30</t>
        </is>
      </c>
      <c r="F3282" s="128" t="inlineStr">
        <is>
          <t>1410/09</t>
        </is>
      </c>
      <c r="G3282" s="58" t="inlineStr">
        <is>
          <t>آذر</t>
        </is>
      </c>
      <c r="H3282" s="128" t="inlineStr">
        <is>
          <t>پاییز</t>
        </is>
      </c>
      <c r="I3282" s="128" t="inlineStr">
        <is>
          <t>یکشنبه</t>
        </is>
      </c>
      <c r="J3282" s="128" t="inlineStr">
        <is>
          <t>خیر</t>
        </is>
      </c>
    </row>
    <row r="3283">
      <c r="A3283" s="176" t="n">
        <v>48204</v>
      </c>
      <c r="B3283" s="177" t="n">
        <v>48204</v>
      </c>
      <c r="C3283" s="177" t="n">
        <v>1410</v>
      </c>
      <c r="D3283" s="177" t="n">
        <v>10</v>
      </c>
      <c r="E3283" s="178" t="inlineStr">
        <is>
          <t>1410/10/01</t>
        </is>
      </c>
      <c r="F3283" s="134" t="inlineStr">
        <is>
          <t>1410/10</t>
        </is>
      </c>
      <c r="G3283" s="61" t="inlineStr">
        <is>
          <t>دی</t>
        </is>
      </c>
      <c r="H3283" s="134" t="inlineStr">
        <is>
          <t>زمستان</t>
        </is>
      </c>
      <c r="I3283" s="134" t="inlineStr">
        <is>
          <t>دوشنبه</t>
        </is>
      </c>
      <c r="J3283" s="134" t="inlineStr">
        <is>
          <t>بله</t>
        </is>
      </c>
    </row>
    <row r="3284">
      <c r="A3284" s="173" t="n">
        <v>48205</v>
      </c>
      <c r="B3284" s="174" t="n">
        <v>48205</v>
      </c>
      <c r="C3284" s="174" t="n">
        <v>1410</v>
      </c>
      <c r="D3284" s="174" t="n">
        <v>10</v>
      </c>
      <c r="E3284" s="175" t="inlineStr">
        <is>
          <t>1410/10/02</t>
        </is>
      </c>
      <c r="F3284" s="128" t="inlineStr">
        <is>
          <t>1410/10</t>
        </is>
      </c>
      <c r="G3284" s="58" t="inlineStr">
        <is>
          <t>دی</t>
        </is>
      </c>
      <c r="H3284" s="128" t="inlineStr">
        <is>
          <t>زمستان</t>
        </is>
      </c>
      <c r="I3284" s="128" t="inlineStr">
        <is>
          <t>سه‌شنبه</t>
        </is>
      </c>
      <c r="J3284" s="128" t="inlineStr">
        <is>
          <t>بله</t>
        </is>
      </c>
    </row>
    <row r="3285">
      <c r="A3285" s="176" t="n">
        <v>48206</v>
      </c>
      <c r="B3285" s="177" t="n">
        <v>48206</v>
      </c>
      <c r="C3285" s="177" t="n">
        <v>1410</v>
      </c>
      <c r="D3285" s="177" t="n">
        <v>10</v>
      </c>
      <c r="E3285" s="178" t="inlineStr">
        <is>
          <t>1410/10/03</t>
        </is>
      </c>
      <c r="F3285" s="134" t="inlineStr">
        <is>
          <t>1410/10</t>
        </is>
      </c>
      <c r="G3285" s="61" t="inlineStr">
        <is>
          <t>دی</t>
        </is>
      </c>
      <c r="H3285" s="134" t="inlineStr">
        <is>
          <t>زمستان</t>
        </is>
      </c>
      <c r="I3285" s="134" t="inlineStr">
        <is>
          <t>چهارشنبه</t>
        </is>
      </c>
      <c r="J3285" s="134" t="inlineStr">
        <is>
          <t>بله</t>
        </is>
      </c>
    </row>
    <row r="3286">
      <c r="A3286" s="173" t="n">
        <v>48207</v>
      </c>
      <c r="B3286" s="174" t="n">
        <v>48207</v>
      </c>
      <c r="C3286" s="174" t="n">
        <v>1410</v>
      </c>
      <c r="D3286" s="174" t="n">
        <v>10</v>
      </c>
      <c r="E3286" s="175" t="inlineStr">
        <is>
          <t>1410/10/04</t>
        </is>
      </c>
      <c r="F3286" s="128" t="inlineStr">
        <is>
          <t>1410/10</t>
        </is>
      </c>
      <c r="G3286" s="58" t="inlineStr">
        <is>
          <t>دی</t>
        </is>
      </c>
      <c r="H3286" s="128" t="inlineStr">
        <is>
          <t>زمستان</t>
        </is>
      </c>
      <c r="I3286" s="128" t="inlineStr">
        <is>
          <t>پنجشنبه</t>
        </is>
      </c>
      <c r="J3286" s="128" t="inlineStr">
        <is>
          <t>بله</t>
        </is>
      </c>
    </row>
    <row r="3287">
      <c r="A3287" s="176" t="n">
        <v>48208</v>
      </c>
      <c r="B3287" s="177" t="n">
        <v>48208</v>
      </c>
      <c r="C3287" s="177" t="n">
        <v>1410</v>
      </c>
      <c r="D3287" s="177" t="n">
        <v>10</v>
      </c>
      <c r="E3287" s="178" t="inlineStr">
        <is>
          <t>1410/10/05</t>
        </is>
      </c>
      <c r="F3287" s="134" t="inlineStr">
        <is>
          <t>1410/10</t>
        </is>
      </c>
      <c r="G3287" s="61" t="inlineStr">
        <is>
          <t>دی</t>
        </is>
      </c>
      <c r="H3287" s="134" t="inlineStr">
        <is>
          <t>زمستان</t>
        </is>
      </c>
      <c r="I3287" s="134" t="inlineStr">
        <is>
          <t>جمعه</t>
        </is>
      </c>
      <c r="J3287" s="134" t="inlineStr">
        <is>
          <t>بله</t>
        </is>
      </c>
    </row>
    <row r="3288">
      <c r="A3288" s="173" t="n">
        <v>48209</v>
      </c>
      <c r="B3288" s="174" t="n">
        <v>48209</v>
      </c>
      <c r="C3288" s="174" t="n">
        <v>1410</v>
      </c>
      <c r="D3288" s="174" t="n">
        <v>10</v>
      </c>
      <c r="E3288" s="175" t="inlineStr">
        <is>
          <t>1410/10/06</t>
        </is>
      </c>
      <c r="F3288" s="128" t="inlineStr">
        <is>
          <t>1410/10</t>
        </is>
      </c>
      <c r="G3288" s="58" t="inlineStr">
        <is>
          <t>دی</t>
        </is>
      </c>
      <c r="H3288" s="128" t="inlineStr">
        <is>
          <t>زمستان</t>
        </is>
      </c>
      <c r="I3288" s="128" t="inlineStr">
        <is>
          <t>شنبه</t>
        </is>
      </c>
      <c r="J3288" s="128" t="inlineStr">
        <is>
          <t>خیر</t>
        </is>
      </c>
    </row>
    <row r="3289">
      <c r="A3289" s="176" t="n">
        <v>48210</v>
      </c>
      <c r="B3289" s="177" t="n">
        <v>48210</v>
      </c>
      <c r="C3289" s="177" t="n">
        <v>1410</v>
      </c>
      <c r="D3289" s="177" t="n">
        <v>10</v>
      </c>
      <c r="E3289" s="178" t="inlineStr">
        <is>
          <t>1410/10/07</t>
        </is>
      </c>
      <c r="F3289" s="134" t="inlineStr">
        <is>
          <t>1410/10</t>
        </is>
      </c>
      <c r="G3289" s="61" t="inlineStr">
        <is>
          <t>دی</t>
        </is>
      </c>
      <c r="H3289" s="134" t="inlineStr">
        <is>
          <t>زمستان</t>
        </is>
      </c>
      <c r="I3289" s="134" t="inlineStr">
        <is>
          <t>یکشنبه</t>
        </is>
      </c>
      <c r="J3289" s="134" t="inlineStr">
        <is>
          <t>خیر</t>
        </is>
      </c>
    </row>
    <row r="3290">
      <c r="A3290" s="173" t="n">
        <v>48211</v>
      </c>
      <c r="B3290" s="174" t="n">
        <v>48211</v>
      </c>
      <c r="C3290" s="174" t="n">
        <v>1410</v>
      </c>
      <c r="D3290" s="174" t="n">
        <v>10</v>
      </c>
      <c r="E3290" s="175" t="inlineStr">
        <is>
          <t>1410/10/08</t>
        </is>
      </c>
      <c r="F3290" s="128" t="inlineStr">
        <is>
          <t>1410/10</t>
        </is>
      </c>
      <c r="G3290" s="58" t="inlineStr">
        <is>
          <t>دی</t>
        </is>
      </c>
      <c r="H3290" s="128" t="inlineStr">
        <is>
          <t>زمستان</t>
        </is>
      </c>
      <c r="I3290" s="128" t="inlineStr">
        <is>
          <t>دوشنبه</t>
        </is>
      </c>
      <c r="J3290" s="128" t="inlineStr">
        <is>
          <t>بله</t>
        </is>
      </c>
    </row>
    <row r="3291">
      <c r="A3291" s="176" t="n">
        <v>48212</v>
      </c>
      <c r="B3291" s="177" t="n">
        <v>48212</v>
      </c>
      <c r="C3291" s="177" t="n">
        <v>1410</v>
      </c>
      <c r="D3291" s="177" t="n">
        <v>10</v>
      </c>
      <c r="E3291" s="178" t="inlineStr">
        <is>
          <t>1410/10/09</t>
        </is>
      </c>
      <c r="F3291" s="134" t="inlineStr">
        <is>
          <t>1410/10</t>
        </is>
      </c>
      <c r="G3291" s="61" t="inlineStr">
        <is>
          <t>دی</t>
        </is>
      </c>
      <c r="H3291" s="134" t="inlineStr">
        <is>
          <t>زمستان</t>
        </is>
      </c>
      <c r="I3291" s="134" t="inlineStr">
        <is>
          <t>سه‌شنبه</t>
        </is>
      </c>
      <c r="J3291" s="134" t="inlineStr">
        <is>
          <t>بله</t>
        </is>
      </c>
    </row>
    <row r="3292">
      <c r="A3292" s="173" t="n">
        <v>48213</v>
      </c>
      <c r="B3292" s="174" t="n">
        <v>48213</v>
      </c>
      <c r="C3292" s="174" t="n">
        <v>1410</v>
      </c>
      <c r="D3292" s="174" t="n">
        <v>10</v>
      </c>
      <c r="E3292" s="175" t="inlineStr">
        <is>
          <t>1410/10/10</t>
        </is>
      </c>
      <c r="F3292" s="128" t="inlineStr">
        <is>
          <t>1410/10</t>
        </is>
      </c>
      <c r="G3292" s="58" t="inlineStr">
        <is>
          <t>دی</t>
        </is>
      </c>
      <c r="H3292" s="128" t="inlineStr">
        <is>
          <t>زمستان</t>
        </is>
      </c>
      <c r="I3292" s="128" t="inlineStr">
        <is>
          <t>چهارشنبه</t>
        </is>
      </c>
      <c r="J3292" s="128" t="inlineStr">
        <is>
          <t>بله</t>
        </is>
      </c>
    </row>
    <row r="3293">
      <c r="A3293" s="176" t="n">
        <v>48214</v>
      </c>
      <c r="B3293" s="177" t="n">
        <v>48214</v>
      </c>
      <c r="C3293" s="177" t="n">
        <v>1410</v>
      </c>
      <c r="D3293" s="177" t="n">
        <v>10</v>
      </c>
      <c r="E3293" s="178" t="inlineStr">
        <is>
          <t>1410/10/11</t>
        </is>
      </c>
      <c r="F3293" s="134" t="inlineStr">
        <is>
          <t>1410/10</t>
        </is>
      </c>
      <c r="G3293" s="61" t="inlineStr">
        <is>
          <t>دی</t>
        </is>
      </c>
      <c r="H3293" s="134" t="inlineStr">
        <is>
          <t>زمستان</t>
        </is>
      </c>
      <c r="I3293" s="134" t="inlineStr">
        <is>
          <t>پنجشنبه</t>
        </is>
      </c>
      <c r="J3293" s="134" t="inlineStr">
        <is>
          <t>بله</t>
        </is>
      </c>
    </row>
    <row r="3294">
      <c r="A3294" s="173" t="n">
        <v>48215</v>
      </c>
      <c r="B3294" s="174" t="n">
        <v>48215</v>
      </c>
      <c r="C3294" s="174" t="n">
        <v>1410</v>
      </c>
      <c r="D3294" s="174" t="n">
        <v>10</v>
      </c>
      <c r="E3294" s="175" t="inlineStr">
        <is>
          <t>1410/10/12</t>
        </is>
      </c>
      <c r="F3294" s="128" t="inlineStr">
        <is>
          <t>1410/10</t>
        </is>
      </c>
      <c r="G3294" s="58" t="inlineStr">
        <is>
          <t>دی</t>
        </is>
      </c>
      <c r="H3294" s="128" t="inlineStr">
        <is>
          <t>زمستان</t>
        </is>
      </c>
      <c r="I3294" s="128" t="inlineStr">
        <is>
          <t>جمعه</t>
        </is>
      </c>
      <c r="J3294" s="128" t="inlineStr">
        <is>
          <t>بله</t>
        </is>
      </c>
    </row>
    <row r="3295">
      <c r="A3295" s="176" t="n">
        <v>48216</v>
      </c>
      <c r="B3295" s="177" t="n">
        <v>48216</v>
      </c>
      <c r="C3295" s="177" t="n">
        <v>1410</v>
      </c>
      <c r="D3295" s="177" t="n">
        <v>10</v>
      </c>
      <c r="E3295" s="178" t="inlineStr">
        <is>
          <t>1410/10/13</t>
        </is>
      </c>
      <c r="F3295" s="134" t="inlineStr">
        <is>
          <t>1410/10</t>
        </is>
      </c>
      <c r="G3295" s="61" t="inlineStr">
        <is>
          <t>دی</t>
        </is>
      </c>
      <c r="H3295" s="134" t="inlineStr">
        <is>
          <t>زمستان</t>
        </is>
      </c>
      <c r="I3295" s="134" t="inlineStr">
        <is>
          <t>شنبه</t>
        </is>
      </c>
      <c r="J3295" s="134" t="inlineStr">
        <is>
          <t>خیر</t>
        </is>
      </c>
    </row>
    <row r="3296">
      <c r="A3296" s="173" t="n">
        <v>48217</v>
      </c>
      <c r="B3296" s="174" t="n">
        <v>48217</v>
      </c>
      <c r="C3296" s="174" t="n">
        <v>1410</v>
      </c>
      <c r="D3296" s="174" t="n">
        <v>10</v>
      </c>
      <c r="E3296" s="175" t="inlineStr">
        <is>
          <t>1410/10/14</t>
        </is>
      </c>
      <c r="F3296" s="128" t="inlineStr">
        <is>
          <t>1410/10</t>
        </is>
      </c>
      <c r="G3296" s="58" t="inlineStr">
        <is>
          <t>دی</t>
        </is>
      </c>
      <c r="H3296" s="128" t="inlineStr">
        <is>
          <t>زمستان</t>
        </is>
      </c>
      <c r="I3296" s="128" t="inlineStr">
        <is>
          <t>یکشنبه</t>
        </is>
      </c>
      <c r="J3296" s="128" t="inlineStr">
        <is>
          <t>خیر</t>
        </is>
      </c>
    </row>
    <row r="3297">
      <c r="A3297" s="176" t="n">
        <v>48218</v>
      </c>
      <c r="B3297" s="177" t="n">
        <v>48218</v>
      </c>
      <c r="C3297" s="177" t="n">
        <v>1410</v>
      </c>
      <c r="D3297" s="177" t="n">
        <v>10</v>
      </c>
      <c r="E3297" s="178" t="inlineStr">
        <is>
          <t>1410/10/15</t>
        </is>
      </c>
      <c r="F3297" s="134" t="inlineStr">
        <is>
          <t>1410/10</t>
        </is>
      </c>
      <c r="G3297" s="61" t="inlineStr">
        <is>
          <t>دی</t>
        </is>
      </c>
      <c r="H3297" s="134" t="inlineStr">
        <is>
          <t>زمستان</t>
        </is>
      </c>
      <c r="I3297" s="134" t="inlineStr">
        <is>
          <t>دوشنبه</t>
        </is>
      </c>
      <c r="J3297" s="134" t="inlineStr">
        <is>
          <t>بله</t>
        </is>
      </c>
    </row>
    <row r="3298">
      <c r="A3298" s="173" t="n">
        <v>48219</v>
      </c>
      <c r="B3298" s="174" t="n">
        <v>48219</v>
      </c>
      <c r="C3298" s="174" t="n">
        <v>1410</v>
      </c>
      <c r="D3298" s="174" t="n">
        <v>10</v>
      </c>
      <c r="E3298" s="175" t="inlineStr">
        <is>
          <t>1410/10/16</t>
        </is>
      </c>
      <c r="F3298" s="128" t="inlineStr">
        <is>
          <t>1410/10</t>
        </is>
      </c>
      <c r="G3298" s="58" t="inlineStr">
        <is>
          <t>دی</t>
        </is>
      </c>
      <c r="H3298" s="128" t="inlineStr">
        <is>
          <t>زمستان</t>
        </is>
      </c>
      <c r="I3298" s="128" t="inlineStr">
        <is>
          <t>سه‌شنبه</t>
        </is>
      </c>
      <c r="J3298" s="128" t="inlineStr">
        <is>
          <t>بله</t>
        </is>
      </c>
    </row>
    <row r="3299">
      <c r="A3299" s="176" t="n">
        <v>48220</v>
      </c>
      <c r="B3299" s="177" t="n">
        <v>48220</v>
      </c>
      <c r="C3299" s="177" t="n">
        <v>1410</v>
      </c>
      <c r="D3299" s="177" t="n">
        <v>10</v>
      </c>
      <c r="E3299" s="178" t="inlineStr">
        <is>
          <t>1410/10/17</t>
        </is>
      </c>
      <c r="F3299" s="134" t="inlineStr">
        <is>
          <t>1410/10</t>
        </is>
      </c>
      <c r="G3299" s="61" t="inlineStr">
        <is>
          <t>دی</t>
        </is>
      </c>
      <c r="H3299" s="134" t="inlineStr">
        <is>
          <t>زمستان</t>
        </is>
      </c>
      <c r="I3299" s="134" t="inlineStr">
        <is>
          <t>چهارشنبه</t>
        </is>
      </c>
      <c r="J3299" s="134" t="inlineStr">
        <is>
          <t>بله</t>
        </is>
      </c>
    </row>
    <row r="3300">
      <c r="A3300" s="173" t="n">
        <v>48221</v>
      </c>
      <c r="B3300" s="174" t="n">
        <v>48221</v>
      </c>
      <c r="C3300" s="174" t="n">
        <v>1410</v>
      </c>
      <c r="D3300" s="174" t="n">
        <v>10</v>
      </c>
      <c r="E3300" s="175" t="inlineStr">
        <is>
          <t>1410/10/18</t>
        </is>
      </c>
      <c r="F3300" s="128" t="inlineStr">
        <is>
          <t>1410/10</t>
        </is>
      </c>
      <c r="G3300" s="58" t="inlineStr">
        <is>
          <t>دی</t>
        </is>
      </c>
      <c r="H3300" s="128" t="inlineStr">
        <is>
          <t>زمستان</t>
        </is>
      </c>
      <c r="I3300" s="128" t="inlineStr">
        <is>
          <t>پنجشنبه</t>
        </is>
      </c>
      <c r="J3300" s="128" t="inlineStr">
        <is>
          <t>بله</t>
        </is>
      </c>
    </row>
    <row r="3301">
      <c r="A3301" s="176" t="n">
        <v>48222</v>
      </c>
      <c r="B3301" s="177" t="n">
        <v>48222</v>
      </c>
      <c r="C3301" s="177" t="n">
        <v>1410</v>
      </c>
      <c r="D3301" s="177" t="n">
        <v>10</v>
      </c>
      <c r="E3301" s="178" t="inlineStr">
        <is>
          <t>1410/10/19</t>
        </is>
      </c>
      <c r="F3301" s="134" t="inlineStr">
        <is>
          <t>1410/10</t>
        </is>
      </c>
      <c r="G3301" s="61" t="inlineStr">
        <is>
          <t>دی</t>
        </is>
      </c>
      <c r="H3301" s="134" t="inlineStr">
        <is>
          <t>زمستان</t>
        </is>
      </c>
      <c r="I3301" s="134" t="inlineStr">
        <is>
          <t>جمعه</t>
        </is>
      </c>
      <c r="J3301" s="134" t="inlineStr">
        <is>
          <t>بله</t>
        </is>
      </c>
    </row>
    <row r="3302">
      <c r="A3302" s="173" t="n">
        <v>48223</v>
      </c>
      <c r="B3302" s="174" t="n">
        <v>48223</v>
      </c>
      <c r="C3302" s="174" t="n">
        <v>1410</v>
      </c>
      <c r="D3302" s="174" t="n">
        <v>10</v>
      </c>
      <c r="E3302" s="175" t="inlineStr">
        <is>
          <t>1410/10/20</t>
        </is>
      </c>
      <c r="F3302" s="128" t="inlineStr">
        <is>
          <t>1410/10</t>
        </is>
      </c>
      <c r="G3302" s="58" t="inlineStr">
        <is>
          <t>دی</t>
        </is>
      </c>
      <c r="H3302" s="128" t="inlineStr">
        <is>
          <t>زمستان</t>
        </is>
      </c>
      <c r="I3302" s="128" t="inlineStr">
        <is>
          <t>شنبه</t>
        </is>
      </c>
      <c r="J3302" s="128" t="inlineStr">
        <is>
          <t>خیر</t>
        </is>
      </c>
    </row>
    <row r="3303">
      <c r="A3303" s="176" t="n">
        <v>48224</v>
      </c>
      <c r="B3303" s="177" t="n">
        <v>48224</v>
      </c>
      <c r="C3303" s="177" t="n">
        <v>1410</v>
      </c>
      <c r="D3303" s="177" t="n">
        <v>10</v>
      </c>
      <c r="E3303" s="178" t="inlineStr">
        <is>
          <t>1410/10/21</t>
        </is>
      </c>
      <c r="F3303" s="134" t="inlineStr">
        <is>
          <t>1410/10</t>
        </is>
      </c>
      <c r="G3303" s="61" t="inlineStr">
        <is>
          <t>دی</t>
        </is>
      </c>
      <c r="H3303" s="134" t="inlineStr">
        <is>
          <t>زمستان</t>
        </is>
      </c>
      <c r="I3303" s="134" t="inlineStr">
        <is>
          <t>یکشنبه</t>
        </is>
      </c>
      <c r="J3303" s="134" t="inlineStr">
        <is>
          <t>خیر</t>
        </is>
      </c>
    </row>
    <row r="3304">
      <c r="A3304" s="173" t="n">
        <v>48225</v>
      </c>
      <c r="B3304" s="174" t="n">
        <v>48225</v>
      </c>
      <c r="C3304" s="174" t="n">
        <v>1410</v>
      </c>
      <c r="D3304" s="174" t="n">
        <v>10</v>
      </c>
      <c r="E3304" s="175" t="inlineStr">
        <is>
          <t>1410/10/22</t>
        </is>
      </c>
      <c r="F3304" s="128" t="inlineStr">
        <is>
          <t>1410/10</t>
        </is>
      </c>
      <c r="G3304" s="58" t="inlineStr">
        <is>
          <t>دی</t>
        </is>
      </c>
      <c r="H3304" s="128" t="inlineStr">
        <is>
          <t>زمستان</t>
        </is>
      </c>
      <c r="I3304" s="128" t="inlineStr">
        <is>
          <t>دوشنبه</t>
        </is>
      </c>
      <c r="J3304" s="128" t="inlineStr">
        <is>
          <t>بله</t>
        </is>
      </c>
    </row>
    <row r="3305">
      <c r="A3305" s="176" t="n">
        <v>48226</v>
      </c>
      <c r="B3305" s="177" t="n">
        <v>48226</v>
      </c>
      <c r="C3305" s="177" t="n">
        <v>1410</v>
      </c>
      <c r="D3305" s="177" t="n">
        <v>10</v>
      </c>
      <c r="E3305" s="178" t="inlineStr">
        <is>
          <t>1410/10/23</t>
        </is>
      </c>
      <c r="F3305" s="134" t="inlineStr">
        <is>
          <t>1410/10</t>
        </is>
      </c>
      <c r="G3305" s="61" t="inlineStr">
        <is>
          <t>دی</t>
        </is>
      </c>
      <c r="H3305" s="134" t="inlineStr">
        <is>
          <t>زمستان</t>
        </is>
      </c>
      <c r="I3305" s="134" t="inlineStr">
        <is>
          <t>سه‌شنبه</t>
        </is>
      </c>
      <c r="J3305" s="134" t="inlineStr">
        <is>
          <t>بله</t>
        </is>
      </c>
    </row>
    <row r="3306">
      <c r="A3306" s="173" t="n">
        <v>48227</v>
      </c>
      <c r="B3306" s="174" t="n">
        <v>48227</v>
      </c>
      <c r="C3306" s="174" t="n">
        <v>1410</v>
      </c>
      <c r="D3306" s="174" t="n">
        <v>10</v>
      </c>
      <c r="E3306" s="175" t="inlineStr">
        <is>
          <t>1410/10/24</t>
        </is>
      </c>
      <c r="F3306" s="128" t="inlineStr">
        <is>
          <t>1410/10</t>
        </is>
      </c>
      <c r="G3306" s="58" t="inlineStr">
        <is>
          <t>دی</t>
        </is>
      </c>
      <c r="H3306" s="128" t="inlineStr">
        <is>
          <t>زمستان</t>
        </is>
      </c>
      <c r="I3306" s="128" t="inlineStr">
        <is>
          <t>چهارشنبه</t>
        </is>
      </c>
      <c r="J3306" s="128" t="inlineStr">
        <is>
          <t>بله</t>
        </is>
      </c>
    </row>
    <row r="3307">
      <c r="A3307" s="176" t="n">
        <v>48228</v>
      </c>
      <c r="B3307" s="177" t="n">
        <v>48228</v>
      </c>
      <c r="C3307" s="177" t="n">
        <v>1410</v>
      </c>
      <c r="D3307" s="177" t="n">
        <v>10</v>
      </c>
      <c r="E3307" s="178" t="inlineStr">
        <is>
          <t>1410/10/25</t>
        </is>
      </c>
      <c r="F3307" s="134" t="inlineStr">
        <is>
          <t>1410/10</t>
        </is>
      </c>
      <c r="G3307" s="61" t="inlineStr">
        <is>
          <t>دی</t>
        </is>
      </c>
      <c r="H3307" s="134" t="inlineStr">
        <is>
          <t>زمستان</t>
        </is>
      </c>
      <c r="I3307" s="134" t="inlineStr">
        <is>
          <t>پنجشنبه</t>
        </is>
      </c>
      <c r="J3307" s="134" t="inlineStr">
        <is>
          <t>بله</t>
        </is>
      </c>
    </row>
    <row r="3308">
      <c r="A3308" s="173" t="n">
        <v>48229</v>
      </c>
      <c r="B3308" s="174" t="n">
        <v>48229</v>
      </c>
      <c r="C3308" s="174" t="n">
        <v>1410</v>
      </c>
      <c r="D3308" s="174" t="n">
        <v>10</v>
      </c>
      <c r="E3308" s="175" t="inlineStr">
        <is>
          <t>1410/10/26</t>
        </is>
      </c>
      <c r="F3308" s="128" t="inlineStr">
        <is>
          <t>1410/10</t>
        </is>
      </c>
      <c r="G3308" s="58" t="inlineStr">
        <is>
          <t>دی</t>
        </is>
      </c>
      <c r="H3308" s="128" t="inlineStr">
        <is>
          <t>زمستان</t>
        </is>
      </c>
      <c r="I3308" s="128" t="inlineStr">
        <is>
          <t>جمعه</t>
        </is>
      </c>
      <c r="J3308" s="128" t="inlineStr">
        <is>
          <t>بله</t>
        </is>
      </c>
    </row>
    <row r="3309">
      <c r="A3309" s="176" t="n">
        <v>48230</v>
      </c>
      <c r="B3309" s="177" t="n">
        <v>48230</v>
      </c>
      <c r="C3309" s="177" t="n">
        <v>1410</v>
      </c>
      <c r="D3309" s="177" t="n">
        <v>10</v>
      </c>
      <c r="E3309" s="178" t="inlineStr">
        <is>
          <t>1410/10/27</t>
        </is>
      </c>
      <c r="F3309" s="134" t="inlineStr">
        <is>
          <t>1410/10</t>
        </is>
      </c>
      <c r="G3309" s="61" t="inlineStr">
        <is>
          <t>دی</t>
        </is>
      </c>
      <c r="H3309" s="134" t="inlineStr">
        <is>
          <t>زمستان</t>
        </is>
      </c>
      <c r="I3309" s="134" t="inlineStr">
        <is>
          <t>شنبه</t>
        </is>
      </c>
      <c r="J3309" s="134" t="inlineStr">
        <is>
          <t>خیر</t>
        </is>
      </c>
    </row>
    <row r="3310">
      <c r="A3310" s="173" t="n">
        <v>48231</v>
      </c>
      <c r="B3310" s="174" t="n">
        <v>48231</v>
      </c>
      <c r="C3310" s="174" t="n">
        <v>1410</v>
      </c>
      <c r="D3310" s="174" t="n">
        <v>10</v>
      </c>
      <c r="E3310" s="175" t="inlineStr">
        <is>
          <t>1410/10/28</t>
        </is>
      </c>
      <c r="F3310" s="128" t="inlineStr">
        <is>
          <t>1410/10</t>
        </is>
      </c>
      <c r="G3310" s="58" t="inlineStr">
        <is>
          <t>دی</t>
        </is>
      </c>
      <c r="H3310" s="128" t="inlineStr">
        <is>
          <t>زمستان</t>
        </is>
      </c>
      <c r="I3310" s="128" t="inlineStr">
        <is>
          <t>یکشنبه</t>
        </is>
      </c>
      <c r="J3310" s="128" t="inlineStr">
        <is>
          <t>خیر</t>
        </is>
      </c>
    </row>
    <row r="3311">
      <c r="A3311" s="176" t="n">
        <v>48232</v>
      </c>
      <c r="B3311" s="177" t="n">
        <v>48232</v>
      </c>
      <c r="C3311" s="177" t="n">
        <v>1410</v>
      </c>
      <c r="D3311" s="177" t="n">
        <v>10</v>
      </c>
      <c r="E3311" s="178" t="inlineStr">
        <is>
          <t>1410/10/29</t>
        </is>
      </c>
      <c r="F3311" s="134" t="inlineStr">
        <is>
          <t>1410/10</t>
        </is>
      </c>
      <c r="G3311" s="61" t="inlineStr">
        <is>
          <t>دی</t>
        </is>
      </c>
      <c r="H3311" s="134" t="inlineStr">
        <is>
          <t>زمستان</t>
        </is>
      </c>
      <c r="I3311" s="134" t="inlineStr">
        <is>
          <t>دوشنبه</t>
        </is>
      </c>
      <c r="J3311" s="134" t="inlineStr">
        <is>
          <t>بله</t>
        </is>
      </c>
    </row>
    <row r="3312">
      <c r="A3312" s="173" t="n">
        <v>48233</v>
      </c>
      <c r="B3312" s="174" t="n">
        <v>48233</v>
      </c>
      <c r="C3312" s="174" t="n">
        <v>1410</v>
      </c>
      <c r="D3312" s="174" t="n">
        <v>10</v>
      </c>
      <c r="E3312" s="175" t="inlineStr">
        <is>
          <t>1410/10/30</t>
        </is>
      </c>
      <c r="F3312" s="128" t="inlineStr">
        <is>
          <t>1410/10</t>
        </is>
      </c>
      <c r="G3312" s="58" t="inlineStr">
        <is>
          <t>دی</t>
        </is>
      </c>
      <c r="H3312" s="128" t="inlineStr">
        <is>
          <t>زمستان</t>
        </is>
      </c>
      <c r="I3312" s="128" t="inlineStr">
        <is>
          <t>سه‌شنبه</t>
        </is>
      </c>
      <c r="J3312" s="128" t="inlineStr">
        <is>
          <t>بله</t>
        </is>
      </c>
    </row>
    <row r="3313">
      <c r="A3313" s="176" t="n">
        <v>48234</v>
      </c>
      <c r="B3313" s="177" t="n">
        <v>48234</v>
      </c>
      <c r="C3313" s="177" t="n">
        <v>1410</v>
      </c>
      <c r="D3313" s="177" t="n">
        <v>11</v>
      </c>
      <c r="E3313" s="178" t="inlineStr">
        <is>
          <t>1410/11/01</t>
        </is>
      </c>
      <c r="F3313" s="134" t="inlineStr">
        <is>
          <t>1410/11</t>
        </is>
      </c>
      <c r="G3313" s="61" t="inlineStr">
        <is>
          <t>بهمن</t>
        </is>
      </c>
      <c r="H3313" s="134" t="inlineStr">
        <is>
          <t>زمستان</t>
        </is>
      </c>
      <c r="I3313" s="134" t="inlineStr">
        <is>
          <t>چهارشنبه</t>
        </is>
      </c>
      <c r="J3313" s="134" t="inlineStr">
        <is>
          <t>بله</t>
        </is>
      </c>
    </row>
    <row r="3314">
      <c r="A3314" s="173" t="n">
        <v>48235</v>
      </c>
      <c r="B3314" s="174" t="n">
        <v>48235</v>
      </c>
      <c r="C3314" s="174" t="n">
        <v>1410</v>
      </c>
      <c r="D3314" s="174" t="n">
        <v>11</v>
      </c>
      <c r="E3314" s="175" t="inlineStr">
        <is>
          <t>1410/11/02</t>
        </is>
      </c>
      <c r="F3314" s="128" t="inlineStr">
        <is>
          <t>1410/11</t>
        </is>
      </c>
      <c r="G3314" s="58" t="inlineStr">
        <is>
          <t>بهمن</t>
        </is>
      </c>
      <c r="H3314" s="128" t="inlineStr">
        <is>
          <t>زمستان</t>
        </is>
      </c>
      <c r="I3314" s="128" t="inlineStr">
        <is>
          <t>پنجشنبه</t>
        </is>
      </c>
      <c r="J3314" s="128" t="inlineStr">
        <is>
          <t>بله</t>
        </is>
      </c>
    </row>
    <row r="3315">
      <c r="A3315" s="176" t="n">
        <v>48236</v>
      </c>
      <c r="B3315" s="177" t="n">
        <v>48236</v>
      </c>
      <c r="C3315" s="177" t="n">
        <v>1410</v>
      </c>
      <c r="D3315" s="177" t="n">
        <v>11</v>
      </c>
      <c r="E3315" s="178" t="inlineStr">
        <is>
          <t>1410/11/03</t>
        </is>
      </c>
      <c r="F3315" s="134" t="inlineStr">
        <is>
          <t>1410/11</t>
        </is>
      </c>
      <c r="G3315" s="61" t="inlineStr">
        <is>
          <t>بهمن</t>
        </is>
      </c>
      <c r="H3315" s="134" t="inlineStr">
        <is>
          <t>زمستان</t>
        </is>
      </c>
      <c r="I3315" s="134" t="inlineStr">
        <is>
          <t>جمعه</t>
        </is>
      </c>
      <c r="J3315" s="134" t="inlineStr">
        <is>
          <t>بله</t>
        </is>
      </c>
    </row>
    <row r="3316">
      <c r="A3316" s="173" t="n">
        <v>48237</v>
      </c>
      <c r="B3316" s="174" t="n">
        <v>48237</v>
      </c>
      <c r="C3316" s="174" t="n">
        <v>1410</v>
      </c>
      <c r="D3316" s="174" t="n">
        <v>11</v>
      </c>
      <c r="E3316" s="175" t="inlineStr">
        <is>
          <t>1410/11/04</t>
        </is>
      </c>
      <c r="F3316" s="128" t="inlineStr">
        <is>
          <t>1410/11</t>
        </is>
      </c>
      <c r="G3316" s="58" t="inlineStr">
        <is>
          <t>بهمن</t>
        </is>
      </c>
      <c r="H3316" s="128" t="inlineStr">
        <is>
          <t>زمستان</t>
        </is>
      </c>
      <c r="I3316" s="128" t="inlineStr">
        <is>
          <t>شنبه</t>
        </is>
      </c>
      <c r="J3316" s="128" t="inlineStr">
        <is>
          <t>خیر</t>
        </is>
      </c>
    </row>
    <row r="3317">
      <c r="A3317" s="176" t="n">
        <v>48238</v>
      </c>
      <c r="B3317" s="177" t="n">
        <v>48238</v>
      </c>
      <c r="C3317" s="177" t="n">
        <v>1410</v>
      </c>
      <c r="D3317" s="177" t="n">
        <v>11</v>
      </c>
      <c r="E3317" s="178" t="inlineStr">
        <is>
          <t>1410/11/05</t>
        </is>
      </c>
      <c r="F3317" s="134" t="inlineStr">
        <is>
          <t>1410/11</t>
        </is>
      </c>
      <c r="G3317" s="61" t="inlineStr">
        <is>
          <t>بهمن</t>
        </is>
      </c>
      <c r="H3317" s="134" t="inlineStr">
        <is>
          <t>زمستان</t>
        </is>
      </c>
      <c r="I3317" s="134" t="inlineStr">
        <is>
          <t>یکشنبه</t>
        </is>
      </c>
      <c r="J3317" s="134" t="inlineStr">
        <is>
          <t>خیر</t>
        </is>
      </c>
    </row>
    <row r="3318">
      <c r="A3318" s="173" t="n">
        <v>48239</v>
      </c>
      <c r="B3318" s="174" t="n">
        <v>48239</v>
      </c>
      <c r="C3318" s="174" t="n">
        <v>1410</v>
      </c>
      <c r="D3318" s="174" t="n">
        <v>11</v>
      </c>
      <c r="E3318" s="175" t="inlineStr">
        <is>
          <t>1410/11/06</t>
        </is>
      </c>
      <c r="F3318" s="128" t="inlineStr">
        <is>
          <t>1410/11</t>
        </is>
      </c>
      <c r="G3318" s="58" t="inlineStr">
        <is>
          <t>بهمن</t>
        </is>
      </c>
      <c r="H3318" s="128" t="inlineStr">
        <is>
          <t>زمستان</t>
        </is>
      </c>
      <c r="I3318" s="128" t="inlineStr">
        <is>
          <t>دوشنبه</t>
        </is>
      </c>
      <c r="J3318" s="128" t="inlineStr">
        <is>
          <t>بله</t>
        </is>
      </c>
    </row>
    <row r="3319">
      <c r="A3319" s="176" t="n">
        <v>48240</v>
      </c>
      <c r="B3319" s="177" t="n">
        <v>48240</v>
      </c>
      <c r="C3319" s="177" t="n">
        <v>1410</v>
      </c>
      <c r="D3319" s="177" t="n">
        <v>11</v>
      </c>
      <c r="E3319" s="178" t="inlineStr">
        <is>
          <t>1410/11/07</t>
        </is>
      </c>
      <c r="F3319" s="134" t="inlineStr">
        <is>
          <t>1410/11</t>
        </is>
      </c>
      <c r="G3319" s="61" t="inlineStr">
        <is>
          <t>بهمن</t>
        </is>
      </c>
      <c r="H3319" s="134" t="inlineStr">
        <is>
          <t>زمستان</t>
        </is>
      </c>
      <c r="I3319" s="134" t="inlineStr">
        <is>
          <t>سه‌شنبه</t>
        </is>
      </c>
      <c r="J3319" s="134" t="inlineStr">
        <is>
          <t>بله</t>
        </is>
      </c>
    </row>
    <row r="3320">
      <c r="A3320" s="173" t="n">
        <v>48241</v>
      </c>
      <c r="B3320" s="174" t="n">
        <v>48241</v>
      </c>
      <c r="C3320" s="174" t="n">
        <v>1410</v>
      </c>
      <c r="D3320" s="174" t="n">
        <v>11</v>
      </c>
      <c r="E3320" s="175" t="inlineStr">
        <is>
          <t>1410/11/08</t>
        </is>
      </c>
      <c r="F3320" s="128" t="inlineStr">
        <is>
          <t>1410/11</t>
        </is>
      </c>
      <c r="G3320" s="58" t="inlineStr">
        <is>
          <t>بهمن</t>
        </is>
      </c>
      <c r="H3320" s="128" t="inlineStr">
        <is>
          <t>زمستان</t>
        </is>
      </c>
      <c r="I3320" s="128" t="inlineStr">
        <is>
          <t>چهارشنبه</t>
        </is>
      </c>
      <c r="J3320" s="128" t="inlineStr">
        <is>
          <t>بله</t>
        </is>
      </c>
    </row>
    <row r="3321">
      <c r="A3321" s="176" t="n">
        <v>48242</v>
      </c>
      <c r="B3321" s="177" t="n">
        <v>48242</v>
      </c>
      <c r="C3321" s="177" t="n">
        <v>1410</v>
      </c>
      <c r="D3321" s="177" t="n">
        <v>11</v>
      </c>
      <c r="E3321" s="178" t="inlineStr">
        <is>
          <t>1410/11/09</t>
        </is>
      </c>
      <c r="F3321" s="134" t="inlineStr">
        <is>
          <t>1410/11</t>
        </is>
      </c>
      <c r="G3321" s="61" t="inlineStr">
        <is>
          <t>بهمن</t>
        </is>
      </c>
      <c r="H3321" s="134" t="inlineStr">
        <is>
          <t>زمستان</t>
        </is>
      </c>
      <c r="I3321" s="134" t="inlineStr">
        <is>
          <t>پنجشنبه</t>
        </is>
      </c>
      <c r="J3321" s="134" t="inlineStr">
        <is>
          <t>بله</t>
        </is>
      </c>
    </row>
    <row r="3322">
      <c r="A3322" s="173" t="n">
        <v>48243</v>
      </c>
      <c r="B3322" s="174" t="n">
        <v>48243</v>
      </c>
      <c r="C3322" s="174" t="n">
        <v>1410</v>
      </c>
      <c r="D3322" s="174" t="n">
        <v>11</v>
      </c>
      <c r="E3322" s="175" t="inlineStr">
        <is>
          <t>1410/11/10</t>
        </is>
      </c>
      <c r="F3322" s="128" t="inlineStr">
        <is>
          <t>1410/11</t>
        </is>
      </c>
      <c r="G3322" s="58" t="inlineStr">
        <is>
          <t>بهمن</t>
        </is>
      </c>
      <c r="H3322" s="128" t="inlineStr">
        <is>
          <t>زمستان</t>
        </is>
      </c>
      <c r="I3322" s="128" t="inlineStr">
        <is>
          <t>جمعه</t>
        </is>
      </c>
      <c r="J3322" s="128" t="inlineStr">
        <is>
          <t>بله</t>
        </is>
      </c>
    </row>
    <row r="3323">
      <c r="A3323" s="176" t="n">
        <v>48244</v>
      </c>
      <c r="B3323" s="177" t="n">
        <v>48244</v>
      </c>
      <c r="C3323" s="177" t="n">
        <v>1410</v>
      </c>
      <c r="D3323" s="177" t="n">
        <v>11</v>
      </c>
      <c r="E3323" s="178" t="inlineStr">
        <is>
          <t>1410/11/11</t>
        </is>
      </c>
      <c r="F3323" s="134" t="inlineStr">
        <is>
          <t>1410/11</t>
        </is>
      </c>
      <c r="G3323" s="61" t="inlineStr">
        <is>
          <t>بهمن</t>
        </is>
      </c>
      <c r="H3323" s="134" t="inlineStr">
        <is>
          <t>زمستان</t>
        </is>
      </c>
      <c r="I3323" s="134" t="inlineStr">
        <is>
          <t>شنبه</t>
        </is>
      </c>
      <c r="J3323" s="134" t="inlineStr">
        <is>
          <t>خیر</t>
        </is>
      </c>
    </row>
    <row r="3324">
      <c r="A3324" s="173" t="n">
        <v>48245</v>
      </c>
      <c r="B3324" s="174" t="n">
        <v>48245</v>
      </c>
      <c r="C3324" s="174" t="n">
        <v>1410</v>
      </c>
      <c r="D3324" s="174" t="n">
        <v>11</v>
      </c>
      <c r="E3324" s="175" t="inlineStr">
        <is>
          <t>1410/11/12</t>
        </is>
      </c>
      <c r="F3324" s="128" t="inlineStr">
        <is>
          <t>1410/11</t>
        </is>
      </c>
      <c r="G3324" s="58" t="inlineStr">
        <is>
          <t>بهمن</t>
        </is>
      </c>
      <c r="H3324" s="128" t="inlineStr">
        <is>
          <t>زمستان</t>
        </is>
      </c>
      <c r="I3324" s="128" t="inlineStr">
        <is>
          <t>یکشنبه</t>
        </is>
      </c>
      <c r="J3324" s="128" t="inlineStr">
        <is>
          <t>خیر</t>
        </is>
      </c>
    </row>
    <row r="3325">
      <c r="A3325" s="176" t="n">
        <v>48246</v>
      </c>
      <c r="B3325" s="177" t="n">
        <v>48246</v>
      </c>
      <c r="C3325" s="177" t="n">
        <v>1410</v>
      </c>
      <c r="D3325" s="177" t="n">
        <v>11</v>
      </c>
      <c r="E3325" s="178" t="inlineStr">
        <is>
          <t>1410/11/13</t>
        </is>
      </c>
      <c r="F3325" s="134" t="inlineStr">
        <is>
          <t>1410/11</t>
        </is>
      </c>
      <c r="G3325" s="61" t="inlineStr">
        <is>
          <t>بهمن</t>
        </is>
      </c>
      <c r="H3325" s="134" t="inlineStr">
        <is>
          <t>زمستان</t>
        </is>
      </c>
      <c r="I3325" s="134" t="inlineStr">
        <is>
          <t>دوشنبه</t>
        </is>
      </c>
      <c r="J3325" s="134" t="inlineStr">
        <is>
          <t>بله</t>
        </is>
      </c>
    </row>
    <row r="3326">
      <c r="A3326" s="173" t="n">
        <v>48247</v>
      </c>
      <c r="B3326" s="174" t="n">
        <v>48247</v>
      </c>
      <c r="C3326" s="174" t="n">
        <v>1410</v>
      </c>
      <c r="D3326" s="174" t="n">
        <v>11</v>
      </c>
      <c r="E3326" s="175" t="inlineStr">
        <is>
          <t>1410/11/14</t>
        </is>
      </c>
      <c r="F3326" s="128" t="inlineStr">
        <is>
          <t>1410/11</t>
        </is>
      </c>
      <c r="G3326" s="58" t="inlineStr">
        <is>
          <t>بهمن</t>
        </is>
      </c>
      <c r="H3326" s="128" t="inlineStr">
        <is>
          <t>زمستان</t>
        </is>
      </c>
      <c r="I3326" s="128" t="inlineStr">
        <is>
          <t>سه‌شنبه</t>
        </is>
      </c>
      <c r="J3326" s="128" t="inlineStr">
        <is>
          <t>بله</t>
        </is>
      </c>
    </row>
    <row r="3327">
      <c r="A3327" s="176" t="n">
        <v>48248</v>
      </c>
      <c r="B3327" s="177" t="n">
        <v>48248</v>
      </c>
      <c r="C3327" s="177" t="n">
        <v>1410</v>
      </c>
      <c r="D3327" s="177" t="n">
        <v>11</v>
      </c>
      <c r="E3327" s="178" t="inlineStr">
        <is>
          <t>1410/11/15</t>
        </is>
      </c>
      <c r="F3327" s="134" t="inlineStr">
        <is>
          <t>1410/11</t>
        </is>
      </c>
      <c r="G3327" s="61" t="inlineStr">
        <is>
          <t>بهمن</t>
        </is>
      </c>
      <c r="H3327" s="134" t="inlineStr">
        <is>
          <t>زمستان</t>
        </is>
      </c>
      <c r="I3327" s="134" t="inlineStr">
        <is>
          <t>چهارشنبه</t>
        </is>
      </c>
      <c r="J3327" s="134" t="inlineStr">
        <is>
          <t>بله</t>
        </is>
      </c>
    </row>
    <row r="3328">
      <c r="A3328" s="173" t="n">
        <v>48249</v>
      </c>
      <c r="B3328" s="174" t="n">
        <v>48249</v>
      </c>
      <c r="C3328" s="174" t="n">
        <v>1410</v>
      </c>
      <c r="D3328" s="174" t="n">
        <v>11</v>
      </c>
      <c r="E3328" s="175" t="inlineStr">
        <is>
          <t>1410/11/16</t>
        </is>
      </c>
      <c r="F3328" s="128" t="inlineStr">
        <is>
          <t>1410/11</t>
        </is>
      </c>
      <c r="G3328" s="58" t="inlineStr">
        <is>
          <t>بهمن</t>
        </is>
      </c>
      <c r="H3328" s="128" t="inlineStr">
        <is>
          <t>زمستان</t>
        </is>
      </c>
      <c r="I3328" s="128" t="inlineStr">
        <is>
          <t>پنجشنبه</t>
        </is>
      </c>
      <c r="J3328" s="128" t="inlineStr">
        <is>
          <t>بله</t>
        </is>
      </c>
    </row>
    <row r="3329">
      <c r="A3329" s="176" t="n">
        <v>48250</v>
      </c>
      <c r="B3329" s="177" t="n">
        <v>48250</v>
      </c>
      <c r="C3329" s="177" t="n">
        <v>1410</v>
      </c>
      <c r="D3329" s="177" t="n">
        <v>11</v>
      </c>
      <c r="E3329" s="178" t="inlineStr">
        <is>
          <t>1410/11/17</t>
        </is>
      </c>
      <c r="F3329" s="134" t="inlineStr">
        <is>
          <t>1410/11</t>
        </is>
      </c>
      <c r="G3329" s="61" t="inlineStr">
        <is>
          <t>بهمن</t>
        </is>
      </c>
      <c r="H3329" s="134" t="inlineStr">
        <is>
          <t>زمستان</t>
        </is>
      </c>
      <c r="I3329" s="134" t="inlineStr">
        <is>
          <t>جمعه</t>
        </is>
      </c>
      <c r="J3329" s="134" t="inlineStr">
        <is>
          <t>بله</t>
        </is>
      </c>
    </row>
    <row r="3330">
      <c r="A3330" s="173" t="n">
        <v>48251</v>
      </c>
      <c r="B3330" s="174" t="n">
        <v>48251</v>
      </c>
      <c r="C3330" s="174" t="n">
        <v>1410</v>
      </c>
      <c r="D3330" s="174" t="n">
        <v>11</v>
      </c>
      <c r="E3330" s="175" t="inlineStr">
        <is>
          <t>1410/11/18</t>
        </is>
      </c>
      <c r="F3330" s="128" t="inlineStr">
        <is>
          <t>1410/11</t>
        </is>
      </c>
      <c r="G3330" s="58" t="inlineStr">
        <is>
          <t>بهمن</t>
        </is>
      </c>
      <c r="H3330" s="128" t="inlineStr">
        <is>
          <t>زمستان</t>
        </is>
      </c>
      <c r="I3330" s="128" t="inlineStr">
        <is>
          <t>شنبه</t>
        </is>
      </c>
      <c r="J3330" s="128" t="inlineStr">
        <is>
          <t>خیر</t>
        </is>
      </c>
    </row>
    <row r="3331">
      <c r="A3331" s="176" t="n">
        <v>48252</v>
      </c>
      <c r="B3331" s="177" t="n">
        <v>48252</v>
      </c>
      <c r="C3331" s="177" t="n">
        <v>1410</v>
      </c>
      <c r="D3331" s="177" t="n">
        <v>11</v>
      </c>
      <c r="E3331" s="178" t="inlineStr">
        <is>
          <t>1410/11/19</t>
        </is>
      </c>
      <c r="F3331" s="134" t="inlineStr">
        <is>
          <t>1410/11</t>
        </is>
      </c>
      <c r="G3331" s="61" t="inlineStr">
        <is>
          <t>بهمن</t>
        </is>
      </c>
      <c r="H3331" s="134" t="inlineStr">
        <is>
          <t>زمستان</t>
        </is>
      </c>
      <c r="I3331" s="134" t="inlineStr">
        <is>
          <t>یکشنبه</t>
        </is>
      </c>
      <c r="J3331" s="134" t="inlineStr">
        <is>
          <t>خیر</t>
        </is>
      </c>
    </row>
    <row r="3332">
      <c r="A3332" s="173" t="n">
        <v>48253</v>
      </c>
      <c r="B3332" s="174" t="n">
        <v>48253</v>
      </c>
      <c r="C3332" s="174" t="n">
        <v>1410</v>
      </c>
      <c r="D3332" s="174" t="n">
        <v>11</v>
      </c>
      <c r="E3332" s="175" t="inlineStr">
        <is>
          <t>1410/11/20</t>
        </is>
      </c>
      <c r="F3332" s="128" t="inlineStr">
        <is>
          <t>1410/11</t>
        </is>
      </c>
      <c r="G3332" s="58" t="inlineStr">
        <is>
          <t>بهمن</t>
        </is>
      </c>
      <c r="H3332" s="128" t="inlineStr">
        <is>
          <t>زمستان</t>
        </is>
      </c>
      <c r="I3332" s="128" t="inlineStr">
        <is>
          <t>دوشنبه</t>
        </is>
      </c>
      <c r="J3332" s="128" t="inlineStr">
        <is>
          <t>بله</t>
        </is>
      </c>
    </row>
    <row r="3333">
      <c r="A3333" s="176" t="n">
        <v>48254</v>
      </c>
      <c r="B3333" s="177" t="n">
        <v>48254</v>
      </c>
      <c r="C3333" s="177" t="n">
        <v>1410</v>
      </c>
      <c r="D3333" s="177" t="n">
        <v>11</v>
      </c>
      <c r="E3333" s="178" t="inlineStr">
        <is>
          <t>1410/11/21</t>
        </is>
      </c>
      <c r="F3333" s="134" t="inlineStr">
        <is>
          <t>1410/11</t>
        </is>
      </c>
      <c r="G3333" s="61" t="inlineStr">
        <is>
          <t>بهمن</t>
        </is>
      </c>
      <c r="H3333" s="134" t="inlineStr">
        <is>
          <t>زمستان</t>
        </is>
      </c>
      <c r="I3333" s="134" t="inlineStr">
        <is>
          <t>سه‌شنبه</t>
        </is>
      </c>
      <c r="J3333" s="134" t="inlineStr">
        <is>
          <t>بله</t>
        </is>
      </c>
    </row>
    <row r="3334">
      <c r="A3334" s="173" t="n">
        <v>48255</v>
      </c>
      <c r="B3334" s="174" t="n">
        <v>48255</v>
      </c>
      <c r="C3334" s="174" t="n">
        <v>1410</v>
      </c>
      <c r="D3334" s="174" t="n">
        <v>11</v>
      </c>
      <c r="E3334" s="175" t="inlineStr">
        <is>
          <t>1410/11/22</t>
        </is>
      </c>
      <c r="F3334" s="128" t="inlineStr">
        <is>
          <t>1410/11</t>
        </is>
      </c>
      <c r="G3334" s="58" t="inlineStr">
        <is>
          <t>بهمن</t>
        </is>
      </c>
      <c r="H3334" s="128" t="inlineStr">
        <is>
          <t>زمستان</t>
        </is>
      </c>
      <c r="I3334" s="128" t="inlineStr">
        <is>
          <t>چهارشنبه</t>
        </is>
      </c>
      <c r="J3334" s="128" t="inlineStr">
        <is>
          <t>بله</t>
        </is>
      </c>
    </row>
    <row r="3335">
      <c r="A3335" s="176" t="n">
        <v>48256</v>
      </c>
      <c r="B3335" s="177" t="n">
        <v>48256</v>
      </c>
      <c r="C3335" s="177" t="n">
        <v>1410</v>
      </c>
      <c r="D3335" s="177" t="n">
        <v>11</v>
      </c>
      <c r="E3335" s="178" t="inlineStr">
        <is>
          <t>1410/11/23</t>
        </is>
      </c>
      <c r="F3335" s="134" t="inlineStr">
        <is>
          <t>1410/11</t>
        </is>
      </c>
      <c r="G3335" s="61" t="inlineStr">
        <is>
          <t>بهمن</t>
        </is>
      </c>
      <c r="H3335" s="134" t="inlineStr">
        <is>
          <t>زمستان</t>
        </is>
      </c>
      <c r="I3335" s="134" t="inlineStr">
        <is>
          <t>پنجشنبه</t>
        </is>
      </c>
      <c r="J3335" s="134" t="inlineStr">
        <is>
          <t>بله</t>
        </is>
      </c>
    </row>
    <row r="3336">
      <c r="A3336" s="173" t="n">
        <v>48257</v>
      </c>
      <c r="B3336" s="174" t="n">
        <v>48257</v>
      </c>
      <c r="C3336" s="174" t="n">
        <v>1410</v>
      </c>
      <c r="D3336" s="174" t="n">
        <v>11</v>
      </c>
      <c r="E3336" s="175" t="inlineStr">
        <is>
          <t>1410/11/24</t>
        </is>
      </c>
      <c r="F3336" s="128" t="inlineStr">
        <is>
          <t>1410/11</t>
        </is>
      </c>
      <c r="G3336" s="58" t="inlineStr">
        <is>
          <t>بهمن</t>
        </is>
      </c>
      <c r="H3336" s="128" t="inlineStr">
        <is>
          <t>زمستان</t>
        </is>
      </c>
      <c r="I3336" s="128" t="inlineStr">
        <is>
          <t>جمعه</t>
        </is>
      </c>
      <c r="J3336" s="128" t="inlineStr">
        <is>
          <t>بله</t>
        </is>
      </c>
    </row>
    <row r="3337">
      <c r="A3337" s="176" t="n">
        <v>48258</v>
      </c>
      <c r="B3337" s="177" t="n">
        <v>48258</v>
      </c>
      <c r="C3337" s="177" t="n">
        <v>1410</v>
      </c>
      <c r="D3337" s="177" t="n">
        <v>11</v>
      </c>
      <c r="E3337" s="178" t="inlineStr">
        <is>
          <t>1410/11/25</t>
        </is>
      </c>
      <c r="F3337" s="134" t="inlineStr">
        <is>
          <t>1410/11</t>
        </is>
      </c>
      <c r="G3337" s="61" t="inlineStr">
        <is>
          <t>بهمن</t>
        </is>
      </c>
      <c r="H3337" s="134" t="inlineStr">
        <is>
          <t>زمستان</t>
        </is>
      </c>
      <c r="I3337" s="134" t="inlineStr">
        <is>
          <t>شنبه</t>
        </is>
      </c>
      <c r="J3337" s="134" t="inlineStr">
        <is>
          <t>خیر</t>
        </is>
      </c>
    </row>
    <row r="3338">
      <c r="A3338" s="173" t="n">
        <v>48259</v>
      </c>
      <c r="B3338" s="174" t="n">
        <v>48259</v>
      </c>
      <c r="C3338" s="174" t="n">
        <v>1410</v>
      </c>
      <c r="D3338" s="174" t="n">
        <v>11</v>
      </c>
      <c r="E3338" s="175" t="inlineStr">
        <is>
          <t>1410/11/26</t>
        </is>
      </c>
      <c r="F3338" s="128" t="inlineStr">
        <is>
          <t>1410/11</t>
        </is>
      </c>
      <c r="G3338" s="58" t="inlineStr">
        <is>
          <t>بهمن</t>
        </is>
      </c>
      <c r="H3338" s="128" t="inlineStr">
        <is>
          <t>زمستان</t>
        </is>
      </c>
      <c r="I3338" s="128" t="inlineStr">
        <is>
          <t>یکشنبه</t>
        </is>
      </c>
      <c r="J3338" s="128" t="inlineStr">
        <is>
          <t>خیر</t>
        </is>
      </c>
    </row>
    <row r="3339">
      <c r="A3339" s="176" t="n">
        <v>48260</v>
      </c>
      <c r="B3339" s="177" t="n">
        <v>48260</v>
      </c>
      <c r="C3339" s="177" t="n">
        <v>1410</v>
      </c>
      <c r="D3339" s="177" t="n">
        <v>11</v>
      </c>
      <c r="E3339" s="178" t="inlineStr">
        <is>
          <t>1410/11/27</t>
        </is>
      </c>
      <c r="F3339" s="134" t="inlineStr">
        <is>
          <t>1410/11</t>
        </is>
      </c>
      <c r="G3339" s="61" t="inlineStr">
        <is>
          <t>بهمن</t>
        </is>
      </c>
      <c r="H3339" s="134" t="inlineStr">
        <is>
          <t>زمستان</t>
        </is>
      </c>
      <c r="I3339" s="134" t="inlineStr">
        <is>
          <t>دوشنبه</t>
        </is>
      </c>
      <c r="J3339" s="134" t="inlineStr">
        <is>
          <t>بله</t>
        </is>
      </c>
    </row>
    <row r="3340">
      <c r="A3340" s="173" t="n">
        <v>48261</v>
      </c>
      <c r="B3340" s="174" t="n">
        <v>48261</v>
      </c>
      <c r="C3340" s="174" t="n">
        <v>1410</v>
      </c>
      <c r="D3340" s="174" t="n">
        <v>11</v>
      </c>
      <c r="E3340" s="175" t="inlineStr">
        <is>
          <t>1410/11/28</t>
        </is>
      </c>
      <c r="F3340" s="128" t="inlineStr">
        <is>
          <t>1410/11</t>
        </is>
      </c>
      <c r="G3340" s="58" t="inlineStr">
        <is>
          <t>بهمن</t>
        </is>
      </c>
      <c r="H3340" s="128" t="inlineStr">
        <is>
          <t>زمستان</t>
        </is>
      </c>
      <c r="I3340" s="128" t="inlineStr">
        <is>
          <t>سه‌شنبه</t>
        </is>
      </c>
      <c r="J3340" s="128" t="inlineStr">
        <is>
          <t>بله</t>
        </is>
      </c>
    </row>
    <row r="3341">
      <c r="A3341" s="176" t="n">
        <v>48262</v>
      </c>
      <c r="B3341" s="177" t="n">
        <v>48262</v>
      </c>
      <c r="C3341" s="177" t="n">
        <v>1410</v>
      </c>
      <c r="D3341" s="177" t="n">
        <v>11</v>
      </c>
      <c r="E3341" s="178" t="inlineStr">
        <is>
          <t>1410/11/29</t>
        </is>
      </c>
      <c r="F3341" s="134" t="inlineStr">
        <is>
          <t>1410/11</t>
        </is>
      </c>
      <c r="G3341" s="61" t="inlineStr">
        <is>
          <t>بهمن</t>
        </is>
      </c>
      <c r="H3341" s="134" t="inlineStr">
        <is>
          <t>زمستان</t>
        </is>
      </c>
      <c r="I3341" s="134" t="inlineStr">
        <is>
          <t>چهارشنبه</t>
        </is>
      </c>
      <c r="J3341" s="134" t="inlineStr">
        <is>
          <t>بله</t>
        </is>
      </c>
    </row>
    <row r="3342">
      <c r="A3342" s="173" t="n">
        <v>48263</v>
      </c>
      <c r="B3342" s="174" t="n">
        <v>48263</v>
      </c>
      <c r="C3342" s="174" t="n">
        <v>1410</v>
      </c>
      <c r="D3342" s="174" t="n">
        <v>11</v>
      </c>
      <c r="E3342" s="175" t="inlineStr">
        <is>
          <t>1410/11/30</t>
        </is>
      </c>
      <c r="F3342" s="128" t="inlineStr">
        <is>
          <t>1410/11</t>
        </is>
      </c>
      <c r="G3342" s="58" t="inlineStr">
        <is>
          <t>بهمن</t>
        </is>
      </c>
      <c r="H3342" s="128" t="inlineStr">
        <is>
          <t>زمستان</t>
        </is>
      </c>
      <c r="I3342" s="128" t="inlineStr">
        <is>
          <t>پنجشنبه</t>
        </is>
      </c>
      <c r="J3342" s="128" t="inlineStr">
        <is>
          <t>بله</t>
        </is>
      </c>
    </row>
    <row r="3343">
      <c r="A3343" s="176" t="n">
        <v>48264</v>
      </c>
      <c r="B3343" s="177" t="n">
        <v>48264</v>
      </c>
      <c r="C3343" s="177" t="n">
        <v>1410</v>
      </c>
      <c r="D3343" s="177" t="n">
        <v>12</v>
      </c>
      <c r="E3343" s="178" t="inlineStr">
        <is>
          <t>1410/12/01</t>
        </is>
      </c>
      <c r="F3343" s="134" t="inlineStr">
        <is>
          <t>1410/12</t>
        </is>
      </c>
      <c r="G3343" s="61" t="inlineStr">
        <is>
          <t>اسفند</t>
        </is>
      </c>
      <c r="H3343" s="134" t="inlineStr">
        <is>
          <t>زمستان</t>
        </is>
      </c>
      <c r="I3343" s="134" t="inlineStr">
        <is>
          <t>جمعه</t>
        </is>
      </c>
      <c r="J3343" s="134" t="inlineStr">
        <is>
          <t>بله</t>
        </is>
      </c>
    </row>
    <row r="3344">
      <c r="A3344" s="173" t="n">
        <v>48265</v>
      </c>
      <c r="B3344" s="174" t="n">
        <v>48265</v>
      </c>
      <c r="C3344" s="174" t="n">
        <v>1410</v>
      </c>
      <c r="D3344" s="174" t="n">
        <v>12</v>
      </c>
      <c r="E3344" s="175" t="inlineStr">
        <is>
          <t>1410/12/02</t>
        </is>
      </c>
      <c r="F3344" s="128" t="inlineStr">
        <is>
          <t>1410/12</t>
        </is>
      </c>
      <c r="G3344" s="58" t="inlineStr">
        <is>
          <t>اسفند</t>
        </is>
      </c>
      <c r="H3344" s="128" t="inlineStr">
        <is>
          <t>زمستان</t>
        </is>
      </c>
      <c r="I3344" s="128" t="inlineStr">
        <is>
          <t>شنبه</t>
        </is>
      </c>
      <c r="J3344" s="128" t="inlineStr">
        <is>
          <t>خیر</t>
        </is>
      </c>
    </row>
    <row r="3345">
      <c r="A3345" s="176" t="n">
        <v>48266</v>
      </c>
      <c r="B3345" s="177" t="n">
        <v>48266</v>
      </c>
      <c r="C3345" s="177" t="n">
        <v>1410</v>
      </c>
      <c r="D3345" s="177" t="n">
        <v>12</v>
      </c>
      <c r="E3345" s="178" t="inlineStr">
        <is>
          <t>1410/12/03</t>
        </is>
      </c>
      <c r="F3345" s="134" t="inlineStr">
        <is>
          <t>1410/12</t>
        </is>
      </c>
      <c r="G3345" s="61" t="inlineStr">
        <is>
          <t>اسفند</t>
        </is>
      </c>
      <c r="H3345" s="134" t="inlineStr">
        <is>
          <t>زمستان</t>
        </is>
      </c>
      <c r="I3345" s="134" t="inlineStr">
        <is>
          <t>یکشنبه</t>
        </is>
      </c>
      <c r="J3345" s="134" t="inlineStr">
        <is>
          <t>خیر</t>
        </is>
      </c>
    </row>
    <row r="3346">
      <c r="A3346" s="173" t="n">
        <v>48267</v>
      </c>
      <c r="B3346" s="174" t="n">
        <v>48267</v>
      </c>
      <c r="C3346" s="174" t="n">
        <v>1410</v>
      </c>
      <c r="D3346" s="174" t="n">
        <v>12</v>
      </c>
      <c r="E3346" s="175" t="inlineStr">
        <is>
          <t>1410/12/04</t>
        </is>
      </c>
      <c r="F3346" s="128" t="inlineStr">
        <is>
          <t>1410/12</t>
        </is>
      </c>
      <c r="G3346" s="58" t="inlineStr">
        <is>
          <t>اسفند</t>
        </is>
      </c>
      <c r="H3346" s="128" t="inlineStr">
        <is>
          <t>زمستان</t>
        </is>
      </c>
      <c r="I3346" s="128" t="inlineStr">
        <is>
          <t>دوشنبه</t>
        </is>
      </c>
      <c r="J3346" s="128" t="inlineStr">
        <is>
          <t>بله</t>
        </is>
      </c>
    </row>
    <row r="3347">
      <c r="A3347" s="176" t="n">
        <v>48268</v>
      </c>
      <c r="B3347" s="177" t="n">
        <v>48268</v>
      </c>
      <c r="C3347" s="177" t="n">
        <v>1410</v>
      </c>
      <c r="D3347" s="177" t="n">
        <v>12</v>
      </c>
      <c r="E3347" s="178" t="inlineStr">
        <is>
          <t>1410/12/05</t>
        </is>
      </c>
      <c r="F3347" s="134" t="inlineStr">
        <is>
          <t>1410/12</t>
        </is>
      </c>
      <c r="G3347" s="61" t="inlineStr">
        <is>
          <t>اسفند</t>
        </is>
      </c>
      <c r="H3347" s="134" t="inlineStr">
        <is>
          <t>زمستان</t>
        </is>
      </c>
      <c r="I3347" s="134" t="inlineStr">
        <is>
          <t>سه‌شنبه</t>
        </is>
      </c>
      <c r="J3347" s="134" t="inlineStr">
        <is>
          <t>بله</t>
        </is>
      </c>
    </row>
    <row r="3348">
      <c r="A3348" s="173" t="n">
        <v>48269</v>
      </c>
      <c r="B3348" s="174" t="n">
        <v>48269</v>
      </c>
      <c r="C3348" s="174" t="n">
        <v>1410</v>
      </c>
      <c r="D3348" s="174" t="n">
        <v>12</v>
      </c>
      <c r="E3348" s="175" t="inlineStr">
        <is>
          <t>1410/12/06</t>
        </is>
      </c>
      <c r="F3348" s="128" t="inlineStr">
        <is>
          <t>1410/12</t>
        </is>
      </c>
      <c r="G3348" s="58" t="inlineStr">
        <is>
          <t>اسفند</t>
        </is>
      </c>
      <c r="H3348" s="128" t="inlineStr">
        <is>
          <t>زمستان</t>
        </is>
      </c>
      <c r="I3348" s="128" t="inlineStr">
        <is>
          <t>چهارشنبه</t>
        </is>
      </c>
      <c r="J3348" s="128" t="inlineStr">
        <is>
          <t>بله</t>
        </is>
      </c>
    </row>
    <row r="3349">
      <c r="A3349" s="176" t="n">
        <v>48270</v>
      </c>
      <c r="B3349" s="177" t="n">
        <v>48270</v>
      </c>
      <c r="C3349" s="177" t="n">
        <v>1410</v>
      </c>
      <c r="D3349" s="177" t="n">
        <v>12</v>
      </c>
      <c r="E3349" s="178" t="inlineStr">
        <is>
          <t>1410/12/07</t>
        </is>
      </c>
      <c r="F3349" s="134" t="inlineStr">
        <is>
          <t>1410/12</t>
        </is>
      </c>
      <c r="G3349" s="61" t="inlineStr">
        <is>
          <t>اسفند</t>
        </is>
      </c>
      <c r="H3349" s="134" t="inlineStr">
        <is>
          <t>زمستان</t>
        </is>
      </c>
      <c r="I3349" s="134" t="inlineStr">
        <is>
          <t>پنجشنبه</t>
        </is>
      </c>
      <c r="J3349" s="134" t="inlineStr">
        <is>
          <t>بله</t>
        </is>
      </c>
    </row>
    <row r="3350">
      <c r="A3350" s="173" t="n">
        <v>48271</v>
      </c>
      <c r="B3350" s="174" t="n">
        <v>48271</v>
      </c>
      <c r="C3350" s="174" t="n">
        <v>1410</v>
      </c>
      <c r="D3350" s="174" t="n">
        <v>12</v>
      </c>
      <c r="E3350" s="175" t="inlineStr">
        <is>
          <t>1410/12/08</t>
        </is>
      </c>
      <c r="F3350" s="128" t="inlineStr">
        <is>
          <t>1410/12</t>
        </is>
      </c>
      <c r="G3350" s="58" t="inlineStr">
        <is>
          <t>اسفند</t>
        </is>
      </c>
      <c r="H3350" s="128" t="inlineStr">
        <is>
          <t>زمستان</t>
        </is>
      </c>
      <c r="I3350" s="128" t="inlineStr">
        <is>
          <t>جمعه</t>
        </is>
      </c>
      <c r="J3350" s="128" t="inlineStr">
        <is>
          <t>بله</t>
        </is>
      </c>
    </row>
    <row r="3351">
      <c r="A3351" s="176" t="n">
        <v>48272</v>
      </c>
      <c r="B3351" s="177" t="n">
        <v>48272</v>
      </c>
      <c r="C3351" s="177" t="n">
        <v>1410</v>
      </c>
      <c r="D3351" s="177" t="n">
        <v>12</v>
      </c>
      <c r="E3351" s="178" t="inlineStr">
        <is>
          <t>1410/12/09</t>
        </is>
      </c>
      <c r="F3351" s="134" t="inlineStr">
        <is>
          <t>1410/12</t>
        </is>
      </c>
      <c r="G3351" s="61" t="inlineStr">
        <is>
          <t>اسفند</t>
        </is>
      </c>
      <c r="H3351" s="134" t="inlineStr">
        <is>
          <t>زمستان</t>
        </is>
      </c>
      <c r="I3351" s="134" t="inlineStr">
        <is>
          <t>شنبه</t>
        </is>
      </c>
      <c r="J3351" s="134" t="inlineStr">
        <is>
          <t>خیر</t>
        </is>
      </c>
    </row>
    <row r="3352">
      <c r="A3352" s="173" t="n">
        <v>48273</v>
      </c>
      <c r="B3352" s="174" t="n">
        <v>48273</v>
      </c>
      <c r="C3352" s="174" t="n">
        <v>1410</v>
      </c>
      <c r="D3352" s="174" t="n">
        <v>12</v>
      </c>
      <c r="E3352" s="175" t="inlineStr">
        <is>
          <t>1410/12/10</t>
        </is>
      </c>
      <c r="F3352" s="128" t="inlineStr">
        <is>
          <t>1410/12</t>
        </is>
      </c>
      <c r="G3352" s="58" t="inlineStr">
        <is>
          <t>اسفند</t>
        </is>
      </c>
      <c r="H3352" s="128" t="inlineStr">
        <is>
          <t>زمستان</t>
        </is>
      </c>
      <c r="I3352" s="128" t="inlineStr">
        <is>
          <t>یکشنبه</t>
        </is>
      </c>
      <c r="J3352" s="128" t="inlineStr">
        <is>
          <t>خیر</t>
        </is>
      </c>
    </row>
    <row r="3353">
      <c r="A3353" s="176" t="n">
        <v>48274</v>
      </c>
      <c r="B3353" s="177" t="n">
        <v>48274</v>
      </c>
      <c r="C3353" s="177" t="n">
        <v>1410</v>
      </c>
      <c r="D3353" s="177" t="n">
        <v>12</v>
      </c>
      <c r="E3353" s="178" t="inlineStr">
        <is>
          <t>1410/12/11</t>
        </is>
      </c>
      <c r="F3353" s="134" t="inlineStr">
        <is>
          <t>1410/12</t>
        </is>
      </c>
      <c r="G3353" s="61" t="inlineStr">
        <is>
          <t>اسفند</t>
        </is>
      </c>
      <c r="H3353" s="134" t="inlineStr">
        <is>
          <t>زمستان</t>
        </is>
      </c>
      <c r="I3353" s="134" t="inlineStr">
        <is>
          <t>دوشنبه</t>
        </is>
      </c>
      <c r="J3353" s="134" t="inlineStr">
        <is>
          <t>بله</t>
        </is>
      </c>
    </row>
    <row r="3354">
      <c r="A3354" s="173" t="n">
        <v>48275</v>
      </c>
      <c r="B3354" s="174" t="n">
        <v>48275</v>
      </c>
      <c r="C3354" s="174" t="n">
        <v>1410</v>
      </c>
      <c r="D3354" s="174" t="n">
        <v>12</v>
      </c>
      <c r="E3354" s="175" t="inlineStr">
        <is>
          <t>1410/12/12</t>
        </is>
      </c>
      <c r="F3354" s="128" t="inlineStr">
        <is>
          <t>1410/12</t>
        </is>
      </c>
      <c r="G3354" s="58" t="inlineStr">
        <is>
          <t>اسفند</t>
        </is>
      </c>
      <c r="H3354" s="128" t="inlineStr">
        <is>
          <t>زمستان</t>
        </is>
      </c>
      <c r="I3354" s="128" t="inlineStr">
        <is>
          <t>سه‌شنبه</t>
        </is>
      </c>
      <c r="J3354" s="128" t="inlineStr">
        <is>
          <t>بله</t>
        </is>
      </c>
    </row>
    <row r="3355">
      <c r="A3355" s="176" t="n">
        <v>48276</v>
      </c>
      <c r="B3355" s="177" t="n">
        <v>48276</v>
      </c>
      <c r="C3355" s="177" t="n">
        <v>1410</v>
      </c>
      <c r="D3355" s="177" t="n">
        <v>12</v>
      </c>
      <c r="E3355" s="178" t="inlineStr">
        <is>
          <t>1410/12/13</t>
        </is>
      </c>
      <c r="F3355" s="134" t="inlineStr">
        <is>
          <t>1410/12</t>
        </is>
      </c>
      <c r="G3355" s="61" t="inlineStr">
        <is>
          <t>اسفند</t>
        </is>
      </c>
      <c r="H3355" s="134" t="inlineStr">
        <is>
          <t>زمستان</t>
        </is>
      </c>
      <c r="I3355" s="134" t="inlineStr">
        <is>
          <t>چهارشنبه</t>
        </is>
      </c>
      <c r="J3355" s="134" t="inlineStr">
        <is>
          <t>بله</t>
        </is>
      </c>
    </row>
    <row r="3356">
      <c r="A3356" s="173" t="n">
        <v>48277</v>
      </c>
      <c r="B3356" s="174" t="n">
        <v>48277</v>
      </c>
      <c r="C3356" s="174" t="n">
        <v>1410</v>
      </c>
      <c r="D3356" s="174" t="n">
        <v>12</v>
      </c>
      <c r="E3356" s="175" t="inlineStr">
        <is>
          <t>1410/12/14</t>
        </is>
      </c>
      <c r="F3356" s="128" t="inlineStr">
        <is>
          <t>1410/12</t>
        </is>
      </c>
      <c r="G3356" s="58" t="inlineStr">
        <is>
          <t>اسفند</t>
        </is>
      </c>
      <c r="H3356" s="128" t="inlineStr">
        <is>
          <t>زمستان</t>
        </is>
      </c>
      <c r="I3356" s="128" t="inlineStr">
        <is>
          <t>پنجشنبه</t>
        </is>
      </c>
      <c r="J3356" s="128" t="inlineStr">
        <is>
          <t>بله</t>
        </is>
      </c>
    </row>
    <row r="3357">
      <c r="A3357" s="176" t="n">
        <v>48278</v>
      </c>
      <c r="B3357" s="177" t="n">
        <v>48278</v>
      </c>
      <c r="C3357" s="177" t="n">
        <v>1410</v>
      </c>
      <c r="D3357" s="177" t="n">
        <v>12</v>
      </c>
      <c r="E3357" s="178" t="inlineStr">
        <is>
          <t>1410/12/15</t>
        </is>
      </c>
      <c r="F3357" s="134" t="inlineStr">
        <is>
          <t>1410/12</t>
        </is>
      </c>
      <c r="G3357" s="61" t="inlineStr">
        <is>
          <t>اسفند</t>
        </is>
      </c>
      <c r="H3357" s="134" t="inlineStr">
        <is>
          <t>زمستان</t>
        </is>
      </c>
      <c r="I3357" s="134" t="inlineStr">
        <is>
          <t>جمعه</t>
        </is>
      </c>
      <c r="J3357" s="134" t="inlineStr">
        <is>
          <t>بله</t>
        </is>
      </c>
    </row>
    <row r="3358">
      <c r="A3358" s="173" t="n">
        <v>48279</v>
      </c>
      <c r="B3358" s="174" t="n">
        <v>48279</v>
      </c>
      <c r="C3358" s="174" t="n">
        <v>1410</v>
      </c>
      <c r="D3358" s="174" t="n">
        <v>12</v>
      </c>
      <c r="E3358" s="175" t="inlineStr">
        <is>
          <t>1410/12/16</t>
        </is>
      </c>
      <c r="F3358" s="128" t="inlineStr">
        <is>
          <t>1410/12</t>
        </is>
      </c>
      <c r="G3358" s="58" t="inlineStr">
        <is>
          <t>اسفند</t>
        </is>
      </c>
      <c r="H3358" s="128" t="inlineStr">
        <is>
          <t>زمستان</t>
        </is>
      </c>
      <c r="I3358" s="128" t="inlineStr">
        <is>
          <t>شنبه</t>
        </is>
      </c>
      <c r="J3358" s="128" t="inlineStr">
        <is>
          <t>خیر</t>
        </is>
      </c>
    </row>
    <row r="3359">
      <c r="A3359" s="176" t="n">
        <v>48280</v>
      </c>
      <c r="B3359" s="177" t="n">
        <v>48280</v>
      </c>
      <c r="C3359" s="177" t="n">
        <v>1410</v>
      </c>
      <c r="D3359" s="177" t="n">
        <v>12</v>
      </c>
      <c r="E3359" s="178" t="inlineStr">
        <is>
          <t>1410/12/17</t>
        </is>
      </c>
      <c r="F3359" s="134" t="inlineStr">
        <is>
          <t>1410/12</t>
        </is>
      </c>
      <c r="G3359" s="61" t="inlineStr">
        <is>
          <t>اسفند</t>
        </is>
      </c>
      <c r="H3359" s="134" t="inlineStr">
        <is>
          <t>زمستان</t>
        </is>
      </c>
      <c r="I3359" s="134" t="inlineStr">
        <is>
          <t>یکشنبه</t>
        </is>
      </c>
      <c r="J3359" s="134" t="inlineStr">
        <is>
          <t>خیر</t>
        </is>
      </c>
    </row>
    <row r="3360">
      <c r="A3360" s="173" t="n">
        <v>48281</v>
      </c>
      <c r="B3360" s="174" t="n">
        <v>48281</v>
      </c>
      <c r="C3360" s="174" t="n">
        <v>1410</v>
      </c>
      <c r="D3360" s="174" t="n">
        <v>12</v>
      </c>
      <c r="E3360" s="175" t="inlineStr">
        <is>
          <t>1410/12/18</t>
        </is>
      </c>
      <c r="F3360" s="128" t="inlineStr">
        <is>
          <t>1410/12</t>
        </is>
      </c>
      <c r="G3360" s="58" t="inlineStr">
        <is>
          <t>اسفند</t>
        </is>
      </c>
      <c r="H3360" s="128" t="inlineStr">
        <is>
          <t>زمستان</t>
        </is>
      </c>
      <c r="I3360" s="128" t="inlineStr">
        <is>
          <t>دوشنبه</t>
        </is>
      </c>
      <c r="J3360" s="128" t="inlineStr">
        <is>
          <t>بله</t>
        </is>
      </c>
    </row>
    <row r="3361">
      <c r="A3361" s="176" t="n">
        <v>48282</v>
      </c>
      <c r="B3361" s="177" t="n">
        <v>48282</v>
      </c>
      <c r="C3361" s="177" t="n">
        <v>1410</v>
      </c>
      <c r="D3361" s="177" t="n">
        <v>12</v>
      </c>
      <c r="E3361" s="178" t="inlineStr">
        <is>
          <t>1410/12/19</t>
        </is>
      </c>
      <c r="F3361" s="134" t="inlineStr">
        <is>
          <t>1410/12</t>
        </is>
      </c>
      <c r="G3361" s="61" t="inlineStr">
        <is>
          <t>اسفند</t>
        </is>
      </c>
      <c r="H3361" s="134" t="inlineStr">
        <is>
          <t>زمستان</t>
        </is>
      </c>
      <c r="I3361" s="134" t="inlineStr">
        <is>
          <t>سه‌شنبه</t>
        </is>
      </c>
      <c r="J3361" s="134" t="inlineStr">
        <is>
          <t>بله</t>
        </is>
      </c>
    </row>
    <row r="3362">
      <c r="A3362" s="173" t="n">
        <v>48283</v>
      </c>
      <c r="B3362" s="174" t="n">
        <v>48283</v>
      </c>
      <c r="C3362" s="174" t="n">
        <v>1410</v>
      </c>
      <c r="D3362" s="174" t="n">
        <v>12</v>
      </c>
      <c r="E3362" s="175" t="inlineStr">
        <is>
          <t>1410/12/20</t>
        </is>
      </c>
      <c r="F3362" s="128" t="inlineStr">
        <is>
          <t>1410/12</t>
        </is>
      </c>
      <c r="G3362" s="58" t="inlineStr">
        <is>
          <t>اسفند</t>
        </is>
      </c>
      <c r="H3362" s="128" t="inlineStr">
        <is>
          <t>زمستان</t>
        </is>
      </c>
      <c r="I3362" s="128" t="inlineStr">
        <is>
          <t>چهارشنبه</t>
        </is>
      </c>
      <c r="J3362" s="128" t="inlineStr">
        <is>
          <t>بله</t>
        </is>
      </c>
    </row>
    <row r="3363">
      <c r="A3363" s="176" t="n">
        <v>48284</v>
      </c>
      <c r="B3363" s="177" t="n">
        <v>48284</v>
      </c>
      <c r="C3363" s="177" t="n">
        <v>1410</v>
      </c>
      <c r="D3363" s="177" t="n">
        <v>12</v>
      </c>
      <c r="E3363" s="178" t="inlineStr">
        <is>
          <t>1410/12/21</t>
        </is>
      </c>
      <c r="F3363" s="134" t="inlineStr">
        <is>
          <t>1410/12</t>
        </is>
      </c>
      <c r="G3363" s="61" t="inlineStr">
        <is>
          <t>اسفند</t>
        </is>
      </c>
      <c r="H3363" s="134" t="inlineStr">
        <is>
          <t>زمستان</t>
        </is>
      </c>
      <c r="I3363" s="134" t="inlineStr">
        <is>
          <t>پنجشنبه</t>
        </is>
      </c>
      <c r="J3363" s="134" t="inlineStr">
        <is>
          <t>بله</t>
        </is>
      </c>
    </row>
    <row r="3364">
      <c r="A3364" s="173" t="n">
        <v>48285</v>
      </c>
      <c r="B3364" s="174" t="n">
        <v>48285</v>
      </c>
      <c r="C3364" s="174" t="n">
        <v>1410</v>
      </c>
      <c r="D3364" s="174" t="n">
        <v>12</v>
      </c>
      <c r="E3364" s="175" t="inlineStr">
        <is>
          <t>1410/12/22</t>
        </is>
      </c>
      <c r="F3364" s="128" t="inlineStr">
        <is>
          <t>1410/12</t>
        </is>
      </c>
      <c r="G3364" s="58" t="inlineStr">
        <is>
          <t>اسفند</t>
        </is>
      </c>
      <c r="H3364" s="128" t="inlineStr">
        <is>
          <t>زمستان</t>
        </is>
      </c>
      <c r="I3364" s="128" t="inlineStr">
        <is>
          <t>جمعه</t>
        </is>
      </c>
      <c r="J3364" s="128" t="inlineStr">
        <is>
          <t>بله</t>
        </is>
      </c>
    </row>
    <row r="3365">
      <c r="A3365" s="176" t="n">
        <v>48286</v>
      </c>
      <c r="B3365" s="177" t="n">
        <v>48286</v>
      </c>
      <c r="C3365" s="177" t="n">
        <v>1410</v>
      </c>
      <c r="D3365" s="177" t="n">
        <v>12</v>
      </c>
      <c r="E3365" s="178" t="inlineStr">
        <is>
          <t>1410/12/23</t>
        </is>
      </c>
      <c r="F3365" s="134" t="inlineStr">
        <is>
          <t>1410/12</t>
        </is>
      </c>
      <c r="G3365" s="61" t="inlineStr">
        <is>
          <t>اسفند</t>
        </is>
      </c>
      <c r="H3365" s="134" t="inlineStr">
        <is>
          <t>زمستان</t>
        </is>
      </c>
      <c r="I3365" s="134" t="inlineStr">
        <is>
          <t>شنبه</t>
        </is>
      </c>
      <c r="J3365" s="134" t="inlineStr">
        <is>
          <t>خیر</t>
        </is>
      </c>
    </row>
    <row r="3366">
      <c r="A3366" s="173" t="n">
        <v>48287</v>
      </c>
      <c r="B3366" s="174" t="n">
        <v>48287</v>
      </c>
      <c r="C3366" s="174" t="n">
        <v>1410</v>
      </c>
      <c r="D3366" s="174" t="n">
        <v>12</v>
      </c>
      <c r="E3366" s="175" t="inlineStr">
        <is>
          <t>1410/12/24</t>
        </is>
      </c>
      <c r="F3366" s="128" t="inlineStr">
        <is>
          <t>1410/12</t>
        </is>
      </c>
      <c r="G3366" s="58" t="inlineStr">
        <is>
          <t>اسفند</t>
        </is>
      </c>
      <c r="H3366" s="128" t="inlineStr">
        <is>
          <t>زمستان</t>
        </is>
      </c>
      <c r="I3366" s="128" t="inlineStr">
        <is>
          <t>یکشنبه</t>
        </is>
      </c>
      <c r="J3366" s="128" t="inlineStr">
        <is>
          <t>خیر</t>
        </is>
      </c>
    </row>
    <row r="3367">
      <c r="A3367" s="176" t="n">
        <v>48288</v>
      </c>
      <c r="B3367" s="177" t="n">
        <v>48288</v>
      </c>
      <c r="C3367" s="177" t="n">
        <v>1410</v>
      </c>
      <c r="D3367" s="177" t="n">
        <v>12</v>
      </c>
      <c r="E3367" s="178" t="inlineStr">
        <is>
          <t>1410/12/25</t>
        </is>
      </c>
      <c r="F3367" s="134" t="inlineStr">
        <is>
          <t>1410/12</t>
        </is>
      </c>
      <c r="G3367" s="61" t="inlineStr">
        <is>
          <t>اسفند</t>
        </is>
      </c>
      <c r="H3367" s="134" t="inlineStr">
        <is>
          <t>زمستان</t>
        </is>
      </c>
      <c r="I3367" s="134" t="inlineStr">
        <is>
          <t>دوشنبه</t>
        </is>
      </c>
      <c r="J3367" s="134" t="inlineStr">
        <is>
          <t>بله</t>
        </is>
      </c>
    </row>
    <row r="3368">
      <c r="A3368" s="173" t="n">
        <v>48289</v>
      </c>
      <c r="B3368" s="174" t="n">
        <v>48289</v>
      </c>
      <c r="C3368" s="174" t="n">
        <v>1410</v>
      </c>
      <c r="D3368" s="174" t="n">
        <v>12</v>
      </c>
      <c r="E3368" s="175" t="inlineStr">
        <is>
          <t>1410/12/26</t>
        </is>
      </c>
      <c r="F3368" s="128" t="inlineStr">
        <is>
          <t>1410/12</t>
        </is>
      </c>
      <c r="G3368" s="58" t="inlineStr">
        <is>
          <t>اسفند</t>
        </is>
      </c>
      <c r="H3368" s="128" t="inlineStr">
        <is>
          <t>زمستان</t>
        </is>
      </c>
      <c r="I3368" s="128" t="inlineStr">
        <is>
          <t>سه‌شنبه</t>
        </is>
      </c>
      <c r="J3368" s="128" t="inlineStr">
        <is>
          <t>بله</t>
        </is>
      </c>
    </row>
    <row r="3369">
      <c r="A3369" s="176" t="n">
        <v>48290</v>
      </c>
      <c r="B3369" s="177" t="n">
        <v>48290</v>
      </c>
      <c r="C3369" s="177" t="n">
        <v>1410</v>
      </c>
      <c r="D3369" s="177" t="n">
        <v>12</v>
      </c>
      <c r="E3369" s="178" t="inlineStr">
        <is>
          <t>1410/12/27</t>
        </is>
      </c>
      <c r="F3369" s="134" t="inlineStr">
        <is>
          <t>1410/12</t>
        </is>
      </c>
      <c r="G3369" s="61" t="inlineStr">
        <is>
          <t>اسفند</t>
        </is>
      </c>
      <c r="H3369" s="134" t="inlineStr">
        <is>
          <t>زمستان</t>
        </is>
      </c>
      <c r="I3369" s="134" t="inlineStr">
        <is>
          <t>چهارشنبه</t>
        </is>
      </c>
      <c r="J3369" s="134" t="inlineStr">
        <is>
          <t>بله</t>
        </is>
      </c>
    </row>
    <row r="3370">
      <c r="A3370" s="173" t="n">
        <v>48291</v>
      </c>
      <c r="B3370" s="174" t="n">
        <v>48291</v>
      </c>
      <c r="C3370" s="174" t="n">
        <v>1410</v>
      </c>
      <c r="D3370" s="174" t="n">
        <v>12</v>
      </c>
      <c r="E3370" s="175" t="inlineStr">
        <is>
          <t>1410/12/28</t>
        </is>
      </c>
      <c r="F3370" s="128" t="inlineStr">
        <is>
          <t>1410/12</t>
        </is>
      </c>
      <c r="G3370" s="58" t="inlineStr">
        <is>
          <t>اسفند</t>
        </is>
      </c>
      <c r="H3370" s="128" t="inlineStr">
        <is>
          <t>زمستان</t>
        </is>
      </c>
      <c r="I3370" s="128" t="inlineStr">
        <is>
          <t>پنجشنبه</t>
        </is>
      </c>
      <c r="J3370" s="128" t="inlineStr">
        <is>
          <t>بله</t>
        </is>
      </c>
    </row>
    <row r="3371">
      <c r="A3371" s="176" t="n">
        <v>48292</v>
      </c>
      <c r="B3371" s="177" t="n">
        <v>48292</v>
      </c>
      <c r="C3371" s="177" t="n">
        <v>1410</v>
      </c>
      <c r="D3371" s="177" t="n">
        <v>12</v>
      </c>
      <c r="E3371" s="178" t="inlineStr">
        <is>
          <t>1410/12/29</t>
        </is>
      </c>
      <c r="F3371" s="134" t="inlineStr">
        <is>
          <t>1410/12</t>
        </is>
      </c>
      <c r="G3371" s="61" t="inlineStr">
        <is>
          <t>اسفند</t>
        </is>
      </c>
      <c r="H3371" s="134" t="inlineStr">
        <is>
          <t>زمستان</t>
        </is>
      </c>
      <c r="I3371" s="134" t="inlineStr">
        <is>
          <t>جمعه</t>
        </is>
      </c>
      <c r="J3371" s="134" t="inlineStr">
        <is>
          <t>بله</t>
        </is>
      </c>
    </row>
    <row r="3372">
      <c r="A3372" s="173" t="n">
        <v>48293</v>
      </c>
      <c r="B3372" s="174" t="n">
        <v>48293</v>
      </c>
      <c r="C3372" s="174" t="n">
        <v>1411</v>
      </c>
      <c r="D3372" s="174" t="n">
        <v>1</v>
      </c>
      <c r="E3372" s="175" t="inlineStr">
        <is>
          <t>1411/01/01</t>
        </is>
      </c>
      <c r="F3372" s="128" t="inlineStr">
        <is>
          <t>1411/01</t>
        </is>
      </c>
      <c r="G3372" s="58" t="inlineStr">
        <is>
          <t>فروردین</t>
        </is>
      </c>
      <c r="H3372" s="128" t="inlineStr">
        <is>
          <t>بهار</t>
        </is>
      </c>
      <c r="I3372" s="128" t="inlineStr">
        <is>
          <t>شنبه</t>
        </is>
      </c>
      <c r="J3372" s="128" t="inlineStr">
        <is>
          <t>خیر</t>
        </is>
      </c>
    </row>
    <row r="3373">
      <c r="A3373" s="176" t="n">
        <v>48294</v>
      </c>
      <c r="B3373" s="177" t="n">
        <v>48294</v>
      </c>
      <c r="C3373" s="177" t="n">
        <v>1411</v>
      </c>
      <c r="D3373" s="177" t="n">
        <v>1</v>
      </c>
      <c r="E3373" s="178" t="inlineStr">
        <is>
          <t>1411/01/02</t>
        </is>
      </c>
      <c r="F3373" s="134" t="inlineStr">
        <is>
          <t>1411/01</t>
        </is>
      </c>
      <c r="G3373" s="61" t="inlineStr">
        <is>
          <t>فروردین</t>
        </is>
      </c>
      <c r="H3373" s="134" t="inlineStr">
        <is>
          <t>بهار</t>
        </is>
      </c>
      <c r="I3373" s="134" t="inlineStr">
        <is>
          <t>یکشنبه</t>
        </is>
      </c>
      <c r="J3373" s="134" t="inlineStr">
        <is>
          <t>خیر</t>
        </is>
      </c>
    </row>
    <row r="3374">
      <c r="A3374" s="173" t="n">
        <v>48295</v>
      </c>
      <c r="B3374" s="174" t="n">
        <v>48295</v>
      </c>
      <c r="C3374" s="174" t="n">
        <v>1411</v>
      </c>
      <c r="D3374" s="174" t="n">
        <v>1</v>
      </c>
      <c r="E3374" s="175" t="inlineStr">
        <is>
          <t>1411/01/03</t>
        </is>
      </c>
      <c r="F3374" s="128" t="inlineStr">
        <is>
          <t>1411/01</t>
        </is>
      </c>
      <c r="G3374" s="58" t="inlineStr">
        <is>
          <t>فروردین</t>
        </is>
      </c>
      <c r="H3374" s="128" t="inlineStr">
        <is>
          <t>بهار</t>
        </is>
      </c>
      <c r="I3374" s="128" t="inlineStr">
        <is>
          <t>دوشنبه</t>
        </is>
      </c>
      <c r="J3374" s="128" t="inlineStr">
        <is>
          <t>بله</t>
        </is>
      </c>
    </row>
    <row r="3375">
      <c r="A3375" s="176" t="n">
        <v>48296</v>
      </c>
      <c r="B3375" s="177" t="n">
        <v>48296</v>
      </c>
      <c r="C3375" s="177" t="n">
        <v>1411</v>
      </c>
      <c r="D3375" s="177" t="n">
        <v>1</v>
      </c>
      <c r="E3375" s="178" t="inlineStr">
        <is>
          <t>1411/01/04</t>
        </is>
      </c>
      <c r="F3375" s="134" t="inlineStr">
        <is>
          <t>1411/01</t>
        </is>
      </c>
      <c r="G3375" s="61" t="inlineStr">
        <is>
          <t>فروردین</t>
        </is>
      </c>
      <c r="H3375" s="134" t="inlineStr">
        <is>
          <t>بهار</t>
        </is>
      </c>
      <c r="I3375" s="134" t="inlineStr">
        <is>
          <t>سه‌شنبه</t>
        </is>
      </c>
      <c r="J3375" s="134" t="inlineStr">
        <is>
          <t>بله</t>
        </is>
      </c>
    </row>
    <row r="3376">
      <c r="A3376" s="173" t="n">
        <v>48297</v>
      </c>
      <c r="B3376" s="174" t="n">
        <v>48297</v>
      </c>
      <c r="C3376" s="174" t="n">
        <v>1411</v>
      </c>
      <c r="D3376" s="174" t="n">
        <v>1</v>
      </c>
      <c r="E3376" s="175" t="inlineStr">
        <is>
          <t>1411/01/05</t>
        </is>
      </c>
      <c r="F3376" s="128" t="inlineStr">
        <is>
          <t>1411/01</t>
        </is>
      </c>
      <c r="G3376" s="58" t="inlineStr">
        <is>
          <t>فروردین</t>
        </is>
      </c>
      <c r="H3376" s="128" t="inlineStr">
        <is>
          <t>بهار</t>
        </is>
      </c>
      <c r="I3376" s="128" t="inlineStr">
        <is>
          <t>چهارشنبه</t>
        </is>
      </c>
      <c r="J3376" s="128" t="inlineStr">
        <is>
          <t>بله</t>
        </is>
      </c>
    </row>
    <row r="3377">
      <c r="A3377" s="176" t="n">
        <v>48298</v>
      </c>
      <c r="B3377" s="177" t="n">
        <v>48298</v>
      </c>
      <c r="C3377" s="177" t="n">
        <v>1411</v>
      </c>
      <c r="D3377" s="177" t="n">
        <v>1</v>
      </c>
      <c r="E3377" s="178" t="inlineStr">
        <is>
          <t>1411/01/06</t>
        </is>
      </c>
      <c r="F3377" s="134" t="inlineStr">
        <is>
          <t>1411/01</t>
        </is>
      </c>
      <c r="G3377" s="61" t="inlineStr">
        <is>
          <t>فروردین</t>
        </is>
      </c>
      <c r="H3377" s="134" t="inlineStr">
        <is>
          <t>بهار</t>
        </is>
      </c>
      <c r="I3377" s="134" t="inlineStr">
        <is>
          <t>پنجشنبه</t>
        </is>
      </c>
      <c r="J3377" s="134" t="inlineStr">
        <is>
          <t>بله</t>
        </is>
      </c>
    </row>
    <row r="3378">
      <c r="A3378" s="173" t="n">
        <v>48299</v>
      </c>
      <c r="B3378" s="174" t="n">
        <v>48299</v>
      </c>
      <c r="C3378" s="174" t="n">
        <v>1411</v>
      </c>
      <c r="D3378" s="174" t="n">
        <v>1</v>
      </c>
      <c r="E3378" s="175" t="inlineStr">
        <is>
          <t>1411/01/07</t>
        </is>
      </c>
      <c r="F3378" s="128" t="inlineStr">
        <is>
          <t>1411/01</t>
        </is>
      </c>
      <c r="G3378" s="58" t="inlineStr">
        <is>
          <t>فروردین</t>
        </is>
      </c>
      <c r="H3378" s="128" t="inlineStr">
        <is>
          <t>بهار</t>
        </is>
      </c>
      <c r="I3378" s="128" t="inlineStr">
        <is>
          <t>جمعه</t>
        </is>
      </c>
      <c r="J3378" s="128" t="inlineStr">
        <is>
          <t>بله</t>
        </is>
      </c>
    </row>
    <row r="3379">
      <c r="A3379" s="176" t="n">
        <v>48300</v>
      </c>
      <c r="B3379" s="177" t="n">
        <v>48300</v>
      </c>
      <c r="C3379" s="177" t="n">
        <v>1411</v>
      </c>
      <c r="D3379" s="177" t="n">
        <v>1</v>
      </c>
      <c r="E3379" s="178" t="inlineStr">
        <is>
          <t>1411/01/08</t>
        </is>
      </c>
      <c r="F3379" s="134" t="inlineStr">
        <is>
          <t>1411/01</t>
        </is>
      </c>
      <c r="G3379" s="61" t="inlineStr">
        <is>
          <t>فروردین</t>
        </is>
      </c>
      <c r="H3379" s="134" t="inlineStr">
        <is>
          <t>بهار</t>
        </is>
      </c>
      <c r="I3379" s="134" t="inlineStr">
        <is>
          <t>شنبه</t>
        </is>
      </c>
      <c r="J3379" s="134" t="inlineStr">
        <is>
          <t>خیر</t>
        </is>
      </c>
    </row>
    <row r="3380">
      <c r="A3380" s="173" t="n">
        <v>48301</v>
      </c>
      <c r="B3380" s="174" t="n">
        <v>48301</v>
      </c>
      <c r="C3380" s="174" t="n">
        <v>1411</v>
      </c>
      <c r="D3380" s="174" t="n">
        <v>1</v>
      </c>
      <c r="E3380" s="175" t="inlineStr">
        <is>
          <t>1411/01/09</t>
        </is>
      </c>
      <c r="F3380" s="128" t="inlineStr">
        <is>
          <t>1411/01</t>
        </is>
      </c>
      <c r="G3380" s="58" t="inlineStr">
        <is>
          <t>فروردین</t>
        </is>
      </c>
      <c r="H3380" s="128" t="inlineStr">
        <is>
          <t>بهار</t>
        </is>
      </c>
      <c r="I3380" s="128" t="inlineStr">
        <is>
          <t>یکشنبه</t>
        </is>
      </c>
      <c r="J3380" s="128" t="inlineStr">
        <is>
          <t>خیر</t>
        </is>
      </c>
    </row>
    <row r="3381">
      <c r="A3381" s="176" t="n">
        <v>48302</v>
      </c>
      <c r="B3381" s="177" t="n">
        <v>48302</v>
      </c>
      <c r="C3381" s="177" t="n">
        <v>1411</v>
      </c>
      <c r="D3381" s="177" t="n">
        <v>1</v>
      </c>
      <c r="E3381" s="178" t="inlineStr">
        <is>
          <t>1411/01/10</t>
        </is>
      </c>
      <c r="F3381" s="134" t="inlineStr">
        <is>
          <t>1411/01</t>
        </is>
      </c>
      <c r="G3381" s="61" t="inlineStr">
        <is>
          <t>فروردین</t>
        </is>
      </c>
      <c r="H3381" s="134" t="inlineStr">
        <is>
          <t>بهار</t>
        </is>
      </c>
      <c r="I3381" s="134" t="inlineStr">
        <is>
          <t>دوشنبه</t>
        </is>
      </c>
      <c r="J3381" s="134" t="inlineStr">
        <is>
          <t>بله</t>
        </is>
      </c>
    </row>
    <row r="3382">
      <c r="A3382" s="173" t="n">
        <v>48303</v>
      </c>
      <c r="B3382" s="174" t="n">
        <v>48303</v>
      </c>
      <c r="C3382" s="174" t="n">
        <v>1411</v>
      </c>
      <c r="D3382" s="174" t="n">
        <v>1</v>
      </c>
      <c r="E3382" s="175" t="inlineStr">
        <is>
          <t>1411/01/11</t>
        </is>
      </c>
      <c r="F3382" s="128" t="inlineStr">
        <is>
          <t>1411/01</t>
        </is>
      </c>
      <c r="G3382" s="58" t="inlineStr">
        <is>
          <t>فروردین</t>
        </is>
      </c>
      <c r="H3382" s="128" t="inlineStr">
        <is>
          <t>بهار</t>
        </is>
      </c>
      <c r="I3382" s="128" t="inlineStr">
        <is>
          <t>سه‌شنبه</t>
        </is>
      </c>
      <c r="J3382" s="128" t="inlineStr">
        <is>
          <t>بله</t>
        </is>
      </c>
    </row>
    <row r="3383">
      <c r="A3383" s="176" t="n">
        <v>48304</v>
      </c>
      <c r="B3383" s="177" t="n">
        <v>48304</v>
      </c>
      <c r="C3383" s="177" t="n">
        <v>1411</v>
      </c>
      <c r="D3383" s="177" t="n">
        <v>1</v>
      </c>
      <c r="E3383" s="178" t="inlineStr">
        <is>
          <t>1411/01/12</t>
        </is>
      </c>
      <c r="F3383" s="134" t="inlineStr">
        <is>
          <t>1411/01</t>
        </is>
      </c>
      <c r="G3383" s="61" t="inlineStr">
        <is>
          <t>فروردین</t>
        </is>
      </c>
      <c r="H3383" s="134" t="inlineStr">
        <is>
          <t>بهار</t>
        </is>
      </c>
      <c r="I3383" s="134" t="inlineStr">
        <is>
          <t>چهارشنبه</t>
        </is>
      </c>
      <c r="J3383" s="134" t="inlineStr">
        <is>
          <t>بله</t>
        </is>
      </c>
    </row>
    <row r="3384">
      <c r="A3384" s="173" t="n">
        <v>48305</v>
      </c>
      <c r="B3384" s="174" t="n">
        <v>48305</v>
      </c>
      <c r="C3384" s="174" t="n">
        <v>1411</v>
      </c>
      <c r="D3384" s="174" t="n">
        <v>1</v>
      </c>
      <c r="E3384" s="175" t="inlineStr">
        <is>
          <t>1411/01/13</t>
        </is>
      </c>
      <c r="F3384" s="128" t="inlineStr">
        <is>
          <t>1411/01</t>
        </is>
      </c>
      <c r="G3384" s="58" t="inlineStr">
        <is>
          <t>فروردین</t>
        </is>
      </c>
      <c r="H3384" s="128" t="inlineStr">
        <is>
          <t>بهار</t>
        </is>
      </c>
      <c r="I3384" s="128" t="inlineStr">
        <is>
          <t>پنجشنبه</t>
        </is>
      </c>
      <c r="J3384" s="128" t="inlineStr">
        <is>
          <t>بله</t>
        </is>
      </c>
    </row>
    <row r="3385">
      <c r="A3385" s="176" t="n">
        <v>48306</v>
      </c>
      <c r="B3385" s="177" t="n">
        <v>48306</v>
      </c>
      <c r="C3385" s="177" t="n">
        <v>1411</v>
      </c>
      <c r="D3385" s="177" t="n">
        <v>1</v>
      </c>
      <c r="E3385" s="178" t="inlineStr">
        <is>
          <t>1411/01/14</t>
        </is>
      </c>
      <c r="F3385" s="134" t="inlineStr">
        <is>
          <t>1411/01</t>
        </is>
      </c>
      <c r="G3385" s="61" t="inlineStr">
        <is>
          <t>فروردین</t>
        </is>
      </c>
      <c r="H3385" s="134" t="inlineStr">
        <is>
          <t>بهار</t>
        </is>
      </c>
      <c r="I3385" s="134" t="inlineStr">
        <is>
          <t>جمعه</t>
        </is>
      </c>
      <c r="J3385" s="134" t="inlineStr">
        <is>
          <t>بله</t>
        </is>
      </c>
    </row>
    <row r="3386">
      <c r="A3386" s="173" t="n">
        <v>48307</v>
      </c>
      <c r="B3386" s="174" t="n">
        <v>48307</v>
      </c>
      <c r="C3386" s="174" t="n">
        <v>1411</v>
      </c>
      <c r="D3386" s="174" t="n">
        <v>1</v>
      </c>
      <c r="E3386" s="175" t="inlineStr">
        <is>
          <t>1411/01/15</t>
        </is>
      </c>
      <c r="F3386" s="128" t="inlineStr">
        <is>
          <t>1411/01</t>
        </is>
      </c>
      <c r="G3386" s="58" t="inlineStr">
        <is>
          <t>فروردین</t>
        </is>
      </c>
      <c r="H3386" s="128" t="inlineStr">
        <is>
          <t>بهار</t>
        </is>
      </c>
      <c r="I3386" s="128" t="inlineStr">
        <is>
          <t>شنبه</t>
        </is>
      </c>
      <c r="J3386" s="128" t="inlineStr">
        <is>
          <t>خیر</t>
        </is>
      </c>
    </row>
    <row r="3387">
      <c r="A3387" s="176" t="n">
        <v>48308</v>
      </c>
      <c r="B3387" s="177" t="n">
        <v>48308</v>
      </c>
      <c r="C3387" s="177" t="n">
        <v>1411</v>
      </c>
      <c r="D3387" s="177" t="n">
        <v>1</v>
      </c>
      <c r="E3387" s="178" t="inlineStr">
        <is>
          <t>1411/01/16</t>
        </is>
      </c>
      <c r="F3387" s="134" t="inlineStr">
        <is>
          <t>1411/01</t>
        </is>
      </c>
      <c r="G3387" s="61" t="inlineStr">
        <is>
          <t>فروردین</t>
        </is>
      </c>
      <c r="H3387" s="134" t="inlineStr">
        <is>
          <t>بهار</t>
        </is>
      </c>
      <c r="I3387" s="134" t="inlineStr">
        <is>
          <t>یکشنبه</t>
        </is>
      </c>
      <c r="J3387" s="134" t="inlineStr">
        <is>
          <t>خیر</t>
        </is>
      </c>
    </row>
    <row r="3388">
      <c r="A3388" s="173" t="n">
        <v>48309</v>
      </c>
      <c r="B3388" s="174" t="n">
        <v>48309</v>
      </c>
      <c r="C3388" s="174" t="n">
        <v>1411</v>
      </c>
      <c r="D3388" s="174" t="n">
        <v>1</v>
      </c>
      <c r="E3388" s="175" t="inlineStr">
        <is>
          <t>1411/01/17</t>
        </is>
      </c>
      <c r="F3388" s="128" t="inlineStr">
        <is>
          <t>1411/01</t>
        </is>
      </c>
      <c r="G3388" s="58" t="inlineStr">
        <is>
          <t>فروردین</t>
        </is>
      </c>
      <c r="H3388" s="128" t="inlineStr">
        <is>
          <t>بهار</t>
        </is>
      </c>
      <c r="I3388" s="128" t="inlineStr">
        <is>
          <t>دوشنبه</t>
        </is>
      </c>
      <c r="J3388" s="128" t="inlineStr">
        <is>
          <t>بله</t>
        </is>
      </c>
    </row>
    <row r="3389">
      <c r="A3389" s="176" t="n">
        <v>48310</v>
      </c>
      <c r="B3389" s="177" t="n">
        <v>48310</v>
      </c>
      <c r="C3389" s="177" t="n">
        <v>1411</v>
      </c>
      <c r="D3389" s="177" t="n">
        <v>1</v>
      </c>
      <c r="E3389" s="178" t="inlineStr">
        <is>
          <t>1411/01/18</t>
        </is>
      </c>
      <c r="F3389" s="134" t="inlineStr">
        <is>
          <t>1411/01</t>
        </is>
      </c>
      <c r="G3389" s="61" t="inlineStr">
        <is>
          <t>فروردین</t>
        </is>
      </c>
      <c r="H3389" s="134" t="inlineStr">
        <is>
          <t>بهار</t>
        </is>
      </c>
      <c r="I3389" s="134" t="inlineStr">
        <is>
          <t>سه‌شنبه</t>
        </is>
      </c>
      <c r="J3389" s="134" t="inlineStr">
        <is>
          <t>بله</t>
        </is>
      </c>
    </row>
    <row r="3390">
      <c r="A3390" s="173" t="n">
        <v>48311</v>
      </c>
      <c r="B3390" s="174" t="n">
        <v>48311</v>
      </c>
      <c r="C3390" s="174" t="n">
        <v>1411</v>
      </c>
      <c r="D3390" s="174" t="n">
        <v>1</v>
      </c>
      <c r="E3390" s="175" t="inlineStr">
        <is>
          <t>1411/01/19</t>
        </is>
      </c>
      <c r="F3390" s="128" t="inlineStr">
        <is>
          <t>1411/01</t>
        </is>
      </c>
      <c r="G3390" s="58" t="inlineStr">
        <is>
          <t>فروردین</t>
        </is>
      </c>
      <c r="H3390" s="128" t="inlineStr">
        <is>
          <t>بهار</t>
        </is>
      </c>
      <c r="I3390" s="128" t="inlineStr">
        <is>
          <t>چهارشنبه</t>
        </is>
      </c>
      <c r="J3390" s="128" t="inlineStr">
        <is>
          <t>بله</t>
        </is>
      </c>
    </row>
    <row r="3391">
      <c r="A3391" s="176" t="n">
        <v>48312</v>
      </c>
      <c r="B3391" s="177" t="n">
        <v>48312</v>
      </c>
      <c r="C3391" s="177" t="n">
        <v>1411</v>
      </c>
      <c r="D3391" s="177" t="n">
        <v>1</v>
      </c>
      <c r="E3391" s="178" t="inlineStr">
        <is>
          <t>1411/01/20</t>
        </is>
      </c>
      <c r="F3391" s="134" t="inlineStr">
        <is>
          <t>1411/01</t>
        </is>
      </c>
      <c r="G3391" s="61" t="inlineStr">
        <is>
          <t>فروردین</t>
        </is>
      </c>
      <c r="H3391" s="134" t="inlineStr">
        <is>
          <t>بهار</t>
        </is>
      </c>
      <c r="I3391" s="134" t="inlineStr">
        <is>
          <t>پنجشنبه</t>
        </is>
      </c>
      <c r="J3391" s="134" t="inlineStr">
        <is>
          <t>بله</t>
        </is>
      </c>
    </row>
    <row r="3392">
      <c r="A3392" s="173" t="n">
        <v>48313</v>
      </c>
      <c r="B3392" s="174" t="n">
        <v>48313</v>
      </c>
      <c r="C3392" s="174" t="n">
        <v>1411</v>
      </c>
      <c r="D3392" s="174" t="n">
        <v>1</v>
      </c>
      <c r="E3392" s="175" t="inlineStr">
        <is>
          <t>1411/01/21</t>
        </is>
      </c>
      <c r="F3392" s="128" t="inlineStr">
        <is>
          <t>1411/01</t>
        </is>
      </c>
      <c r="G3392" s="58" t="inlineStr">
        <is>
          <t>فروردین</t>
        </is>
      </c>
      <c r="H3392" s="128" t="inlineStr">
        <is>
          <t>بهار</t>
        </is>
      </c>
      <c r="I3392" s="128" t="inlineStr">
        <is>
          <t>جمعه</t>
        </is>
      </c>
      <c r="J3392" s="128" t="inlineStr">
        <is>
          <t>بله</t>
        </is>
      </c>
    </row>
    <row r="3393">
      <c r="A3393" s="176" t="n">
        <v>48314</v>
      </c>
      <c r="B3393" s="177" t="n">
        <v>48314</v>
      </c>
      <c r="C3393" s="177" t="n">
        <v>1411</v>
      </c>
      <c r="D3393" s="177" t="n">
        <v>1</v>
      </c>
      <c r="E3393" s="178" t="inlineStr">
        <is>
          <t>1411/01/22</t>
        </is>
      </c>
      <c r="F3393" s="134" t="inlineStr">
        <is>
          <t>1411/01</t>
        </is>
      </c>
      <c r="G3393" s="61" t="inlineStr">
        <is>
          <t>فروردین</t>
        </is>
      </c>
      <c r="H3393" s="134" t="inlineStr">
        <is>
          <t>بهار</t>
        </is>
      </c>
      <c r="I3393" s="134" t="inlineStr">
        <is>
          <t>شنبه</t>
        </is>
      </c>
      <c r="J3393" s="134" t="inlineStr">
        <is>
          <t>خیر</t>
        </is>
      </c>
    </row>
    <row r="3394">
      <c r="A3394" s="173" t="n">
        <v>48315</v>
      </c>
      <c r="B3394" s="174" t="n">
        <v>48315</v>
      </c>
      <c r="C3394" s="174" t="n">
        <v>1411</v>
      </c>
      <c r="D3394" s="174" t="n">
        <v>1</v>
      </c>
      <c r="E3394" s="175" t="inlineStr">
        <is>
          <t>1411/01/23</t>
        </is>
      </c>
      <c r="F3394" s="128" t="inlineStr">
        <is>
          <t>1411/01</t>
        </is>
      </c>
      <c r="G3394" s="58" t="inlineStr">
        <is>
          <t>فروردین</t>
        </is>
      </c>
      <c r="H3394" s="128" t="inlineStr">
        <is>
          <t>بهار</t>
        </is>
      </c>
      <c r="I3394" s="128" t="inlineStr">
        <is>
          <t>یکشنبه</t>
        </is>
      </c>
      <c r="J3394" s="128" t="inlineStr">
        <is>
          <t>خیر</t>
        </is>
      </c>
    </row>
    <row r="3395">
      <c r="A3395" s="176" t="n">
        <v>48316</v>
      </c>
      <c r="B3395" s="177" t="n">
        <v>48316</v>
      </c>
      <c r="C3395" s="177" t="n">
        <v>1411</v>
      </c>
      <c r="D3395" s="177" t="n">
        <v>1</v>
      </c>
      <c r="E3395" s="178" t="inlineStr">
        <is>
          <t>1411/01/24</t>
        </is>
      </c>
      <c r="F3395" s="134" t="inlineStr">
        <is>
          <t>1411/01</t>
        </is>
      </c>
      <c r="G3395" s="61" t="inlineStr">
        <is>
          <t>فروردین</t>
        </is>
      </c>
      <c r="H3395" s="134" t="inlineStr">
        <is>
          <t>بهار</t>
        </is>
      </c>
      <c r="I3395" s="134" t="inlineStr">
        <is>
          <t>دوشنبه</t>
        </is>
      </c>
      <c r="J3395" s="134" t="inlineStr">
        <is>
          <t>بله</t>
        </is>
      </c>
    </row>
    <row r="3396">
      <c r="A3396" s="173" t="n">
        <v>48317</v>
      </c>
      <c r="B3396" s="174" t="n">
        <v>48317</v>
      </c>
      <c r="C3396" s="174" t="n">
        <v>1411</v>
      </c>
      <c r="D3396" s="174" t="n">
        <v>1</v>
      </c>
      <c r="E3396" s="175" t="inlineStr">
        <is>
          <t>1411/01/25</t>
        </is>
      </c>
      <c r="F3396" s="128" t="inlineStr">
        <is>
          <t>1411/01</t>
        </is>
      </c>
      <c r="G3396" s="58" t="inlineStr">
        <is>
          <t>فروردین</t>
        </is>
      </c>
      <c r="H3396" s="128" t="inlineStr">
        <is>
          <t>بهار</t>
        </is>
      </c>
      <c r="I3396" s="128" t="inlineStr">
        <is>
          <t>سه‌شنبه</t>
        </is>
      </c>
      <c r="J3396" s="128" t="inlineStr">
        <is>
          <t>بله</t>
        </is>
      </c>
    </row>
    <row r="3397">
      <c r="A3397" s="176" t="n">
        <v>48318</v>
      </c>
      <c r="B3397" s="177" t="n">
        <v>48318</v>
      </c>
      <c r="C3397" s="177" t="n">
        <v>1411</v>
      </c>
      <c r="D3397" s="177" t="n">
        <v>1</v>
      </c>
      <c r="E3397" s="178" t="inlineStr">
        <is>
          <t>1411/01/26</t>
        </is>
      </c>
      <c r="F3397" s="134" t="inlineStr">
        <is>
          <t>1411/01</t>
        </is>
      </c>
      <c r="G3397" s="61" t="inlineStr">
        <is>
          <t>فروردین</t>
        </is>
      </c>
      <c r="H3397" s="134" t="inlineStr">
        <is>
          <t>بهار</t>
        </is>
      </c>
      <c r="I3397" s="134" t="inlineStr">
        <is>
          <t>چهارشنبه</t>
        </is>
      </c>
      <c r="J3397" s="134" t="inlineStr">
        <is>
          <t>بله</t>
        </is>
      </c>
    </row>
    <row r="3398">
      <c r="A3398" s="173" t="n">
        <v>48319</v>
      </c>
      <c r="B3398" s="174" t="n">
        <v>48319</v>
      </c>
      <c r="C3398" s="174" t="n">
        <v>1411</v>
      </c>
      <c r="D3398" s="174" t="n">
        <v>1</v>
      </c>
      <c r="E3398" s="175" t="inlineStr">
        <is>
          <t>1411/01/27</t>
        </is>
      </c>
      <c r="F3398" s="128" t="inlineStr">
        <is>
          <t>1411/01</t>
        </is>
      </c>
      <c r="G3398" s="58" t="inlineStr">
        <is>
          <t>فروردین</t>
        </is>
      </c>
      <c r="H3398" s="128" t="inlineStr">
        <is>
          <t>بهار</t>
        </is>
      </c>
      <c r="I3398" s="128" t="inlineStr">
        <is>
          <t>پنجشنبه</t>
        </is>
      </c>
      <c r="J3398" s="128" t="inlineStr">
        <is>
          <t>بله</t>
        </is>
      </c>
    </row>
    <row r="3399">
      <c r="A3399" s="176" t="n">
        <v>48320</v>
      </c>
      <c r="B3399" s="177" t="n">
        <v>48320</v>
      </c>
      <c r="C3399" s="177" t="n">
        <v>1411</v>
      </c>
      <c r="D3399" s="177" t="n">
        <v>1</v>
      </c>
      <c r="E3399" s="178" t="inlineStr">
        <is>
          <t>1411/01/28</t>
        </is>
      </c>
      <c r="F3399" s="134" t="inlineStr">
        <is>
          <t>1411/01</t>
        </is>
      </c>
      <c r="G3399" s="61" t="inlineStr">
        <is>
          <t>فروردین</t>
        </is>
      </c>
      <c r="H3399" s="134" t="inlineStr">
        <is>
          <t>بهار</t>
        </is>
      </c>
      <c r="I3399" s="134" t="inlineStr">
        <is>
          <t>جمعه</t>
        </is>
      </c>
      <c r="J3399" s="134" t="inlineStr">
        <is>
          <t>بله</t>
        </is>
      </c>
    </row>
    <row r="3400">
      <c r="A3400" s="173" t="n">
        <v>48321</v>
      </c>
      <c r="B3400" s="174" t="n">
        <v>48321</v>
      </c>
      <c r="C3400" s="174" t="n">
        <v>1411</v>
      </c>
      <c r="D3400" s="174" t="n">
        <v>1</v>
      </c>
      <c r="E3400" s="175" t="inlineStr">
        <is>
          <t>1411/01/29</t>
        </is>
      </c>
      <c r="F3400" s="128" t="inlineStr">
        <is>
          <t>1411/01</t>
        </is>
      </c>
      <c r="G3400" s="58" t="inlineStr">
        <is>
          <t>فروردین</t>
        </is>
      </c>
      <c r="H3400" s="128" t="inlineStr">
        <is>
          <t>بهار</t>
        </is>
      </c>
      <c r="I3400" s="128" t="inlineStr">
        <is>
          <t>شنبه</t>
        </is>
      </c>
      <c r="J3400" s="128" t="inlineStr">
        <is>
          <t>خیر</t>
        </is>
      </c>
    </row>
    <row r="3401">
      <c r="A3401" s="176" t="n">
        <v>48322</v>
      </c>
      <c r="B3401" s="177" t="n">
        <v>48322</v>
      </c>
      <c r="C3401" s="177" t="n">
        <v>1411</v>
      </c>
      <c r="D3401" s="177" t="n">
        <v>1</v>
      </c>
      <c r="E3401" s="178" t="inlineStr">
        <is>
          <t>1411/01/30</t>
        </is>
      </c>
      <c r="F3401" s="134" t="inlineStr">
        <is>
          <t>1411/01</t>
        </is>
      </c>
      <c r="G3401" s="61" t="inlineStr">
        <is>
          <t>فروردین</t>
        </is>
      </c>
      <c r="H3401" s="134" t="inlineStr">
        <is>
          <t>بهار</t>
        </is>
      </c>
      <c r="I3401" s="134" t="inlineStr">
        <is>
          <t>یکشنبه</t>
        </is>
      </c>
      <c r="J3401" s="134" t="inlineStr">
        <is>
          <t>خیر</t>
        </is>
      </c>
    </row>
    <row r="3402">
      <c r="A3402" s="173" t="n">
        <v>48323</v>
      </c>
      <c r="B3402" s="174" t="n">
        <v>48323</v>
      </c>
      <c r="C3402" s="174" t="n">
        <v>1411</v>
      </c>
      <c r="D3402" s="174" t="n">
        <v>1</v>
      </c>
      <c r="E3402" s="175" t="inlineStr">
        <is>
          <t>1411/01/31</t>
        </is>
      </c>
      <c r="F3402" s="128" t="inlineStr">
        <is>
          <t>1411/01</t>
        </is>
      </c>
      <c r="G3402" s="58" t="inlineStr">
        <is>
          <t>فروردین</t>
        </is>
      </c>
      <c r="H3402" s="128" t="inlineStr">
        <is>
          <t>بهار</t>
        </is>
      </c>
      <c r="I3402" s="128" t="inlineStr">
        <is>
          <t>دوشنبه</t>
        </is>
      </c>
      <c r="J3402" s="128" t="inlineStr">
        <is>
          <t>بله</t>
        </is>
      </c>
    </row>
    <row r="3403">
      <c r="A3403" s="176" t="n">
        <v>48324</v>
      </c>
      <c r="B3403" s="177" t="n">
        <v>48324</v>
      </c>
      <c r="C3403" s="177" t="n">
        <v>1411</v>
      </c>
      <c r="D3403" s="177" t="n">
        <v>2</v>
      </c>
      <c r="E3403" s="178" t="inlineStr">
        <is>
          <t>1411/02/01</t>
        </is>
      </c>
      <c r="F3403" s="134" t="inlineStr">
        <is>
          <t>1411/02</t>
        </is>
      </c>
      <c r="G3403" s="61" t="inlineStr">
        <is>
          <t>اردیبهشت</t>
        </is>
      </c>
      <c r="H3403" s="134" t="inlineStr">
        <is>
          <t>بهار</t>
        </is>
      </c>
      <c r="I3403" s="134" t="inlineStr">
        <is>
          <t>سه‌شنبه</t>
        </is>
      </c>
      <c r="J3403" s="134" t="inlineStr">
        <is>
          <t>بله</t>
        </is>
      </c>
    </row>
    <row r="3404">
      <c r="A3404" s="173" t="n">
        <v>48325</v>
      </c>
      <c r="B3404" s="174" t="n">
        <v>48325</v>
      </c>
      <c r="C3404" s="174" t="n">
        <v>1411</v>
      </c>
      <c r="D3404" s="174" t="n">
        <v>2</v>
      </c>
      <c r="E3404" s="175" t="inlineStr">
        <is>
          <t>1411/02/02</t>
        </is>
      </c>
      <c r="F3404" s="128" t="inlineStr">
        <is>
          <t>1411/02</t>
        </is>
      </c>
      <c r="G3404" s="58" t="inlineStr">
        <is>
          <t>اردیبهشت</t>
        </is>
      </c>
      <c r="H3404" s="128" t="inlineStr">
        <is>
          <t>بهار</t>
        </is>
      </c>
      <c r="I3404" s="128" t="inlineStr">
        <is>
          <t>چهارشنبه</t>
        </is>
      </c>
      <c r="J3404" s="128" t="inlineStr">
        <is>
          <t>بله</t>
        </is>
      </c>
    </row>
    <row r="3405">
      <c r="A3405" s="176" t="n">
        <v>48326</v>
      </c>
      <c r="B3405" s="177" t="n">
        <v>48326</v>
      </c>
      <c r="C3405" s="177" t="n">
        <v>1411</v>
      </c>
      <c r="D3405" s="177" t="n">
        <v>2</v>
      </c>
      <c r="E3405" s="178" t="inlineStr">
        <is>
          <t>1411/02/03</t>
        </is>
      </c>
      <c r="F3405" s="134" t="inlineStr">
        <is>
          <t>1411/02</t>
        </is>
      </c>
      <c r="G3405" s="61" t="inlineStr">
        <is>
          <t>اردیبهشت</t>
        </is>
      </c>
      <c r="H3405" s="134" t="inlineStr">
        <is>
          <t>بهار</t>
        </is>
      </c>
      <c r="I3405" s="134" t="inlineStr">
        <is>
          <t>پنجشنبه</t>
        </is>
      </c>
      <c r="J3405" s="134" t="inlineStr">
        <is>
          <t>بله</t>
        </is>
      </c>
    </row>
    <row r="3406">
      <c r="A3406" s="173" t="n">
        <v>48327</v>
      </c>
      <c r="B3406" s="174" t="n">
        <v>48327</v>
      </c>
      <c r="C3406" s="174" t="n">
        <v>1411</v>
      </c>
      <c r="D3406" s="174" t="n">
        <v>2</v>
      </c>
      <c r="E3406" s="175" t="inlineStr">
        <is>
          <t>1411/02/04</t>
        </is>
      </c>
      <c r="F3406" s="128" t="inlineStr">
        <is>
          <t>1411/02</t>
        </is>
      </c>
      <c r="G3406" s="58" t="inlineStr">
        <is>
          <t>اردیبهشت</t>
        </is>
      </c>
      <c r="H3406" s="128" t="inlineStr">
        <is>
          <t>بهار</t>
        </is>
      </c>
      <c r="I3406" s="128" t="inlineStr">
        <is>
          <t>جمعه</t>
        </is>
      </c>
      <c r="J3406" s="128" t="inlineStr">
        <is>
          <t>بله</t>
        </is>
      </c>
    </row>
    <row r="3407">
      <c r="A3407" s="176" t="n">
        <v>48328</v>
      </c>
      <c r="B3407" s="177" t="n">
        <v>48328</v>
      </c>
      <c r="C3407" s="177" t="n">
        <v>1411</v>
      </c>
      <c r="D3407" s="177" t="n">
        <v>2</v>
      </c>
      <c r="E3407" s="178" t="inlineStr">
        <is>
          <t>1411/02/05</t>
        </is>
      </c>
      <c r="F3407" s="134" t="inlineStr">
        <is>
          <t>1411/02</t>
        </is>
      </c>
      <c r="G3407" s="61" t="inlineStr">
        <is>
          <t>اردیبهشت</t>
        </is>
      </c>
      <c r="H3407" s="134" t="inlineStr">
        <is>
          <t>بهار</t>
        </is>
      </c>
      <c r="I3407" s="134" t="inlineStr">
        <is>
          <t>شنبه</t>
        </is>
      </c>
      <c r="J3407" s="134" t="inlineStr">
        <is>
          <t>خیر</t>
        </is>
      </c>
    </row>
    <row r="3408">
      <c r="A3408" s="173" t="n">
        <v>48329</v>
      </c>
      <c r="B3408" s="174" t="n">
        <v>48329</v>
      </c>
      <c r="C3408" s="174" t="n">
        <v>1411</v>
      </c>
      <c r="D3408" s="174" t="n">
        <v>2</v>
      </c>
      <c r="E3408" s="175" t="inlineStr">
        <is>
          <t>1411/02/06</t>
        </is>
      </c>
      <c r="F3408" s="128" t="inlineStr">
        <is>
          <t>1411/02</t>
        </is>
      </c>
      <c r="G3408" s="58" t="inlineStr">
        <is>
          <t>اردیبهشت</t>
        </is>
      </c>
      <c r="H3408" s="128" t="inlineStr">
        <is>
          <t>بهار</t>
        </is>
      </c>
      <c r="I3408" s="128" t="inlineStr">
        <is>
          <t>یکشنبه</t>
        </is>
      </c>
      <c r="J3408" s="128" t="inlineStr">
        <is>
          <t>خیر</t>
        </is>
      </c>
    </row>
    <row r="3409">
      <c r="A3409" s="176" t="n">
        <v>48330</v>
      </c>
      <c r="B3409" s="177" t="n">
        <v>48330</v>
      </c>
      <c r="C3409" s="177" t="n">
        <v>1411</v>
      </c>
      <c r="D3409" s="177" t="n">
        <v>2</v>
      </c>
      <c r="E3409" s="178" t="inlineStr">
        <is>
          <t>1411/02/07</t>
        </is>
      </c>
      <c r="F3409" s="134" t="inlineStr">
        <is>
          <t>1411/02</t>
        </is>
      </c>
      <c r="G3409" s="61" t="inlineStr">
        <is>
          <t>اردیبهشت</t>
        </is>
      </c>
      <c r="H3409" s="134" t="inlineStr">
        <is>
          <t>بهار</t>
        </is>
      </c>
      <c r="I3409" s="134" t="inlineStr">
        <is>
          <t>دوشنبه</t>
        </is>
      </c>
      <c r="J3409" s="134" t="inlineStr">
        <is>
          <t>بله</t>
        </is>
      </c>
    </row>
    <row r="3410">
      <c r="A3410" s="173" t="n">
        <v>48331</v>
      </c>
      <c r="B3410" s="174" t="n">
        <v>48331</v>
      </c>
      <c r="C3410" s="174" t="n">
        <v>1411</v>
      </c>
      <c r="D3410" s="174" t="n">
        <v>2</v>
      </c>
      <c r="E3410" s="175" t="inlineStr">
        <is>
          <t>1411/02/08</t>
        </is>
      </c>
      <c r="F3410" s="128" t="inlineStr">
        <is>
          <t>1411/02</t>
        </is>
      </c>
      <c r="G3410" s="58" t="inlineStr">
        <is>
          <t>اردیبهشت</t>
        </is>
      </c>
      <c r="H3410" s="128" t="inlineStr">
        <is>
          <t>بهار</t>
        </is>
      </c>
      <c r="I3410" s="128" t="inlineStr">
        <is>
          <t>سه‌شنبه</t>
        </is>
      </c>
      <c r="J3410" s="128" t="inlineStr">
        <is>
          <t>بله</t>
        </is>
      </c>
    </row>
    <row r="3411">
      <c r="A3411" s="176" t="n">
        <v>48332</v>
      </c>
      <c r="B3411" s="177" t="n">
        <v>48332</v>
      </c>
      <c r="C3411" s="177" t="n">
        <v>1411</v>
      </c>
      <c r="D3411" s="177" t="n">
        <v>2</v>
      </c>
      <c r="E3411" s="178" t="inlineStr">
        <is>
          <t>1411/02/09</t>
        </is>
      </c>
      <c r="F3411" s="134" t="inlineStr">
        <is>
          <t>1411/02</t>
        </is>
      </c>
      <c r="G3411" s="61" t="inlineStr">
        <is>
          <t>اردیبهشت</t>
        </is>
      </c>
      <c r="H3411" s="134" t="inlineStr">
        <is>
          <t>بهار</t>
        </is>
      </c>
      <c r="I3411" s="134" t="inlineStr">
        <is>
          <t>چهارشنبه</t>
        </is>
      </c>
      <c r="J3411" s="134" t="inlineStr">
        <is>
          <t>بله</t>
        </is>
      </c>
    </row>
    <row r="3412">
      <c r="A3412" s="173" t="n">
        <v>48333</v>
      </c>
      <c r="B3412" s="174" t="n">
        <v>48333</v>
      </c>
      <c r="C3412" s="174" t="n">
        <v>1411</v>
      </c>
      <c r="D3412" s="174" t="n">
        <v>2</v>
      </c>
      <c r="E3412" s="175" t="inlineStr">
        <is>
          <t>1411/02/10</t>
        </is>
      </c>
      <c r="F3412" s="128" t="inlineStr">
        <is>
          <t>1411/02</t>
        </is>
      </c>
      <c r="G3412" s="58" t="inlineStr">
        <is>
          <t>اردیبهشت</t>
        </is>
      </c>
      <c r="H3412" s="128" t="inlineStr">
        <is>
          <t>بهار</t>
        </is>
      </c>
      <c r="I3412" s="128" t="inlineStr">
        <is>
          <t>پنجشنبه</t>
        </is>
      </c>
      <c r="J3412" s="128" t="inlineStr">
        <is>
          <t>بله</t>
        </is>
      </c>
    </row>
    <row r="3413">
      <c r="A3413" s="176" t="n">
        <v>48334</v>
      </c>
      <c r="B3413" s="177" t="n">
        <v>48334</v>
      </c>
      <c r="C3413" s="177" t="n">
        <v>1411</v>
      </c>
      <c r="D3413" s="177" t="n">
        <v>2</v>
      </c>
      <c r="E3413" s="178" t="inlineStr">
        <is>
          <t>1411/02/11</t>
        </is>
      </c>
      <c r="F3413" s="134" t="inlineStr">
        <is>
          <t>1411/02</t>
        </is>
      </c>
      <c r="G3413" s="61" t="inlineStr">
        <is>
          <t>اردیبهشت</t>
        </is>
      </c>
      <c r="H3413" s="134" t="inlineStr">
        <is>
          <t>بهار</t>
        </is>
      </c>
      <c r="I3413" s="134" t="inlineStr">
        <is>
          <t>جمعه</t>
        </is>
      </c>
      <c r="J3413" s="134" t="inlineStr">
        <is>
          <t>بله</t>
        </is>
      </c>
    </row>
    <row r="3414">
      <c r="A3414" s="173" t="n">
        <v>48335</v>
      </c>
      <c r="B3414" s="174" t="n">
        <v>48335</v>
      </c>
      <c r="C3414" s="174" t="n">
        <v>1411</v>
      </c>
      <c r="D3414" s="174" t="n">
        <v>2</v>
      </c>
      <c r="E3414" s="175" t="inlineStr">
        <is>
          <t>1411/02/12</t>
        </is>
      </c>
      <c r="F3414" s="128" t="inlineStr">
        <is>
          <t>1411/02</t>
        </is>
      </c>
      <c r="G3414" s="58" t="inlineStr">
        <is>
          <t>اردیبهشت</t>
        </is>
      </c>
      <c r="H3414" s="128" t="inlineStr">
        <is>
          <t>بهار</t>
        </is>
      </c>
      <c r="I3414" s="128" t="inlineStr">
        <is>
          <t>شنبه</t>
        </is>
      </c>
      <c r="J3414" s="128" t="inlineStr">
        <is>
          <t>خیر</t>
        </is>
      </c>
    </row>
    <row r="3415">
      <c r="A3415" s="176" t="n">
        <v>48336</v>
      </c>
      <c r="B3415" s="177" t="n">
        <v>48336</v>
      </c>
      <c r="C3415" s="177" t="n">
        <v>1411</v>
      </c>
      <c r="D3415" s="177" t="n">
        <v>2</v>
      </c>
      <c r="E3415" s="178" t="inlineStr">
        <is>
          <t>1411/02/13</t>
        </is>
      </c>
      <c r="F3415" s="134" t="inlineStr">
        <is>
          <t>1411/02</t>
        </is>
      </c>
      <c r="G3415" s="61" t="inlineStr">
        <is>
          <t>اردیبهشت</t>
        </is>
      </c>
      <c r="H3415" s="134" t="inlineStr">
        <is>
          <t>بهار</t>
        </is>
      </c>
      <c r="I3415" s="134" t="inlineStr">
        <is>
          <t>یکشنبه</t>
        </is>
      </c>
      <c r="J3415" s="134" t="inlineStr">
        <is>
          <t>خیر</t>
        </is>
      </c>
    </row>
    <row r="3416">
      <c r="A3416" s="173" t="n">
        <v>48337</v>
      </c>
      <c r="B3416" s="174" t="n">
        <v>48337</v>
      </c>
      <c r="C3416" s="174" t="n">
        <v>1411</v>
      </c>
      <c r="D3416" s="174" t="n">
        <v>2</v>
      </c>
      <c r="E3416" s="175" t="inlineStr">
        <is>
          <t>1411/02/14</t>
        </is>
      </c>
      <c r="F3416" s="128" t="inlineStr">
        <is>
          <t>1411/02</t>
        </is>
      </c>
      <c r="G3416" s="58" t="inlineStr">
        <is>
          <t>اردیبهشت</t>
        </is>
      </c>
      <c r="H3416" s="128" t="inlineStr">
        <is>
          <t>بهار</t>
        </is>
      </c>
      <c r="I3416" s="128" t="inlineStr">
        <is>
          <t>دوشنبه</t>
        </is>
      </c>
      <c r="J3416" s="128" t="inlineStr">
        <is>
          <t>بله</t>
        </is>
      </c>
    </row>
    <row r="3417">
      <c r="A3417" s="176" t="n">
        <v>48338</v>
      </c>
      <c r="B3417" s="177" t="n">
        <v>48338</v>
      </c>
      <c r="C3417" s="177" t="n">
        <v>1411</v>
      </c>
      <c r="D3417" s="177" t="n">
        <v>2</v>
      </c>
      <c r="E3417" s="178" t="inlineStr">
        <is>
          <t>1411/02/15</t>
        </is>
      </c>
      <c r="F3417" s="134" t="inlineStr">
        <is>
          <t>1411/02</t>
        </is>
      </c>
      <c r="G3417" s="61" t="inlineStr">
        <is>
          <t>اردیبهشت</t>
        </is>
      </c>
      <c r="H3417" s="134" t="inlineStr">
        <is>
          <t>بهار</t>
        </is>
      </c>
      <c r="I3417" s="134" t="inlineStr">
        <is>
          <t>سه‌شنبه</t>
        </is>
      </c>
      <c r="J3417" s="134" t="inlineStr">
        <is>
          <t>بله</t>
        </is>
      </c>
    </row>
    <row r="3418">
      <c r="A3418" s="173" t="n">
        <v>48339</v>
      </c>
      <c r="B3418" s="174" t="n">
        <v>48339</v>
      </c>
      <c r="C3418" s="174" t="n">
        <v>1411</v>
      </c>
      <c r="D3418" s="174" t="n">
        <v>2</v>
      </c>
      <c r="E3418" s="175" t="inlineStr">
        <is>
          <t>1411/02/16</t>
        </is>
      </c>
      <c r="F3418" s="128" t="inlineStr">
        <is>
          <t>1411/02</t>
        </is>
      </c>
      <c r="G3418" s="58" t="inlineStr">
        <is>
          <t>اردیبهشت</t>
        </is>
      </c>
      <c r="H3418" s="128" t="inlineStr">
        <is>
          <t>بهار</t>
        </is>
      </c>
      <c r="I3418" s="128" t="inlineStr">
        <is>
          <t>چهارشنبه</t>
        </is>
      </c>
      <c r="J3418" s="128" t="inlineStr">
        <is>
          <t>بله</t>
        </is>
      </c>
    </row>
    <row r="3419">
      <c r="A3419" s="176" t="n">
        <v>48340</v>
      </c>
      <c r="B3419" s="177" t="n">
        <v>48340</v>
      </c>
      <c r="C3419" s="177" t="n">
        <v>1411</v>
      </c>
      <c r="D3419" s="177" t="n">
        <v>2</v>
      </c>
      <c r="E3419" s="178" t="inlineStr">
        <is>
          <t>1411/02/17</t>
        </is>
      </c>
      <c r="F3419" s="134" t="inlineStr">
        <is>
          <t>1411/02</t>
        </is>
      </c>
      <c r="G3419" s="61" t="inlineStr">
        <is>
          <t>اردیبهشت</t>
        </is>
      </c>
      <c r="H3419" s="134" t="inlineStr">
        <is>
          <t>بهار</t>
        </is>
      </c>
      <c r="I3419" s="134" t="inlineStr">
        <is>
          <t>پنجشنبه</t>
        </is>
      </c>
      <c r="J3419" s="134" t="inlineStr">
        <is>
          <t>بله</t>
        </is>
      </c>
    </row>
    <row r="3420">
      <c r="A3420" s="173" t="n">
        <v>48341</v>
      </c>
      <c r="B3420" s="174" t="n">
        <v>48341</v>
      </c>
      <c r="C3420" s="174" t="n">
        <v>1411</v>
      </c>
      <c r="D3420" s="174" t="n">
        <v>2</v>
      </c>
      <c r="E3420" s="175" t="inlineStr">
        <is>
          <t>1411/02/18</t>
        </is>
      </c>
      <c r="F3420" s="128" t="inlineStr">
        <is>
          <t>1411/02</t>
        </is>
      </c>
      <c r="G3420" s="58" t="inlineStr">
        <is>
          <t>اردیبهشت</t>
        </is>
      </c>
      <c r="H3420" s="128" t="inlineStr">
        <is>
          <t>بهار</t>
        </is>
      </c>
      <c r="I3420" s="128" t="inlineStr">
        <is>
          <t>جمعه</t>
        </is>
      </c>
      <c r="J3420" s="128" t="inlineStr">
        <is>
          <t>بله</t>
        </is>
      </c>
    </row>
    <row r="3421">
      <c r="A3421" s="176" t="n">
        <v>48342</v>
      </c>
      <c r="B3421" s="177" t="n">
        <v>48342</v>
      </c>
      <c r="C3421" s="177" t="n">
        <v>1411</v>
      </c>
      <c r="D3421" s="177" t="n">
        <v>2</v>
      </c>
      <c r="E3421" s="178" t="inlineStr">
        <is>
          <t>1411/02/19</t>
        </is>
      </c>
      <c r="F3421" s="134" t="inlineStr">
        <is>
          <t>1411/02</t>
        </is>
      </c>
      <c r="G3421" s="61" t="inlineStr">
        <is>
          <t>اردیبهشت</t>
        </is>
      </c>
      <c r="H3421" s="134" t="inlineStr">
        <is>
          <t>بهار</t>
        </is>
      </c>
      <c r="I3421" s="134" t="inlineStr">
        <is>
          <t>شنبه</t>
        </is>
      </c>
      <c r="J3421" s="134" t="inlineStr">
        <is>
          <t>خیر</t>
        </is>
      </c>
    </row>
    <row r="3422">
      <c r="A3422" s="173" t="n">
        <v>48343</v>
      </c>
      <c r="B3422" s="174" t="n">
        <v>48343</v>
      </c>
      <c r="C3422" s="174" t="n">
        <v>1411</v>
      </c>
      <c r="D3422" s="174" t="n">
        <v>2</v>
      </c>
      <c r="E3422" s="175" t="inlineStr">
        <is>
          <t>1411/02/20</t>
        </is>
      </c>
      <c r="F3422" s="128" t="inlineStr">
        <is>
          <t>1411/02</t>
        </is>
      </c>
      <c r="G3422" s="58" t="inlineStr">
        <is>
          <t>اردیبهشت</t>
        </is>
      </c>
      <c r="H3422" s="128" t="inlineStr">
        <is>
          <t>بهار</t>
        </is>
      </c>
      <c r="I3422" s="128" t="inlineStr">
        <is>
          <t>یکشنبه</t>
        </is>
      </c>
      <c r="J3422" s="128" t="inlineStr">
        <is>
          <t>خیر</t>
        </is>
      </c>
    </row>
    <row r="3423">
      <c r="A3423" s="176" t="n">
        <v>48344</v>
      </c>
      <c r="B3423" s="177" t="n">
        <v>48344</v>
      </c>
      <c r="C3423" s="177" t="n">
        <v>1411</v>
      </c>
      <c r="D3423" s="177" t="n">
        <v>2</v>
      </c>
      <c r="E3423" s="178" t="inlineStr">
        <is>
          <t>1411/02/21</t>
        </is>
      </c>
      <c r="F3423" s="134" t="inlineStr">
        <is>
          <t>1411/02</t>
        </is>
      </c>
      <c r="G3423" s="61" t="inlineStr">
        <is>
          <t>اردیبهشت</t>
        </is>
      </c>
      <c r="H3423" s="134" t="inlineStr">
        <is>
          <t>بهار</t>
        </is>
      </c>
      <c r="I3423" s="134" t="inlineStr">
        <is>
          <t>دوشنبه</t>
        </is>
      </c>
      <c r="J3423" s="134" t="inlineStr">
        <is>
          <t>بله</t>
        </is>
      </c>
    </row>
    <row r="3424">
      <c r="A3424" s="173" t="n">
        <v>48345</v>
      </c>
      <c r="B3424" s="174" t="n">
        <v>48345</v>
      </c>
      <c r="C3424" s="174" t="n">
        <v>1411</v>
      </c>
      <c r="D3424" s="174" t="n">
        <v>2</v>
      </c>
      <c r="E3424" s="175" t="inlineStr">
        <is>
          <t>1411/02/22</t>
        </is>
      </c>
      <c r="F3424" s="128" t="inlineStr">
        <is>
          <t>1411/02</t>
        </is>
      </c>
      <c r="G3424" s="58" t="inlineStr">
        <is>
          <t>اردیبهشت</t>
        </is>
      </c>
      <c r="H3424" s="128" t="inlineStr">
        <is>
          <t>بهار</t>
        </is>
      </c>
      <c r="I3424" s="128" t="inlineStr">
        <is>
          <t>سه‌شنبه</t>
        </is>
      </c>
      <c r="J3424" s="128" t="inlineStr">
        <is>
          <t>بله</t>
        </is>
      </c>
    </row>
    <row r="3425">
      <c r="A3425" s="176" t="n">
        <v>48346</v>
      </c>
      <c r="B3425" s="177" t="n">
        <v>48346</v>
      </c>
      <c r="C3425" s="177" t="n">
        <v>1411</v>
      </c>
      <c r="D3425" s="177" t="n">
        <v>2</v>
      </c>
      <c r="E3425" s="178" t="inlineStr">
        <is>
          <t>1411/02/23</t>
        </is>
      </c>
      <c r="F3425" s="134" t="inlineStr">
        <is>
          <t>1411/02</t>
        </is>
      </c>
      <c r="G3425" s="61" t="inlineStr">
        <is>
          <t>اردیبهشت</t>
        </is>
      </c>
      <c r="H3425" s="134" t="inlineStr">
        <is>
          <t>بهار</t>
        </is>
      </c>
      <c r="I3425" s="134" t="inlineStr">
        <is>
          <t>چهارشنبه</t>
        </is>
      </c>
      <c r="J3425" s="134" t="inlineStr">
        <is>
          <t>بله</t>
        </is>
      </c>
    </row>
    <row r="3426">
      <c r="A3426" s="173" t="n">
        <v>48347</v>
      </c>
      <c r="B3426" s="174" t="n">
        <v>48347</v>
      </c>
      <c r="C3426" s="174" t="n">
        <v>1411</v>
      </c>
      <c r="D3426" s="174" t="n">
        <v>2</v>
      </c>
      <c r="E3426" s="175" t="inlineStr">
        <is>
          <t>1411/02/24</t>
        </is>
      </c>
      <c r="F3426" s="128" t="inlineStr">
        <is>
          <t>1411/02</t>
        </is>
      </c>
      <c r="G3426" s="58" t="inlineStr">
        <is>
          <t>اردیبهشت</t>
        </is>
      </c>
      <c r="H3426" s="128" t="inlineStr">
        <is>
          <t>بهار</t>
        </is>
      </c>
      <c r="I3426" s="128" t="inlineStr">
        <is>
          <t>پنجشنبه</t>
        </is>
      </c>
      <c r="J3426" s="128" t="inlineStr">
        <is>
          <t>بله</t>
        </is>
      </c>
    </row>
    <row r="3427">
      <c r="A3427" s="176" t="n">
        <v>48348</v>
      </c>
      <c r="B3427" s="177" t="n">
        <v>48348</v>
      </c>
      <c r="C3427" s="177" t="n">
        <v>1411</v>
      </c>
      <c r="D3427" s="177" t="n">
        <v>2</v>
      </c>
      <c r="E3427" s="178" t="inlineStr">
        <is>
          <t>1411/02/25</t>
        </is>
      </c>
      <c r="F3427" s="134" t="inlineStr">
        <is>
          <t>1411/02</t>
        </is>
      </c>
      <c r="G3427" s="61" t="inlineStr">
        <is>
          <t>اردیبهشت</t>
        </is>
      </c>
      <c r="H3427" s="134" t="inlineStr">
        <is>
          <t>بهار</t>
        </is>
      </c>
      <c r="I3427" s="134" t="inlineStr">
        <is>
          <t>جمعه</t>
        </is>
      </c>
      <c r="J3427" s="134" t="inlineStr">
        <is>
          <t>بله</t>
        </is>
      </c>
    </row>
    <row r="3428">
      <c r="A3428" s="173" t="n">
        <v>48349</v>
      </c>
      <c r="B3428" s="174" t="n">
        <v>48349</v>
      </c>
      <c r="C3428" s="174" t="n">
        <v>1411</v>
      </c>
      <c r="D3428" s="174" t="n">
        <v>2</v>
      </c>
      <c r="E3428" s="175" t="inlineStr">
        <is>
          <t>1411/02/26</t>
        </is>
      </c>
      <c r="F3428" s="128" t="inlineStr">
        <is>
          <t>1411/02</t>
        </is>
      </c>
      <c r="G3428" s="58" t="inlineStr">
        <is>
          <t>اردیبهشت</t>
        </is>
      </c>
      <c r="H3428" s="128" t="inlineStr">
        <is>
          <t>بهار</t>
        </is>
      </c>
      <c r="I3428" s="128" t="inlineStr">
        <is>
          <t>شنبه</t>
        </is>
      </c>
      <c r="J3428" s="128" t="inlineStr">
        <is>
          <t>خیر</t>
        </is>
      </c>
    </row>
    <row r="3429">
      <c r="A3429" s="176" t="n">
        <v>48350</v>
      </c>
      <c r="B3429" s="177" t="n">
        <v>48350</v>
      </c>
      <c r="C3429" s="177" t="n">
        <v>1411</v>
      </c>
      <c r="D3429" s="177" t="n">
        <v>2</v>
      </c>
      <c r="E3429" s="178" t="inlineStr">
        <is>
          <t>1411/02/27</t>
        </is>
      </c>
      <c r="F3429" s="134" t="inlineStr">
        <is>
          <t>1411/02</t>
        </is>
      </c>
      <c r="G3429" s="61" t="inlineStr">
        <is>
          <t>اردیبهشت</t>
        </is>
      </c>
      <c r="H3429" s="134" t="inlineStr">
        <is>
          <t>بهار</t>
        </is>
      </c>
      <c r="I3429" s="134" t="inlineStr">
        <is>
          <t>یکشنبه</t>
        </is>
      </c>
      <c r="J3429" s="134" t="inlineStr">
        <is>
          <t>خیر</t>
        </is>
      </c>
    </row>
    <row r="3430">
      <c r="A3430" s="173" t="n">
        <v>48351</v>
      </c>
      <c r="B3430" s="174" t="n">
        <v>48351</v>
      </c>
      <c r="C3430" s="174" t="n">
        <v>1411</v>
      </c>
      <c r="D3430" s="174" t="n">
        <v>2</v>
      </c>
      <c r="E3430" s="175" t="inlineStr">
        <is>
          <t>1411/02/28</t>
        </is>
      </c>
      <c r="F3430" s="128" t="inlineStr">
        <is>
          <t>1411/02</t>
        </is>
      </c>
      <c r="G3430" s="58" t="inlineStr">
        <is>
          <t>اردیبهشت</t>
        </is>
      </c>
      <c r="H3430" s="128" t="inlineStr">
        <is>
          <t>بهار</t>
        </is>
      </c>
      <c r="I3430" s="128" t="inlineStr">
        <is>
          <t>دوشنبه</t>
        </is>
      </c>
      <c r="J3430" s="128" t="inlineStr">
        <is>
          <t>بله</t>
        </is>
      </c>
    </row>
    <row r="3431">
      <c r="A3431" s="176" t="n">
        <v>48352</v>
      </c>
      <c r="B3431" s="177" t="n">
        <v>48352</v>
      </c>
      <c r="C3431" s="177" t="n">
        <v>1411</v>
      </c>
      <c r="D3431" s="177" t="n">
        <v>2</v>
      </c>
      <c r="E3431" s="178" t="inlineStr">
        <is>
          <t>1411/02/29</t>
        </is>
      </c>
      <c r="F3431" s="134" t="inlineStr">
        <is>
          <t>1411/02</t>
        </is>
      </c>
      <c r="G3431" s="61" t="inlineStr">
        <is>
          <t>اردیبهشت</t>
        </is>
      </c>
      <c r="H3431" s="134" t="inlineStr">
        <is>
          <t>بهار</t>
        </is>
      </c>
      <c r="I3431" s="134" t="inlineStr">
        <is>
          <t>سه‌شنبه</t>
        </is>
      </c>
      <c r="J3431" s="134" t="inlineStr">
        <is>
          <t>بله</t>
        </is>
      </c>
    </row>
    <row r="3432">
      <c r="A3432" s="173" t="n">
        <v>48353</v>
      </c>
      <c r="B3432" s="174" t="n">
        <v>48353</v>
      </c>
      <c r="C3432" s="174" t="n">
        <v>1411</v>
      </c>
      <c r="D3432" s="174" t="n">
        <v>2</v>
      </c>
      <c r="E3432" s="175" t="inlineStr">
        <is>
          <t>1411/02/30</t>
        </is>
      </c>
      <c r="F3432" s="128" t="inlineStr">
        <is>
          <t>1411/02</t>
        </is>
      </c>
      <c r="G3432" s="58" t="inlineStr">
        <is>
          <t>اردیبهشت</t>
        </is>
      </c>
      <c r="H3432" s="128" t="inlineStr">
        <is>
          <t>بهار</t>
        </is>
      </c>
      <c r="I3432" s="128" t="inlineStr">
        <is>
          <t>چهارشنبه</t>
        </is>
      </c>
      <c r="J3432" s="128" t="inlineStr">
        <is>
          <t>بله</t>
        </is>
      </c>
    </row>
    <row r="3433">
      <c r="A3433" s="176" t="n">
        <v>48354</v>
      </c>
      <c r="B3433" s="177" t="n">
        <v>48354</v>
      </c>
      <c r="C3433" s="177" t="n">
        <v>1411</v>
      </c>
      <c r="D3433" s="177" t="n">
        <v>2</v>
      </c>
      <c r="E3433" s="178" t="inlineStr">
        <is>
          <t>1411/02/31</t>
        </is>
      </c>
      <c r="F3433" s="134" t="inlineStr">
        <is>
          <t>1411/02</t>
        </is>
      </c>
      <c r="G3433" s="61" t="inlineStr">
        <is>
          <t>اردیبهشت</t>
        </is>
      </c>
      <c r="H3433" s="134" t="inlineStr">
        <is>
          <t>بهار</t>
        </is>
      </c>
      <c r="I3433" s="134" t="inlineStr">
        <is>
          <t>پنجشنبه</t>
        </is>
      </c>
      <c r="J3433" s="134" t="inlineStr">
        <is>
          <t>بله</t>
        </is>
      </c>
    </row>
    <row r="3434">
      <c r="A3434" s="173" t="n">
        <v>48355</v>
      </c>
      <c r="B3434" s="174" t="n">
        <v>48355</v>
      </c>
      <c r="C3434" s="174" t="n">
        <v>1411</v>
      </c>
      <c r="D3434" s="174" t="n">
        <v>3</v>
      </c>
      <c r="E3434" s="175" t="inlineStr">
        <is>
          <t>1411/03/01</t>
        </is>
      </c>
      <c r="F3434" s="128" t="inlineStr">
        <is>
          <t>1411/03</t>
        </is>
      </c>
      <c r="G3434" s="58" t="inlineStr">
        <is>
          <t>خرداد</t>
        </is>
      </c>
      <c r="H3434" s="128" t="inlineStr">
        <is>
          <t>بهار</t>
        </is>
      </c>
      <c r="I3434" s="128" t="inlineStr">
        <is>
          <t>جمعه</t>
        </is>
      </c>
      <c r="J3434" s="128" t="inlineStr">
        <is>
          <t>بله</t>
        </is>
      </c>
    </row>
    <row r="3435">
      <c r="A3435" s="176" t="n">
        <v>48356</v>
      </c>
      <c r="B3435" s="177" t="n">
        <v>48356</v>
      </c>
      <c r="C3435" s="177" t="n">
        <v>1411</v>
      </c>
      <c r="D3435" s="177" t="n">
        <v>3</v>
      </c>
      <c r="E3435" s="178" t="inlineStr">
        <is>
          <t>1411/03/02</t>
        </is>
      </c>
      <c r="F3435" s="134" t="inlineStr">
        <is>
          <t>1411/03</t>
        </is>
      </c>
      <c r="G3435" s="61" t="inlineStr">
        <is>
          <t>خرداد</t>
        </is>
      </c>
      <c r="H3435" s="134" t="inlineStr">
        <is>
          <t>بهار</t>
        </is>
      </c>
      <c r="I3435" s="134" t="inlineStr">
        <is>
          <t>شنبه</t>
        </is>
      </c>
      <c r="J3435" s="134" t="inlineStr">
        <is>
          <t>خیر</t>
        </is>
      </c>
    </row>
    <row r="3436">
      <c r="A3436" s="173" t="n">
        <v>48357</v>
      </c>
      <c r="B3436" s="174" t="n">
        <v>48357</v>
      </c>
      <c r="C3436" s="174" t="n">
        <v>1411</v>
      </c>
      <c r="D3436" s="174" t="n">
        <v>3</v>
      </c>
      <c r="E3436" s="175" t="inlineStr">
        <is>
          <t>1411/03/03</t>
        </is>
      </c>
      <c r="F3436" s="128" t="inlineStr">
        <is>
          <t>1411/03</t>
        </is>
      </c>
      <c r="G3436" s="58" t="inlineStr">
        <is>
          <t>خرداد</t>
        </is>
      </c>
      <c r="H3436" s="128" t="inlineStr">
        <is>
          <t>بهار</t>
        </is>
      </c>
      <c r="I3436" s="128" t="inlineStr">
        <is>
          <t>یکشنبه</t>
        </is>
      </c>
      <c r="J3436" s="128" t="inlineStr">
        <is>
          <t>خیر</t>
        </is>
      </c>
    </row>
    <row r="3437">
      <c r="A3437" s="176" t="n">
        <v>48358</v>
      </c>
      <c r="B3437" s="177" t="n">
        <v>48358</v>
      </c>
      <c r="C3437" s="177" t="n">
        <v>1411</v>
      </c>
      <c r="D3437" s="177" t="n">
        <v>3</v>
      </c>
      <c r="E3437" s="178" t="inlineStr">
        <is>
          <t>1411/03/04</t>
        </is>
      </c>
      <c r="F3437" s="134" t="inlineStr">
        <is>
          <t>1411/03</t>
        </is>
      </c>
      <c r="G3437" s="61" t="inlineStr">
        <is>
          <t>خرداد</t>
        </is>
      </c>
      <c r="H3437" s="134" t="inlineStr">
        <is>
          <t>بهار</t>
        </is>
      </c>
      <c r="I3437" s="134" t="inlineStr">
        <is>
          <t>دوشنبه</t>
        </is>
      </c>
      <c r="J3437" s="134" t="inlineStr">
        <is>
          <t>بله</t>
        </is>
      </c>
    </row>
    <row r="3438">
      <c r="A3438" s="173" t="n">
        <v>48359</v>
      </c>
      <c r="B3438" s="174" t="n">
        <v>48359</v>
      </c>
      <c r="C3438" s="174" t="n">
        <v>1411</v>
      </c>
      <c r="D3438" s="174" t="n">
        <v>3</v>
      </c>
      <c r="E3438" s="175" t="inlineStr">
        <is>
          <t>1411/03/05</t>
        </is>
      </c>
      <c r="F3438" s="128" t="inlineStr">
        <is>
          <t>1411/03</t>
        </is>
      </c>
      <c r="G3438" s="58" t="inlineStr">
        <is>
          <t>خرداد</t>
        </is>
      </c>
      <c r="H3438" s="128" t="inlineStr">
        <is>
          <t>بهار</t>
        </is>
      </c>
      <c r="I3438" s="128" t="inlineStr">
        <is>
          <t>سه‌شنبه</t>
        </is>
      </c>
      <c r="J3438" s="128" t="inlineStr">
        <is>
          <t>بله</t>
        </is>
      </c>
    </row>
    <row r="3439">
      <c r="A3439" s="176" t="n">
        <v>48360</v>
      </c>
      <c r="B3439" s="177" t="n">
        <v>48360</v>
      </c>
      <c r="C3439" s="177" t="n">
        <v>1411</v>
      </c>
      <c r="D3439" s="177" t="n">
        <v>3</v>
      </c>
      <c r="E3439" s="178" t="inlineStr">
        <is>
          <t>1411/03/06</t>
        </is>
      </c>
      <c r="F3439" s="134" t="inlineStr">
        <is>
          <t>1411/03</t>
        </is>
      </c>
      <c r="G3439" s="61" t="inlineStr">
        <is>
          <t>خرداد</t>
        </is>
      </c>
      <c r="H3439" s="134" t="inlineStr">
        <is>
          <t>بهار</t>
        </is>
      </c>
      <c r="I3439" s="134" t="inlineStr">
        <is>
          <t>چهارشنبه</t>
        </is>
      </c>
      <c r="J3439" s="134" t="inlineStr">
        <is>
          <t>بله</t>
        </is>
      </c>
    </row>
    <row r="3440">
      <c r="A3440" s="173" t="n">
        <v>48361</v>
      </c>
      <c r="B3440" s="174" t="n">
        <v>48361</v>
      </c>
      <c r="C3440" s="174" t="n">
        <v>1411</v>
      </c>
      <c r="D3440" s="174" t="n">
        <v>3</v>
      </c>
      <c r="E3440" s="175" t="inlineStr">
        <is>
          <t>1411/03/07</t>
        </is>
      </c>
      <c r="F3440" s="128" t="inlineStr">
        <is>
          <t>1411/03</t>
        </is>
      </c>
      <c r="G3440" s="58" t="inlineStr">
        <is>
          <t>خرداد</t>
        </is>
      </c>
      <c r="H3440" s="128" t="inlineStr">
        <is>
          <t>بهار</t>
        </is>
      </c>
      <c r="I3440" s="128" t="inlineStr">
        <is>
          <t>پنجشنبه</t>
        </is>
      </c>
      <c r="J3440" s="128" t="inlineStr">
        <is>
          <t>بله</t>
        </is>
      </c>
    </row>
    <row r="3441">
      <c r="A3441" s="176" t="n">
        <v>48362</v>
      </c>
      <c r="B3441" s="177" t="n">
        <v>48362</v>
      </c>
      <c r="C3441" s="177" t="n">
        <v>1411</v>
      </c>
      <c r="D3441" s="177" t="n">
        <v>3</v>
      </c>
      <c r="E3441" s="178" t="inlineStr">
        <is>
          <t>1411/03/08</t>
        </is>
      </c>
      <c r="F3441" s="134" t="inlineStr">
        <is>
          <t>1411/03</t>
        </is>
      </c>
      <c r="G3441" s="61" t="inlineStr">
        <is>
          <t>خرداد</t>
        </is>
      </c>
      <c r="H3441" s="134" t="inlineStr">
        <is>
          <t>بهار</t>
        </is>
      </c>
      <c r="I3441" s="134" t="inlineStr">
        <is>
          <t>جمعه</t>
        </is>
      </c>
      <c r="J3441" s="134" t="inlineStr">
        <is>
          <t>بله</t>
        </is>
      </c>
    </row>
    <row r="3442">
      <c r="A3442" s="173" t="n">
        <v>48363</v>
      </c>
      <c r="B3442" s="174" t="n">
        <v>48363</v>
      </c>
      <c r="C3442" s="174" t="n">
        <v>1411</v>
      </c>
      <c r="D3442" s="174" t="n">
        <v>3</v>
      </c>
      <c r="E3442" s="175" t="inlineStr">
        <is>
          <t>1411/03/09</t>
        </is>
      </c>
      <c r="F3442" s="128" t="inlineStr">
        <is>
          <t>1411/03</t>
        </is>
      </c>
      <c r="G3442" s="58" t="inlineStr">
        <is>
          <t>خرداد</t>
        </is>
      </c>
      <c r="H3442" s="128" t="inlineStr">
        <is>
          <t>بهار</t>
        </is>
      </c>
      <c r="I3442" s="128" t="inlineStr">
        <is>
          <t>شنبه</t>
        </is>
      </c>
      <c r="J3442" s="128" t="inlineStr">
        <is>
          <t>خیر</t>
        </is>
      </c>
    </row>
    <row r="3443">
      <c r="A3443" s="176" t="n">
        <v>48364</v>
      </c>
      <c r="B3443" s="177" t="n">
        <v>48364</v>
      </c>
      <c r="C3443" s="177" t="n">
        <v>1411</v>
      </c>
      <c r="D3443" s="177" t="n">
        <v>3</v>
      </c>
      <c r="E3443" s="178" t="inlineStr">
        <is>
          <t>1411/03/10</t>
        </is>
      </c>
      <c r="F3443" s="134" t="inlineStr">
        <is>
          <t>1411/03</t>
        </is>
      </c>
      <c r="G3443" s="61" t="inlineStr">
        <is>
          <t>خرداد</t>
        </is>
      </c>
      <c r="H3443" s="134" t="inlineStr">
        <is>
          <t>بهار</t>
        </is>
      </c>
      <c r="I3443" s="134" t="inlineStr">
        <is>
          <t>یکشنبه</t>
        </is>
      </c>
      <c r="J3443" s="134" t="inlineStr">
        <is>
          <t>خیر</t>
        </is>
      </c>
    </row>
    <row r="3444">
      <c r="A3444" s="173" t="n">
        <v>48365</v>
      </c>
      <c r="B3444" s="174" t="n">
        <v>48365</v>
      </c>
      <c r="C3444" s="174" t="n">
        <v>1411</v>
      </c>
      <c r="D3444" s="174" t="n">
        <v>3</v>
      </c>
      <c r="E3444" s="175" t="inlineStr">
        <is>
          <t>1411/03/11</t>
        </is>
      </c>
      <c r="F3444" s="128" t="inlineStr">
        <is>
          <t>1411/03</t>
        </is>
      </c>
      <c r="G3444" s="58" t="inlineStr">
        <is>
          <t>خرداد</t>
        </is>
      </c>
      <c r="H3444" s="128" t="inlineStr">
        <is>
          <t>بهار</t>
        </is>
      </c>
      <c r="I3444" s="128" t="inlineStr">
        <is>
          <t>دوشنبه</t>
        </is>
      </c>
      <c r="J3444" s="128" t="inlineStr">
        <is>
          <t>بله</t>
        </is>
      </c>
    </row>
    <row r="3445">
      <c r="A3445" s="176" t="n">
        <v>48366</v>
      </c>
      <c r="B3445" s="177" t="n">
        <v>48366</v>
      </c>
      <c r="C3445" s="177" t="n">
        <v>1411</v>
      </c>
      <c r="D3445" s="177" t="n">
        <v>3</v>
      </c>
      <c r="E3445" s="178" t="inlineStr">
        <is>
          <t>1411/03/12</t>
        </is>
      </c>
      <c r="F3445" s="134" t="inlineStr">
        <is>
          <t>1411/03</t>
        </is>
      </c>
      <c r="G3445" s="61" t="inlineStr">
        <is>
          <t>خرداد</t>
        </is>
      </c>
      <c r="H3445" s="134" t="inlineStr">
        <is>
          <t>بهار</t>
        </is>
      </c>
      <c r="I3445" s="134" t="inlineStr">
        <is>
          <t>سه‌شنبه</t>
        </is>
      </c>
      <c r="J3445" s="134" t="inlineStr">
        <is>
          <t>بله</t>
        </is>
      </c>
    </row>
    <row r="3446">
      <c r="A3446" s="173" t="n">
        <v>48367</v>
      </c>
      <c r="B3446" s="174" t="n">
        <v>48367</v>
      </c>
      <c r="C3446" s="174" t="n">
        <v>1411</v>
      </c>
      <c r="D3446" s="174" t="n">
        <v>3</v>
      </c>
      <c r="E3446" s="175" t="inlineStr">
        <is>
          <t>1411/03/13</t>
        </is>
      </c>
      <c r="F3446" s="128" t="inlineStr">
        <is>
          <t>1411/03</t>
        </is>
      </c>
      <c r="G3446" s="58" t="inlineStr">
        <is>
          <t>خرداد</t>
        </is>
      </c>
      <c r="H3446" s="128" t="inlineStr">
        <is>
          <t>بهار</t>
        </is>
      </c>
      <c r="I3446" s="128" t="inlineStr">
        <is>
          <t>چهارشنبه</t>
        </is>
      </c>
      <c r="J3446" s="128" t="inlineStr">
        <is>
          <t>بله</t>
        </is>
      </c>
    </row>
    <row r="3447">
      <c r="A3447" s="176" t="n">
        <v>48368</v>
      </c>
      <c r="B3447" s="177" t="n">
        <v>48368</v>
      </c>
      <c r="C3447" s="177" t="n">
        <v>1411</v>
      </c>
      <c r="D3447" s="177" t="n">
        <v>3</v>
      </c>
      <c r="E3447" s="178" t="inlineStr">
        <is>
          <t>1411/03/14</t>
        </is>
      </c>
      <c r="F3447" s="134" t="inlineStr">
        <is>
          <t>1411/03</t>
        </is>
      </c>
      <c r="G3447" s="61" t="inlineStr">
        <is>
          <t>خرداد</t>
        </is>
      </c>
      <c r="H3447" s="134" t="inlineStr">
        <is>
          <t>بهار</t>
        </is>
      </c>
      <c r="I3447" s="134" t="inlineStr">
        <is>
          <t>پنجشنبه</t>
        </is>
      </c>
      <c r="J3447" s="134" t="inlineStr">
        <is>
          <t>بله</t>
        </is>
      </c>
    </row>
    <row r="3448">
      <c r="A3448" s="173" t="n">
        <v>48369</v>
      </c>
      <c r="B3448" s="174" t="n">
        <v>48369</v>
      </c>
      <c r="C3448" s="174" t="n">
        <v>1411</v>
      </c>
      <c r="D3448" s="174" t="n">
        <v>3</v>
      </c>
      <c r="E3448" s="175" t="inlineStr">
        <is>
          <t>1411/03/15</t>
        </is>
      </c>
      <c r="F3448" s="128" t="inlineStr">
        <is>
          <t>1411/03</t>
        </is>
      </c>
      <c r="G3448" s="58" t="inlineStr">
        <is>
          <t>خرداد</t>
        </is>
      </c>
      <c r="H3448" s="128" t="inlineStr">
        <is>
          <t>بهار</t>
        </is>
      </c>
      <c r="I3448" s="128" t="inlineStr">
        <is>
          <t>جمعه</t>
        </is>
      </c>
      <c r="J3448" s="128" t="inlineStr">
        <is>
          <t>بله</t>
        </is>
      </c>
    </row>
    <row r="3449">
      <c r="A3449" s="176" t="n">
        <v>48370</v>
      </c>
      <c r="B3449" s="177" t="n">
        <v>48370</v>
      </c>
      <c r="C3449" s="177" t="n">
        <v>1411</v>
      </c>
      <c r="D3449" s="177" t="n">
        <v>3</v>
      </c>
      <c r="E3449" s="178" t="inlineStr">
        <is>
          <t>1411/03/16</t>
        </is>
      </c>
      <c r="F3449" s="134" t="inlineStr">
        <is>
          <t>1411/03</t>
        </is>
      </c>
      <c r="G3449" s="61" t="inlineStr">
        <is>
          <t>خرداد</t>
        </is>
      </c>
      <c r="H3449" s="134" t="inlineStr">
        <is>
          <t>بهار</t>
        </is>
      </c>
      <c r="I3449" s="134" t="inlineStr">
        <is>
          <t>شنبه</t>
        </is>
      </c>
      <c r="J3449" s="134" t="inlineStr">
        <is>
          <t>خیر</t>
        </is>
      </c>
    </row>
    <row r="3450">
      <c r="A3450" s="173" t="n">
        <v>48371</v>
      </c>
      <c r="B3450" s="174" t="n">
        <v>48371</v>
      </c>
      <c r="C3450" s="174" t="n">
        <v>1411</v>
      </c>
      <c r="D3450" s="174" t="n">
        <v>3</v>
      </c>
      <c r="E3450" s="175" t="inlineStr">
        <is>
          <t>1411/03/17</t>
        </is>
      </c>
      <c r="F3450" s="128" t="inlineStr">
        <is>
          <t>1411/03</t>
        </is>
      </c>
      <c r="G3450" s="58" t="inlineStr">
        <is>
          <t>خرداد</t>
        </is>
      </c>
      <c r="H3450" s="128" t="inlineStr">
        <is>
          <t>بهار</t>
        </is>
      </c>
      <c r="I3450" s="128" t="inlineStr">
        <is>
          <t>یکشنبه</t>
        </is>
      </c>
      <c r="J3450" s="128" t="inlineStr">
        <is>
          <t>خیر</t>
        </is>
      </c>
    </row>
    <row r="3451">
      <c r="A3451" s="176" t="n">
        <v>48372</v>
      </c>
      <c r="B3451" s="177" t="n">
        <v>48372</v>
      </c>
      <c r="C3451" s="177" t="n">
        <v>1411</v>
      </c>
      <c r="D3451" s="177" t="n">
        <v>3</v>
      </c>
      <c r="E3451" s="178" t="inlineStr">
        <is>
          <t>1411/03/18</t>
        </is>
      </c>
      <c r="F3451" s="134" t="inlineStr">
        <is>
          <t>1411/03</t>
        </is>
      </c>
      <c r="G3451" s="61" t="inlineStr">
        <is>
          <t>خرداد</t>
        </is>
      </c>
      <c r="H3451" s="134" t="inlineStr">
        <is>
          <t>بهار</t>
        </is>
      </c>
      <c r="I3451" s="134" t="inlineStr">
        <is>
          <t>دوشنبه</t>
        </is>
      </c>
      <c r="J3451" s="134" t="inlineStr">
        <is>
          <t>بله</t>
        </is>
      </c>
    </row>
    <row r="3452">
      <c r="A3452" s="173" t="n">
        <v>48373</v>
      </c>
      <c r="B3452" s="174" t="n">
        <v>48373</v>
      </c>
      <c r="C3452" s="174" t="n">
        <v>1411</v>
      </c>
      <c r="D3452" s="174" t="n">
        <v>3</v>
      </c>
      <c r="E3452" s="175" t="inlineStr">
        <is>
          <t>1411/03/19</t>
        </is>
      </c>
      <c r="F3452" s="128" t="inlineStr">
        <is>
          <t>1411/03</t>
        </is>
      </c>
      <c r="G3452" s="58" t="inlineStr">
        <is>
          <t>خرداد</t>
        </is>
      </c>
      <c r="H3452" s="128" t="inlineStr">
        <is>
          <t>بهار</t>
        </is>
      </c>
      <c r="I3452" s="128" t="inlineStr">
        <is>
          <t>سه‌شنبه</t>
        </is>
      </c>
      <c r="J3452" s="128" t="inlineStr">
        <is>
          <t>بله</t>
        </is>
      </c>
    </row>
    <row r="3453">
      <c r="A3453" s="176" t="n">
        <v>48374</v>
      </c>
      <c r="B3453" s="177" t="n">
        <v>48374</v>
      </c>
      <c r="C3453" s="177" t="n">
        <v>1411</v>
      </c>
      <c r="D3453" s="177" t="n">
        <v>3</v>
      </c>
      <c r="E3453" s="178" t="inlineStr">
        <is>
          <t>1411/03/20</t>
        </is>
      </c>
      <c r="F3453" s="134" t="inlineStr">
        <is>
          <t>1411/03</t>
        </is>
      </c>
      <c r="G3453" s="61" t="inlineStr">
        <is>
          <t>خرداد</t>
        </is>
      </c>
      <c r="H3453" s="134" t="inlineStr">
        <is>
          <t>بهار</t>
        </is>
      </c>
      <c r="I3453" s="134" t="inlineStr">
        <is>
          <t>چهارشنبه</t>
        </is>
      </c>
      <c r="J3453" s="134" t="inlineStr">
        <is>
          <t>بله</t>
        </is>
      </c>
    </row>
    <row r="3454">
      <c r="A3454" s="173" t="n">
        <v>48375</v>
      </c>
      <c r="B3454" s="174" t="n">
        <v>48375</v>
      </c>
      <c r="C3454" s="174" t="n">
        <v>1411</v>
      </c>
      <c r="D3454" s="174" t="n">
        <v>3</v>
      </c>
      <c r="E3454" s="175" t="inlineStr">
        <is>
          <t>1411/03/21</t>
        </is>
      </c>
      <c r="F3454" s="128" t="inlineStr">
        <is>
          <t>1411/03</t>
        </is>
      </c>
      <c r="G3454" s="58" t="inlineStr">
        <is>
          <t>خرداد</t>
        </is>
      </c>
      <c r="H3454" s="128" t="inlineStr">
        <is>
          <t>بهار</t>
        </is>
      </c>
      <c r="I3454" s="128" t="inlineStr">
        <is>
          <t>پنجشنبه</t>
        </is>
      </c>
      <c r="J3454" s="128" t="inlineStr">
        <is>
          <t>بله</t>
        </is>
      </c>
    </row>
    <row r="3455">
      <c r="A3455" s="176" t="n">
        <v>48376</v>
      </c>
      <c r="B3455" s="177" t="n">
        <v>48376</v>
      </c>
      <c r="C3455" s="177" t="n">
        <v>1411</v>
      </c>
      <c r="D3455" s="177" t="n">
        <v>3</v>
      </c>
      <c r="E3455" s="178" t="inlineStr">
        <is>
          <t>1411/03/22</t>
        </is>
      </c>
      <c r="F3455" s="134" t="inlineStr">
        <is>
          <t>1411/03</t>
        </is>
      </c>
      <c r="G3455" s="61" t="inlineStr">
        <is>
          <t>خرداد</t>
        </is>
      </c>
      <c r="H3455" s="134" t="inlineStr">
        <is>
          <t>بهار</t>
        </is>
      </c>
      <c r="I3455" s="134" t="inlineStr">
        <is>
          <t>جمعه</t>
        </is>
      </c>
      <c r="J3455" s="134" t="inlineStr">
        <is>
          <t>بله</t>
        </is>
      </c>
    </row>
    <row r="3456">
      <c r="A3456" s="173" t="n">
        <v>48377</v>
      </c>
      <c r="B3456" s="174" t="n">
        <v>48377</v>
      </c>
      <c r="C3456" s="174" t="n">
        <v>1411</v>
      </c>
      <c r="D3456" s="174" t="n">
        <v>3</v>
      </c>
      <c r="E3456" s="175" t="inlineStr">
        <is>
          <t>1411/03/23</t>
        </is>
      </c>
      <c r="F3456" s="128" t="inlineStr">
        <is>
          <t>1411/03</t>
        </is>
      </c>
      <c r="G3456" s="58" t="inlineStr">
        <is>
          <t>خرداد</t>
        </is>
      </c>
      <c r="H3456" s="128" t="inlineStr">
        <is>
          <t>بهار</t>
        </is>
      </c>
      <c r="I3456" s="128" t="inlineStr">
        <is>
          <t>شنبه</t>
        </is>
      </c>
      <c r="J3456" s="128" t="inlineStr">
        <is>
          <t>خیر</t>
        </is>
      </c>
    </row>
    <row r="3457">
      <c r="A3457" s="176" t="n">
        <v>48378</v>
      </c>
      <c r="B3457" s="177" t="n">
        <v>48378</v>
      </c>
      <c r="C3457" s="177" t="n">
        <v>1411</v>
      </c>
      <c r="D3457" s="177" t="n">
        <v>3</v>
      </c>
      <c r="E3457" s="178" t="inlineStr">
        <is>
          <t>1411/03/24</t>
        </is>
      </c>
      <c r="F3457" s="134" t="inlineStr">
        <is>
          <t>1411/03</t>
        </is>
      </c>
      <c r="G3457" s="61" t="inlineStr">
        <is>
          <t>خرداد</t>
        </is>
      </c>
      <c r="H3457" s="134" t="inlineStr">
        <is>
          <t>بهار</t>
        </is>
      </c>
      <c r="I3457" s="134" t="inlineStr">
        <is>
          <t>یکشنبه</t>
        </is>
      </c>
      <c r="J3457" s="134" t="inlineStr">
        <is>
          <t>خیر</t>
        </is>
      </c>
    </row>
    <row r="3458">
      <c r="A3458" s="173" t="n">
        <v>48379</v>
      </c>
      <c r="B3458" s="174" t="n">
        <v>48379</v>
      </c>
      <c r="C3458" s="174" t="n">
        <v>1411</v>
      </c>
      <c r="D3458" s="174" t="n">
        <v>3</v>
      </c>
      <c r="E3458" s="175" t="inlineStr">
        <is>
          <t>1411/03/25</t>
        </is>
      </c>
      <c r="F3458" s="128" t="inlineStr">
        <is>
          <t>1411/03</t>
        </is>
      </c>
      <c r="G3458" s="58" t="inlineStr">
        <is>
          <t>خرداد</t>
        </is>
      </c>
      <c r="H3458" s="128" t="inlineStr">
        <is>
          <t>بهار</t>
        </is>
      </c>
      <c r="I3458" s="128" t="inlineStr">
        <is>
          <t>دوشنبه</t>
        </is>
      </c>
      <c r="J3458" s="128" t="inlineStr">
        <is>
          <t>بله</t>
        </is>
      </c>
    </row>
    <row r="3459">
      <c r="A3459" s="176" t="n">
        <v>48380</v>
      </c>
      <c r="B3459" s="177" t="n">
        <v>48380</v>
      </c>
      <c r="C3459" s="177" t="n">
        <v>1411</v>
      </c>
      <c r="D3459" s="177" t="n">
        <v>3</v>
      </c>
      <c r="E3459" s="178" t="inlineStr">
        <is>
          <t>1411/03/26</t>
        </is>
      </c>
      <c r="F3459" s="134" t="inlineStr">
        <is>
          <t>1411/03</t>
        </is>
      </c>
      <c r="G3459" s="61" t="inlineStr">
        <is>
          <t>خرداد</t>
        </is>
      </c>
      <c r="H3459" s="134" t="inlineStr">
        <is>
          <t>بهار</t>
        </is>
      </c>
      <c r="I3459" s="134" t="inlineStr">
        <is>
          <t>سه‌شنبه</t>
        </is>
      </c>
      <c r="J3459" s="134" t="inlineStr">
        <is>
          <t>بله</t>
        </is>
      </c>
    </row>
    <row r="3460">
      <c r="A3460" s="173" t="n">
        <v>48381</v>
      </c>
      <c r="B3460" s="174" t="n">
        <v>48381</v>
      </c>
      <c r="C3460" s="174" t="n">
        <v>1411</v>
      </c>
      <c r="D3460" s="174" t="n">
        <v>3</v>
      </c>
      <c r="E3460" s="175" t="inlineStr">
        <is>
          <t>1411/03/27</t>
        </is>
      </c>
      <c r="F3460" s="128" t="inlineStr">
        <is>
          <t>1411/03</t>
        </is>
      </c>
      <c r="G3460" s="58" t="inlineStr">
        <is>
          <t>خرداد</t>
        </is>
      </c>
      <c r="H3460" s="128" t="inlineStr">
        <is>
          <t>بهار</t>
        </is>
      </c>
      <c r="I3460" s="128" t="inlineStr">
        <is>
          <t>چهارشنبه</t>
        </is>
      </c>
      <c r="J3460" s="128" t="inlineStr">
        <is>
          <t>بله</t>
        </is>
      </c>
    </row>
    <row r="3461">
      <c r="A3461" s="176" t="n">
        <v>48382</v>
      </c>
      <c r="B3461" s="177" t="n">
        <v>48382</v>
      </c>
      <c r="C3461" s="177" t="n">
        <v>1411</v>
      </c>
      <c r="D3461" s="177" t="n">
        <v>3</v>
      </c>
      <c r="E3461" s="178" t="inlineStr">
        <is>
          <t>1411/03/28</t>
        </is>
      </c>
      <c r="F3461" s="134" t="inlineStr">
        <is>
          <t>1411/03</t>
        </is>
      </c>
      <c r="G3461" s="61" t="inlineStr">
        <is>
          <t>خرداد</t>
        </is>
      </c>
      <c r="H3461" s="134" t="inlineStr">
        <is>
          <t>بهار</t>
        </is>
      </c>
      <c r="I3461" s="134" t="inlineStr">
        <is>
          <t>پنجشنبه</t>
        </is>
      </c>
      <c r="J3461" s="134" t="inlineStr">
        <is>
          <t>بله</t>
        </is>
      </c>
    </row>
    <row r="3462">
      <c r="A3462" s="173" t="n">
        <v>48383</v>
      </c>
      <c r="B3462" s="174" t="n">
        <v>48383</v>
      </c>
      <c r="C3462" s="174" t="n">
        <v>1411</v>
      </c>
      <c r="D3462" s="174" t="n">
        <v>3</v>
      </c>
      <c r="E3462" s="175" t="inlineStr">
        <is>
          <t>1411/03/29</t>
        </is>
      </c>
      <c r="F3462" s="128" t="inlineStr">
        <is>
          <t>1411/03</t>
        </is>
      </c>
      <c r="G3462" s="58" t="inlineStr">
        <is>
          <t>خرداد</t>
        </is>
      </c>
      <c r="H3462" s="128" t="inlineStr">
        <is>
          <t>بهار</t>
        </is>
      </c>
      <c r="I3462" s="128" t="inlineStr">
        <is>
          <t>جمعه</t>
        </is>
      </c>
      <c r="J3462" s="128" t="inlineStr">
        <is>
          <t>بله</t>
        </is>
      </c>
    </row>
    <row r="3463">
      <c r="A3463" s="176" t="n">
        <v>48384</v>
      </c>
      <c r="B3463" s="177" t="n">
        <v>48384</v>
      </c>
      <c r="C3463" s="177" t="n">
        <v>1411</v>
      </c>
      <c r="D3463" s="177" t="n">
        <v>3</v>
      </c>
      <c r="E3463" s="178" t="inlineStr">
        <is>
          <t>1411/03/30</t>
        </is>
      </c>
      <c r="F3463" s="134" t="inlineStr">
        <is>
          <t>1411/03</t>
        </is>
      </c>
      <c r="G3463" s="61" t="inlineStr">
        <is>
          <t>خرداد</t>
        </is>
      </c>
      <c r="H3463" s="134" t="inlineStr">
        <is>
          <t>بهار</t>
        </is>
      </c>
      <c r="I3463" s="134" t="inlineStr">
        <is>
          <t>شنبه</t>
        </is>
      </c>
      <c r="J3463" s="134" t="inlineStr">
        <is>
          <t>خیر</t>
        </is>
      </c>
    </row>
    <row r="3464">
      <c r="A3464" s="173" t="n">
        <v>48385</v>
      </c>
      <c r="B3464" s="174" t="n">
        <v>48385</v>
      </c>
      <c r="C3464" s="174" t="n">
        <v>1411</v>
      </c>
      <c r="D3464" s="174" t="n">
        <v>3</v>
      </c>
      <c r="E3464" s="175" t="inlineStr">
        <is>
          <t>1411/03/31</t>
        </is>
      </c>
      <c r="F3464" s="128" t="inlineStr">
        <is>
          <t>1411/03</t>
        </is>
      </c>
      <c r="G3464" s="58" t="inlineStr">
        <is>
          <t>خرداد</t>
        </is>
      </c>
      <c r="H3464" s="128" t="inlineStr">
        <is>
          <t>بهار</t>
        </is>
      </c>
      <c r="I3464" s="128" t="inlineStr">
        <is>
          <t>یکشنبه</t>
        </is>
      </c>
      <c r="J3464" s="128" t="inlineStr">
        <is>
          <t>خیر</t>
        </is>
      </c>
    </row>
    <row r="3465">
      <c r="A3465" s="176" t="n">
        <v>48386</v>
      </c>
      <c r="B3465" s="177" t="n">
        <v>48386</v>
      </c>
      <c r="C3465" s="177" t="n">
        <v>1411</v>
      </c>
      <c r="D3465" s="177" t="n">
        <v>4</v>
      </c>
      <c r="E3465" s="178" t="inlineStr">
        <is>
          <t>1411/04/01</t>
        </is>
      </c>
      <c r="F3465" s="134" t="inlineStr">
        <is>
          <t>1411/04</t>
        </is>
      </c>
      <c r="G3465" s="61" t="inlineStr">
        <is>
          <t>تیر</t>
        </is>
      </c>
      <c r="H3465" s="134" t="inlineStr">
        <is>
          <t>تابستان</t>
        </is>
      </c>
      <c r="I3465" s="134" t="inlineStr">
        <is>
          <t>دوشنبه</t>
        </is>
      </c>
      <c r="J3465" s="134" t="inlineStr">
        <is>
          <t>بله</t>
        </is>
      </c>
    </row>
    <row r="3466">
      <c r="A3466" s="173" t="n">
        <v>48387</v>
      </c>
      <c r="B3466" s="174" t="n">
        <v>48387</v>
      </c>
      <c r="C3466" s="174" t="n">
        <v>1411</v>
      </c>
      <c r="D3466" s="174" t="n">
        <v>4</v>
      </c>
      <c r="E3466" s="175" t="inlineStr">
        <is>
          <t>1411/04/02</t>
        </is>
      </c>
      <c r="F3466" s="128" t="inlineStr">
        <is>
          <t>1411/04</t>
        </is>
      </c>
      <c r="G3466" s="58" t="inlineStr">
        <is>
          <t>تیر</t>
        </is>
      </c>
      <c r="H3466" s="128" t="inlineStr">
        <is>
          <t>تابستان</t>
        </is>
      </c>
      <c r="I3466" s="128" t="inlineStr">
        <is>
          <t>سه‌شنبه</t>
        </is>
      </c>
      <c r="J3466" s="128" t="inlineStr">
        <is>
          <t>بله</t>
        </is>
      </c>
    </row>
    <row r="3467">
      <c r="A3467" s="176" t="n">
        <v>48388</v>
      </c>
      <c r="B3467" s="177" t="n">
        <v>48388</v>
      </c>
      <c r="C3467" s="177" t="n">
        <v>1411</v>
      </c>
      <c r="D3467" s="177" t="n">
        <v>4</v>
      </c>
      <c r="E3467" s="178" t="inlineStr">
        <is>
          <t>1411/04/03</t>
        </is>
      </c>
      <c r="F3467" s="134" t="inlineStr">
        <is>
          <t>1411/04</t>
        </is>
      </c>
      <c r="G3467" s="61" t="inlineStr">
        <is>
          <t>تیر</t>
        </is>
      </c>
      <c r="H3467" s="134" t="inlineStr">
        <is>
          <t>تابستان</t>
        </is>
      </c>
      <c r="I3467" s="134" t="inlineStr">
        <is>
          <t>چهارشنبه</t>
        </is>
      </c>
      <c r="J3467" s="134" t="inlineStr">
        <is>
          <t>بله</t>
        </is>
      </c>
    </row>
    <row r="3468">
      <c r="A3468" s="173" t="n">
        <v>48389</v>
      </c>
      <c r="B3468" s="174" t="n">
        <v>48389</v>
      </c>
      <c r="C3468" s="174" t="n">
        <v>1411</v>
      </c>
      <c r="D3468" s="174" t="n">
        <v>4</v>
      </c>
      <c r="E3468" s="175" t="inlineStr">
        <is>
          <t>1411/04/04</t>
        </is>
      </c>
      <c r="F3468" s="128" t="inlineStr">
        <is>
          <t>1411/04</t>
        </is>
      </c>
      <c r="G3468" s="58" t="inlineStr">
        <is>
          <t>تیر</t>
        </is>
      </c>
      <c r="H3468" s="128" t="inlineStr">
        <is>
          <t>تابستان</t>
        </is>
      </c>
      <c r="I3468" s="128" t="inlineStr">
        <is>
          <t>پنجشنبه</t>
        </is>
      </c>
      <c r="J3468" s="128" t="inlineStr">
        <is>
          <t>بله</t>
        </is>
      </c>
    </row>
    <row r="3469">
      <c r="A3469" s="176" t="n">
        <v>48390</v>
      </c>
      <c r="B3469" s="177" t="n">
        <v>48390</v>
      </c>
      <c r="C3469" s="177" t="n">
        <v>1411</v>
      </c>
      <c r="D3469" s="177" t="n">
        <v>4</v>
      </c>
      <c r="E3469" s="178" t="inlineStr">
        <is>
          <t>1411/04/05</t>
        </is>
      </c>
      <c r="F3469" s="134" t="inlineStr">
        <is>
          <t>1411/04</t>
        </is>
      </c>
      <c r="G3469" s="61" t="inlineStr">
        <is>
          <t>تیر</t>
        </is>
      </c>
      <c r="H3469" s="134" t="inlineStr">
        <is>
          <t>تابستان</t>
        </is>
      </c>
      <c r="I3469" s="134" t="inlineStr">
        <is>
          <t>جمعه</t>
        </is>
      </c>
      <c r="J3469" s="134" t="inlineStr">
        <is>
          <t>بله</t>
        </is>
      </c>
    </row>
    <row r="3470">
      <c r="A3470" s="173" t="n">
        <v>48391</v>
      </c>
      <c r="B3470" s="174" t="n">
        <v>48391</v>
      </c>
      <c r="C3470" s="174" t="n">
        <v>1411</v>
      </c>
      <c r="D3470" s="174" t="n">
        <v>4</v>
      </c>
      <c r="E3470" s="175" t="inlineStr">
        <is>
          <t>1411/04/06</t>
        </is>
      </c>
      <c r="F3470" s="128" t="inlineStr">
        <is>
          <t>1411/04</t>
        </is>
      </c>
      <c r="G3470" s="58" t="inlineStr">
        <is>
          <t>تیر</t>
        </is>
      </c>
      <c r="H3470" s="128" t="inlineStr">
        <is>
          <t>تابستان</t>
        </is>
      </c>
      <c r="I3470" s="128" t="inlineStr">
        <is>
          <t>شنبه</t>
        </is>
      </c>
      <c r="J3470" s="128" t="inlineStr">
        <is>
          <t>خیر</t>
        </is>
      </c>
    </row>
    <row r="3471">
      <c r="A3471" s="176" t="n">
        <v>48392</v>
      </c>
      <c r="B3471" s="177" t="n">
        <v>48392</v>
      </c>
      <c r="C3471" s="177" t="n">
        <v>1411</v>
      </c>
      <c r="D3471" s="177" t="n">
        <v>4</v>
      </c>
      <c r="E3471" s="178" t="inlineStr">
        <is>
          <t>1411/04/07</t>
        </is>
      </c>
      <c r="F3471" s="134" t="inlineStr">
        <is>
          <t>1411/04</t>
        </is>
      </c>
      <c r="G3471" s="61" t="inlineStr">
        <is>
          <t>تیر</t>
        </is>
      </c>
      <c r="H3471" s="134" t="inlineStr">
        <is>
          <t>تابستان</t>
        </is>
      </c>
      <c r="I3471" s="134" t="inlineStr">
        <is>
          <t>یکشنبه</t>
        </is>
      </c>
      <c r="J3471" s="134" t="inlineStr">
        <is>
          <t>خیر</t>
        </is>
      </c>
    </row>
    <row r="3472">
      <c r="A3472" s="173" t="n">
        <v>48393</v>
      </c>
      <c r="B3472" s="174" t="n">
        <v>48393</v>
      </c>
      <c r="C3472" s="174" t="n">
        <v>1411</v>
      </c>
      <c r="D3472" s="174" t="n">
        <v>4</v>
      </c>
      <c r="E3472" s="175" t="inlineStr">
        <is>
          <t>1411/04/08</t>
        </is>
      </c>
      <c r="F3472" s="128" t="inlineStr">
        <is>
          <t>1411/04</t>
        </is>
      </c>
      <c r="G3472" s="58" t="inlineStr">
        <is>
          <t>تیر</t>
        </is>
      </c>
      <c r="H3472" s="128" t="inlineStr">
        <is>
          <t>تابستان</t>
        </is>
      </c>
      <c r="I3472" s="128" t="inlineStr">
        <is>
          <t>دوشنبه</t>
        </is>
      </c>
      <c r="J3472" s="128" t="inlineStr">
        <is>
          <t>بله</t>
        </is>
      </c>
    </row>
    <row r="3473">
      <c r="A3473" s="176" t="n">
        <v>48394</v>
      </c>
      <c r="B3473" s="177" t="n">
        <v>48394</v>
      </c>
      <c r="C3473" s="177" t="n">
        <v>1411</v>
      </c>
      <c r="D3473" s="177" t="n">
        <v>4</v>
      </c>
      <c r="E3473" s="178" t="inlineStr">
        <is>
          <t>1411/04/09</t>
        </is>
      </c>
      <c r="F3473" s="134" t="inlineStr">
        <is>
          <t>1411/04</t>
        </is>
      </c>
      <c r="G3473" s="61" t="inlineStr">
        <is>
          <t>تیر</t>
        </is>
      </c>
      <c r="H3473" s="134" t="inlineStr">
        <is>
          <t>تابستان</t>
        </is>
      </c>
      <c r="I3473" s="134" t="inlineStr">
        <is>
          <t>سه‌شنبه</t>
        </is>
      </c>
      <c r="J3473" s="134" t="inlineStr">
        <is>
          <t>بله</t>
        </is>
      </c>
    </row>
    <row r="3474">
      <c r="A3474" s="173" t="n">
        <v>48395</v>
      </c>
      <c r="B3474" s="174" t="n">
        <v>48395</v>
      </c>
      <c r="C3474" s="174" t="n">
        <v>1411</v>
      </c>
      <c r="D3474" s="174" t="n">
        <v>4</v>
      </c>
      <c r="E3474" s="175" t="inlineStr">
        <is>
          <t>1411/04/10</t>
        </is>
      </c>
      <c r="F3474" s="128" t="inlineStr">
        <is>
          <t>1411/04</t>
        </is>
      </c>
      <c r="G3474" s="58" t="inlineStr">
        <is>
          <t>تیر</t>
        </is>
      </c>
      <c r="H3474" s="128" t="inlineStr">
        <is>
          <t>تابستان</t>
        </is>
      </c>
      <c r="I3474" s="128" t="inlineStr">
        <is>
          <t>چهارشنبه</t>
        </is>
      </c>
      <c r="J3474" s="128" t="inlineStr">
        <is>
          <t>بله</t>
        </is>
      </c>
    </row>
    <row r="3475">
      <c r="A3475" s="176" t="n">
        <v>48396</v>
      </c>
      <c r="B3475" s="177" t="n">
        <v>48396</v>
      </c>
      <c r="C3475" s="177" t="n">
        <v>1411</v>
      </c>
      <c r="D3475" s="177" t="n">
        <v>4</v>
      </c>
      <c r="E3475" s="178" t="inlineStr">
        <is>
          <t>1411/04/11</t>
        </is>
      </c>
      <c r="F3475" s="134" t="inlineStr">
        <is>
          <t>1411/04</t>
        </is>
      </c>
      <c r="G3475" s="61" t="inlineStr">
        <is>
          <t>تیر</t>
        </is>
      </c>
      <c r="H3475" s="134" t="inlineStr">
        <is>
          <t>تابستان</t>
        </is>
      </c>
      <c r="I3475" s="134" t="inlineStr">
        <is>
          <t>پنجشنبه</t>
        </is>
      </c>
      <c r="J3475" s="134" t="inlineStr">
        <is>
          <t>بله</t>
        </is>
      </c>
    </row>
    <row r="3476">
      <c r="A3476" s="173" t="n">
        <v>48397</v>
      </c>
      <c r="B3476" s="174" t="n">
        <v>48397</v>
      </c>
      <c r="C3476" s="174" t="n">
        <v>1411</v>
      </c>
      <c r="D3476" s="174" t="n">
        <v>4</v>
      </c>
      <c r="E3476" s="175" t="inlineStr">
        <is>
          <t>1411/04/12</t>
        </is>
      </c>
      <c r="F3476" s="128" t="inlineStr">
        <is>
          <t>1411/04</t>
        </is>
      </c>
      <c r="G3476" s="58" t="inlineStr">
        <is>
          <t>تیر</t>
        </is>
      </c>
      <c r="H3476" s="128" t="inlineStr">
        <is>
          <t>تابستان</t>
        </is>
      </c>
      <c r="I3476" s="128" t="inlineStr">
        <is>
          <t>جمعه</t>
        </is>
      </c>
      <c r="J3476" s="128" t="inlineStr">
        <is>
          <t>بله</t>
        </is>
      </c>
    </row>
    <row r="3477">
      <c r="A3477" s="176" t="n">
        <v>48398</v>
      </c>
      <c r="B3477" s="177" t="n">
        <v>48398</v>
      </c>
      <c r="C3477" s="177" t="n">
        <v>1411</v>
      </c>
      <c r="D3477" s="177" t="n">
        <v>4</v>
      </c>
      <c r="E3477" s="178" t="inlineStr">
        <is>
          <t>1411/04/13</t>
        </is>
      </c>
      <c r="F3477" s="134" t="inlineStr">
        <is>
          <t>1411/04</t>
        </is>
      </c>
      <c r="G3477" s="61" t="inlineStr">
        <is>
          <t>تیر</t>
        </is>
      </c>
      <c r="H3477" s="134" t="inlineStr">
        <is>
          <t>تابستان</t>
        </is>
      </c>
      <c r="I3477" s="134" t="inlineStr">
        <is>
          <t>شنبه</t>
        </is>
      </c>
      <c r="J3477" s="134" t="inlineStr">
        <is>
          <t>خیر</t>
        </is>
      </c>
    </row>
    <row r="3478">
      <c r="A3478" s="173" t="n">
        <v>48399</v>
      </c>
      <c r="B3478" s="174" t="n">
        <v>48399</v>
      </c>
      <c r="C3478" s="174" t="n">
        <v>1411</v>
      </c>
      <c r="D3478" s="174" t="n">
        <v>4</v>
      </c>
      <c r="E3478" s="175" t="inlineStr">
        <is>
          <t>1411/04/14</t>
        </is>
      </c>
      <c r="F3478" s="128" t="inlineStr">
        <is>
          <t>1411/04</t>
        </is>
      </c>
      <c r="G3478" s="58" t="inlineStr">
        <is>
          <t>تیر</t>
        </is>
      </c>
      <c r="H3478" s="128" t="inlineStr">
        <is>
          <t>تابستان</t>
        </is>
      </c>
      <c r="I3478" s="128" t="inlineStr">
        <is>
          <t>یکشنبه</t>
        </is>
      </c>
      <c r="J3478" s="128" t="inlineStr">
        <is>
          <t>خیر</t>
        </is>
      </c>
    </row>
    <row r="3479">
      <c r="A3479" s="176" t="n">
        <v>48400</v>
      </c>
      <c r="B3479" s="177" t="n">
        <v>48400</v>
      </c>
      <c r="C3479" s="177" t="n">
        <v>1411</v>
      </c>
      <c r="D3479" s="177" t="n">
        <v>4</v>
      </c>
      <c r="E3479" s="178" t="inlineStr">
        <is>
          <t>1411/04/15</t>
        </is>
      </c>
      <c r="F3479" s="134" t="inlineStr">
        <is>
          <t>1411/04</t>
        </is>
      </c>
      <c r="G3479" s="61" t="inlineStr">
        <is>
          <t>تیر</t>
        </is>
      </c>
      <c r="H3479" s="134" t="inlineStr">
        <is>
          <t>تابستان</t>
        </is>
      </c>
      <c r="I3479" s="134" t="inlineStr">
        <is>
          <t>دوشنبه</t>
        </is>
      </c>
      <c r="J3479" s="134" t="inlineStr">
        <is>
          <t>بله</t>
        </is>
      </c>
    </row>
    <row r="3480">
      <c r="A3480" s="173" t="n">
        <v>48401</v>
      </c>
      <c r="B3480" s="174" t="n">
        <v>48401</v>
      </c>
      <c r="C3480" s="174" t="n">
        <v>1411</v>
      </c>
      <c r="D3480" s="174" t="n">
        <v>4</v>
      </c>
      <c r="E3480" s="175" t="inlineStr">
        <is>
          <t>1411/04/16</t>
        </is>
      </c>
      <c r="F3480" s="128" t="inlineStr">
        <is>
          <t>1411/04</t>
        </is>
      </c>
      <c r="G3480" s="58" t="inlineStr">
        <is>
          <t>تیر</t>
        </is>
      </c>
      <c r="H3480" s="128" t="inlineStr">
        <is>
          <t>تابستان</t>
        </is>
      </c>
      <c r="I3480" s="128" t="inlineStr">
        <is>
          <t>سه‌شنبه</t>
        </is>
      </c>
      <c r="J3480" s="128" t="inlineStr">
        <is>
          <t>بله</t>
        </is>
      </c>
    </row>
    <row r="3481">
      <c r="A3481" s="176" t="n">
        <v>48402</v>
      </c>
      <c r="B3481" s="177" t="n">
        <v>48402</v>
      </c>
      <c r="C3481" s="177" t="n">
        <v>1411</v>
      </c>
      <c r="D3481" s="177" t="n">
        <v>4</v>
      </c>
      <c r="E3481" s="178" t="inlineStr">
        <is>
          <t>1411/04/17</t>
        </is>
      </c>
      <c r="F3481" s="134" t="inlineStr">
        <is>
          <t>1411/04</t>
        </is>
      </c>
      <c r="G3481" s="61" t="inlineStr">
        <is>
          <t>تیر</t>
        </is>
      </c>
      <c r="H3481" s="134" t="inlineStr">
        <is>
          <t>تابستان</t>
        </is>
      </c>
      <c r="I3481" s="134" t="inlineStr">
        <is>
          <t>چهارشنبه</t>
        </is>
      </c>
      <c r="J3481" s="134" t="inlineStr">
        <is>
          <t>بله</t>
        </is>
      </c>
    </row>
    <row r="3482">
      <c r="A3482" s="173" t="n">
        <v>48403</v>
      </c>
      <c r="B3482" s="174" t="n">
        <v>48403</v>
      </c>
      <c r="C3482" s="174" t="n">
        <v>1411</v>
      </c>
      <c r="D3482" s="174" t="n">
        <v>4</v>
      </c>
      <c r="E3482" s="175" t="inlineStr">
        <is>
          <t>1411/04/18</t>
        </is>
      </c>
      <c r="F3482" s="128" t="inlineStr">
        <is>
          <t>1411/04</t>
        </is>
      </c>
      <c r="G3482" s="58" t="inlineStr">
        <is>
          <t>تیر</t>
        </is>
      </c>
      <c r="H3482" s="128" t="inlineStr">
        <is>
          <t>تابستان</t>
        </is>
      </c>
      <c r="I3482" s="128" t="inlineStr">
        <is>
          <t>پنجشنبه</t>
        </is>
      </c>
      <c r="J3482" s="128" t="inlineStr">
        <is>
          <t>بله</t>
        </is>
      </c>
    </row>
    <row r="3483">
      <c r="A3483" s="176" t="n">
        <v>48404</v>
      </c>
      <c r="B3483" s="177" t="n">
        <v>48404</v>
      </c>
      <c r="C3483" s="177" t="n">
        <v>1411</v>
      </c>
      <c r="D3483" s="177" t="n">
        <v>4</v>
      </c>
      <c r="E3483" s="178" t="inlineStr">
        <is>
          <t>1411/04/19</t>
        </is>
      </c>
      <c r="F3483" s="134" t="inlineStr">
        <is>
          <t>1411/04</t>
        </is>
      </c>
      <c r="G3483" s="61" t="inlineStr">
        <is>
          <t>تیر</t>
        </is>
      </c>
      <c r="H3483" s="134" t="inlineStr">
        <is>
          <t>تابستان</t>
        </is>
      </c>
      <c r="I3483" s="134" t="inlineStr">
        <is>
          <t>جمعه</t>
        </is>
      </c>
      <c r="J3483" s="134" t="inlineStr">
        <is>
          <t>بله</t>
        </is>
      </c>
    </row>
    <row r="3484">
      <c r="A3484" s="173" t="n">
        <v>48405</v>
      </c>
      <c r="B3484" s="174" t="n">
        <v>48405</v>
      </c>
      <c r="C3484" s="174" t="n">
        <v>1411</v>
      </c>
      <c r="D3484" s="174" t="n">
        <v>4</v>
      </c>
      <c r="E3484" s="175" t="inlineStr">
        <is>
          <t>1411/04/20</t>
        </is>
      </c>
      <c r="F3484" s="128" t="inlineStr">
        <is>
          <t>1411/04</t>
        </is>
      </c>
      <c r="G3484" s="58" t="inlineStr">
        <is>
          <t>تیر</t>
        </is>
      </c>
      <c r="H3484" s="128" t="inlineStr">
        <is>
          <t>تابستان</t>
        </is>
      </c>
      <c r="I3484" s="128" t="inlineStr">
        <is>
          <t>شنبه</t>
        </is>
      </c>
      <c r="J3484" s="128" t="inlineStr">
        <is>
          <t>خیر</t>
        </is>
      </c>
    </row>
    <row r="3485">
      <c r="A3485" s="176" t="n">
        <v>48406</v>
      </c>
      <c r="B3485" s="177" t="n">
        <v>48406</v>
      </c>
      <c r="C3485" s="177" t="n">
        <v>1411</v>
      </c>
      <c r="D3485" s="177" t="n">
        <v>4</v>
      </c>
      <c r="E3485" s="178" t="inlineStr">
        <is>
          <t>1411/04/21</t>
        </is>
      </c>
      <c r="F3485" s="134" t="inlineStr">
        <is>
          <t>1411/04</t>
        </is>
      </c>
      <c r="G3485" s="61" t="inlineStr">
        <is>
          <t>تیر</t>
        </is>
      </c>
      <c r="H3485" s="134" t="inlineStr">
        <is>
          <t>تابستان</t>
        </is>
      </c>
      <c r="I3485" s="134" t="inlineStr">
        <is>
          <t>یکشنبه</t>
        </is>
      </c>
      <c r="J3485" s="134" t="inlineStr">
        <is>
          <t>خیر</t>
        </is>
      </c>
    </row>
    <row r="3486">
      <c r="A3486" s="173" t="n">
        <v>48407</v>
      </c>
      <c r="B3486" s="174" t="n">
        <v>48407</v>
      </c>
      <c r="C3486" s="174" t="n">
        <v>1411</v>
      </c>
      <c r="D3486" s="174" t="n">
        <v>4</v>
      </c>
      <c r="E3486" s="175" t="inlineStr">
        <is>
          <t>1411/04/22</t>
        </is>
      </c>
      <c r="F3486" s="128" t="inlineStr">
        <is>
          <t>1411/04</t>
        </is>
      </c>
      <c r="G3486" s="58" t="inlineStr">
        <is>
          <t>تیر</t>
        </is>
      </c>
      <c r="H3486" s="128" t="inlineStr">
        <is>
          <t>تابستان</t>
        </is>
      </c>
      <c r="I3486" s="128" t="inlineStr">
        <is>
          <t>دوشنبه</t>
        </is>
      </c>
      <c r="J3486" s="128" t="inlineStr">
        <is>
          <t>بله</t>
        </is>
      </c>
    </row>
    <row r="3487">
      <c r="A3487" s="176" t="n">
        <v>48408</v>
      </c>
      <c r="B3487" s="177" t="n">
        <v>48408</v>
      </c>
      <c r="C3487" s="177" t="n">
        <v>1411</v>
      </c>
      <c r="D3487" s="177" t="n">
        <v>4</v>
      </c>
      <c r="E3487" s="178" t="inlineStr">
        <is>
          <t>1411/04/23</t>
        </is>
      </c>
      <c r="F3487" s="134" t="inlineStr">
        <is>
          <t>1411/04</t>
        </is>
      </c>
      <c r="G3487" s="61" t="inlineStr">
        <is>
          <t>تیر</t>
        </is>
      </c>
      <c r="H3487" s="134" t="inlineStr">
        <is>
          <t>تابستان</t>
        </is>
      </c>
      <c r="I3487" s="134" t="inlineStr">
        <is>
          <t>سه‌شنبه</t>
        </is>
      </c>
      <c r="J3487" s="134" t="inlineStr">
        <is>
          <t>بله</t>
        </is>
      </c>
    </row>
    <row r="3488">
      <c r="A3488" s="173" t="n">
        <v>48409</v>
      </c>
      <c r="B3488" s="174" t="n">
        <v>48409</v>
      </c>
      <c r="C3488" s="174" t="n">
        <v>1411</v>
      </c>
      <c r="D3488" s="174" t="n">
        <v>4</v>
      </c>
      <c r="E3488" s="175" t="inlineStr">
        <is>
          <t>1411/04/24</t>
        </is>
      </c>
      <c r="F3488" s="128" t="inlineStr">
        <is>
          <t>1411/04</t>
        </is>
      </c>
      <c r="G3488" s="58" t="inlineStr">
        <is>
          <t>تیر</t>
        </is>
      </c>
      <c r="H3488" s="128" t="inlineStr">
        <is>
          <t>تابستان</t>
        </is>
      </c>
      <c r="I3488" s="128" t="inlineStr">
        <is>
          <t>چهارشنبه</t>
        </is>
      </c>
      <c r="J3488" s="128" t="inlineStr">
        <is>
          <t>بله</t>
        </is>
      </c>
    </row>
    <row r="3489">
      <c r="A3489" s="176" t="n">
        <v>48410</v>
      </c>
      <c r="B3489" s="177" t="n">
        <v>48410</v>
      </c>
      <c r="C3489" s="177" t="n">
        <v>1411</v>
      </c>
      <c r="D3489" s="177" t="n">
        <v>4</v>
      </c>
      <c r="E3489" s="178" t="inlineStr">
        <is>
          <t>1411/04/25</t>
        </is>
      </c>
      <c r="F3489" s="134" t="inlineStr">
        <is>
          <t>1411/04</t>
        </is>
      </c>
      <c r="G3489" s="61" t="inlineStr">
        <is>
          <t>تیر</t>
        </is>
      </c>
      <c r="H3489" s="134" t="inlineStr">
        <is>
          <t>تابستان</t>
        </is>
      </c>
      <c r="I3489" s="134" t="inlineStr">
        <is>
          <t>پنجشنبه</t>
        </is>
      </c>
      <c r="J3489" s="134" t="inlineStr">
        <is>
          <t>بله</t>
        </is>
      </c>
    </row>
    <row r="3490">
      <c r="A3490" s="173" t="n">
        <v>48411</v>
      </c>
      <c r="B3490" s="174" t="n">
        <v>48411</v>
      </c>
      <c r="C3490" s="174" t="n">
        <v>1411</v>
      </c>
      <c r="D3490" s="174" t="n">
        <v>4</v>
      </c>
      <c r="E3490" s="175" t="inlineStr">
        <is>
          <t>1411/04/26</t>
        </is>
      </c>
      <c r="F3490" s="128" t="inlineStr">
        <is>
          <t>1411/04</t>
        </is>
      </c>
      <c r="G3490" s="58" t="inlineStr">
        <is>
          <t>تیر</t>
        </is>
      </c>
      <c r="H3490" s="128" t="inlineStr">
        <is>
          <t>تابستان</t>
        </is>
      </c>
      <c r="I3490" s="128" t="inlineStr">
        <is>
          <t>جمعه</t>
        </is>
      </c>
      <c r="J3490" s="128" t="inlineStr">
        <is>
          <t>بله</t>
        </is>
      </c>
    </row>
    <row r="3491">
      <c r="A3491" s="176" t="n">
        <v>48412</v>
      </c>
      <c r="B3491" s="177" t="n">
        <v>48412</v>
      </c>
      <c r="C3491" s="177" t="n">
        <v>1411</v>
      </c>
      <c r="D3491" s="177" t="n">
        <v>4</v>
      </c>
      <c r="E3491" s="178" t="inlineStr">
        <is>
          <t>1411/04/27</t>
        </is>
      </c>
      <c r="F3491" s="134" t="inlineStr">
        <is>
          <t>1411/04</t>
        </is>
      </c>
      <c r="G3491" s="61" t="inlineStr">
        <is>
          <t>تیر</t>
        </is>
      </c>
      <c r="H3491" s="134" t="inlineStr">
        <is>
          <t>تابستان</t>
        </is>
      </c>
      <c r="I3491" s="134" t="inlineStr">
        <is>
          <t>شنبه</t>
        </is>
      </c>
      <c r="J3491" s="134" t="inlineStr">
        <is>
          <t>خیر</t>
        </is>
      </c>
    </row>
    <row r="3492">
      <c r="A3492" s="173" t="n">
        <v>48413</v>
      </c>
      <c r="B3492" s="174" t="n">
        <v>48413</v>
      </c>
      <c r="C3492" s="174" t="n">
        <v>1411</v>
      </c>
      <c r="D3492" s="174" t="n">
        <v>4</v>
      </c>
      <c r="E3492" s="175" t="inlineStr">
        <is>
          <t>1411/04/28</t>
        </is>
      </c>
      <c r="F3492" s="128" t="inlineStr">
        <is>
          <t>1411/04</t>
        </is>
      </c>
      <c r="G3492" s="58" t="inlineStr">
        <is>
          <t>تیر</t>
        </is>
      </c>
      <c r="H3492" s="128" t="inlineStr">
        <is>
          <t>تابستان</t>
        </is>
      </c>
      <c r="I3492" s="128" t="inlineStr">
        <is>
          <t>یکشنبه</t>
        </is>
      </c>
      <c r="J3492" s="128" t="inlineStr">
        <is>
          <t>خیر</t>
        </is>
      </c>
    </row>
    <row r="3493">
      <c r="A3493" s="176" t="n">
        <v>48414</v>
      </c>
      <c r="B3493" s="177" t="n">
        <v>48414</v>
      </c>
      <c r="C3493" s="177" t="n">
        <v>1411</v>
      </c>
      <c r="D3493" s="177" t="n">
        <v>4</v>
      </c>
      <c r="E3493" s="178" t="inlineStr">
        <is>
          <t>1411/04/29</t>
        </is>
      </c>
      <c r="F3493" s="134" t="inlineStr">
        <is>
          <t>1411/04</t>
        </is>
      </c>
      <c r="G3493" s="61" t="inlineStr">
        <is>
          <t>تیر</t>
        </is>
      </c>
      <c r="H3493" s="134" t="inlineStr">
        <is>
          <t>تابستان</t>
        </is>
      </c>
      <c r="I3493" s="134" t="inlineStr">
        <is>
          <t>دوشنبه</t>
        </is>
      </c>
      <c r="J3493" s="134" t="inlineStr">
        <is>
          <t>بله</t>
        </is>
      </c>
    </row>
    <row r="3494">
      <c r="A3494" s="173" t="n">
        <v>48415</v>
      </c>
      <c r="B3494" s="174" t="n">
        <v>48415</v>
      </c>
      <c r="C3494" s="174" t="n">
        <v>1411</v>
      </c>
      <c r="D3494" s="174" t="n">
        <v>4</v>
      </c>
      <c r="E3494" s="175" t="inlineStr">
        <is>
          <t>1411/04/30</t>
        </is>
      </c>
      <c r="F3494" s="128" t="inlineStr">
        <is>
          <t>1411/04</t>
        </is>
      </c>
      <c r="G3494" s="58" t="inlineStr">
        <is>
          <t>تیر</t>
        </is>
      </c>
      <c r="H3494" s="128" t="inlineStr">
        <is>
          <t>تابستان</t>
        </is>
      </c>
      <c r="I3494" s="128" t="inlineStr">
        <is>
          <t>سه‌شنبه</t>
        </is>
      </c>
      <c r="J3494" s="128" t="inlineStr">
        <is>
          <t>بله</t>
        </is>
      </c>
    </row>
    <row r="3495">
      <c r="A3495" s="176" t="n">
        <v>48416</v>
      </c>
      <c r="B3495" s="177" t="n">
        <v>48416</v>
      </c>
      <c r="C3495" s="177" t="n">
        <v>1411</v>
      </c>
      <c r="D3495" s="177" t="n">
        <v>4</v>
      </c>
      <c r="E3495" s="178" t="inlineStr">
        <is>
          <t>1411/04/31</t>
        </is>
      </c>
      <c r="F3495" s="134" t="inlineStr">
        <is>
          <t>1411/04</t>
        </is>
      </c>
      <c r="G3495" s="61" t="inlineStr">
        <is>
          <t>تیر</t>
        </is>
      </c>
      <c r="H3495" s="134" t="inlineStr">
        <is>
          <t>تابستان</t>
        </is>
      </c>
      <c r="I3495" s="134" t="inlineStr">
        <is>
          <t>چهارشنبه</t>
        </is>
      </c>
      <c r="J3495" s="134" t="inlineStr">
        <is>
          <t>بله</t>
        </is>
      </c>
    </row>
    <row r="3496">
      <c r="A3496" s="173" t="n">
        <v>48417</v>
      </c>
      <c r="B3496" s="174" t="n">
        <v>48417</v>
      </c>
      <c r="C3496" s="174" t="n">
        <v>1411</v>
      </c>
      <c r="D3496" s="174" t="n">
        <v>5</v>
      </c>
      <c r="E3496" s="175" t="inlineStr">
        <is>
          <t>1411/05/01</t>
        </is>
      </c>
      <c r="F3496" s="128" t="inlineStr">
        <is>
          <t>1411/05</t>
        </is>
      </c>
      <c r="G3496" s="58" t="inlineStr">
        <is>
          <t>مرداد</t>
        </is>
      </c>
      <c r="H3496" s="128" t="inlineStr">
        <is>
          <t>تابستان</t>
        </is>
      </c>
      <c r="I3496" s="128" t="inlineStr">
        <is>
          <t>پنجشنبه</t>
        </is>
      </c>
      <c r="J3496" s="128" t="inlineStr">
        <is>
          <t>بله</t>
        </is>
      </c>
    </row>
    <row r="3497">
      <c r="A3497" s="176" t="n">
        <v>48418</v>
      </c>
      <c r="B3497" s="177" t="n">
        <v>48418</v>
      </c>
      <c r="C3497" s="177" t="n">
        <v>1411</v>
      </c>
      <c r="D3497" s="177" t="n">
        <v>5</v>
      </c>
      <c r="E3497" s="178" t="inlineStr">
        <is>
          <t>1411/05/02</t>
        </is>
      </c>
      <c r="F3497" s="134" t="inlineStr">
        <is>
          <t>1411/05</t>
        </is>
      </c>
      <c r="G3497" s="61" t="inlineStr">
        <is>
          <t>مرداد</t>
        </is>
      </c>
      <c r="H3497" s="134" t="inlineStr">
        <is>
          <t>تابستان</t>
        </is>
      </c>
      <c r="I3497" s="134" t="inlineStr">
        <is>
          <t>جمعه</t>
        </is>
      </c>
      <c r="J3497" s="134" t="inlineStr">
        <is>
          <t>بله</t>
        </is>
      </c>
    </row>
    <row r="3498">
      <c r="A3498" s="173" t="n">
        <v>48419</v>
      </c>
      <c r="B3498" s="174" t="n">
        <v>48419</v>
      </c>
      <c r="C3498" s="174" t="n">
        <v>1411</v>
      </c>
      <c r="D3498" s="174" t="n">
        <v>5</v>
      </c>
      <c r="E3498" s="175" t="inlineStr">
        <is>
          <t>1411/05/03</t>
        </is>
      </c>
      <c r="F3498" s="128" t="inlineStr">
        <is>
          <t>1411/05</t>
        </is>
      </c>
      <c r="G3498" s="58" t="inlineStr">
        <is>
          <t>مرداد</t>
        </is>
      </c>
      <c r="H3498" s="128" t="inlineStr">
        <is>
          <t>تابستان</t>
        </is>
      </c>
      <c r="I3498" s="128" t="inlineStr">
        <is>
          <t>شنبه</t>
        </is>
      </c>
      <c r="J3498" s="128" t="inlineStr">
        <is>
          <t>خیر</t>
        </is>
      </c>
    </row>
    <row r="3499">
      <c r="A3499" s="176" t="n">
        <v>48420</v>
      </c>
      <c r="B3499" s="177" t="n">
        <v>48420</v>
      </c>
      <c r="C3499" s="177" t="n">
        <v>1411</v>
      </c>
      <c r="D3499" s="177" t="n">
        <v>5</v>
      </c>
      <c r="E3499" s="178" t="inlineStr">
        <is>
          <t>1411/05/04</t>
        </is>
      </c>
      <c r="F3499" s="134" t="inlineStr">
        <is>
          <t>1411/05</t>
        </is>
      </c>
      <c r="G3499" s="61" t="inlineStr">
        <is>
          <t>مرداد</t>
        </is>
      </c>
      <c r="H3499" s="134" t="inlineStr">
        <is>
          <t>تابستان</t>
        </is>
      </c>
      <c r="I3499" s="134" t="inlineStr">
        <is>
          <t>یکشنبه</t>
        </is>
      </c>
      <c r="J3499" s="134" t="inlineStr">
        <is>
          <t>خیر</t>
        </is>
      </c>
    </row>
    <row r="3500">
      <c r="A3500" s="173" t="n">
        <v>48421</v>
      </c>
      <c r="B3500" s="174" t="n">
        <v>48421</v>
      </c>
      <c r="C3500" s="174" t="n">
        <v>1411</v>
      </c>
      <c r="D3500" s="174" t="n">
        <v>5</v>
      </c>
      <c r="E3500" s="175" t="inlineStr">
        <is>
          <t>1411/05/05</t>
        </is>
      </c>
      <c r="F3500" s="128" t="inlineStr">
        <is>
          <t>1411/05</t>
        </is>
      </c>
      <c r="G3500" s="58" t="inlineStr">
        <is>
          <t>مرداد</t>
        </is>
      </c>
      <c r="H3500" s="128" t="inlineStr">
        <is>
          <t>تابستان</t>
        </is>
      </c>
      <c r="I3500" s="128" t="inlineStr">
        <is>
          <t>دوشنبه</t>
        </is>
      </c>
      <c r="J3500" s="128" t="inlineStr">
        <is>
          <t>بله</t>
        </is>
      </c>
    </row>
    <row r="3501">
      <c r="A3501" s="176" t="n">
        <v>48422</v>
      </c>
      <c r="B3501" s="177" t="n">
        <v>48422</v>
      </c>
      <c r="C3501" s="177" t="n">
        <v>1411</v>
      </c>
      <c r="D3501" s="177" t="n">
        <v>5</v>
      </c>
      <c r="E3501" s="178" t="inlineStr">
        <is>
          <t>1411/05/06</t>
        </is>
      </c>
      <c r="F3501" s="134" t="inlineStr">
        <is>
          <t>1411/05</t>
        </is>
      </c>
      <c r="G3501" s="61" t="inlineStr">
        <is>
          <t>مرداد</t>
        </is>
      </c>
      <c r="H3501" s="134" t="inlineStr">
        <is>
          <t>تابستان</t>
        </is>
      </c>
      <c r="I3501" s="134" t="inlineStr">
        <is>
          <t>سه‌شنبه</t>
        </is>
      </c>
      <c r="J3501" s="134" t="inlineStr">
        <is>
          <t>بله</t>
        </is>
      </c>
    </row>
    <row r="3502">
      <c r="A3502" s="173" t="n">
        <v>48423</v>
      </c>
      <c r="B3502" s="174" t="n">
        <v>48423</v>
      </c>
      <c r="C3502" s="174" t="n">
        <v>1411</v>
      </c>
      <c r="D3502" s="174" t="n">
        <v>5</v>
      </c>
      <c r="E3502" s="175" t="inlineStr">
        <is>
          <t>1411/05/07</t>
        </is>
      </c>
      <c r="F3502" s="128" t="inlineStr">
        <is>
          <t>1411/05</t>
        </is>
      </c>
      <c r="G3502" s="58" t="inlineStr">
        <is>
          <t>مرداد</t>
        </is>
      </c>
      <c r="H3502" s="128" t="inlineStr">
        <is>
          <t>تابستان</t>
        </is>
      </c>
      <c r="I3502" s="128" t="inlineStr">
        <is>
          <t>چهارشنبه</t>
        </is>
      </c>
      <c r="J3502" s="128" t="inlineStr">
        <is>
          <t>بله</t>
        </is>
      </c>
    </row>
    <row r="3503">
      <c r="A3503" s="176" t="n">
        <v>48424</v>
      </c>
      <c r="B3503" s="177" t="n">
        <v>48424</v>
      </c>
      <c r="C3503" s="177" t="n">
        <v>1411</v>
      </c>
      <c r="D3503" s="177" t="n">
        <v>5</v>
      </c>
      <c r="E3503" s="178" t="inlineStr">
        <is>
          <t>1411/05/08</t>
        </is>
      </c>
      <c r="F3503" s="134" t="inlineStr">
        <is>
          <t>1411/05</t>
        </is>
      </c>
      <c r="G3503" s="61" t="inlineStr">
        <is>
          <t>مرداد</t>
        </is>
      </c>
      <c r="H3503" s="134" t="inlineStr">
        <is>
          <t>تابستان</t>
        </is>
      </c>
      <c r="I3503" s="134" t="inlineStr">
        <is>
          <t>پنجشنبه</t>
        </is>
      </c>
      <c r="J3503" s="134" t="inlineStr">
        <is>
          <t>بله</t>
        </is>
      </c>
    </row>
    <row r="3504">
      <c r="A3504" s="173" t="n">
        <v>48425</v>
      </c>
      <c r="B3504" s="174" t="n">
        <v>48425</v>
      </c>
      <c r="C3504" s="174" t="n">
        <v>1411</v>
      </c>
      <c r="D3504" s="174" t="n">
        <v>5</v>
      </c>
      <c r="E3504" s="175" t="inlineStr">
        <is>
          <t>1411/05/09</t>
        </is>
      </c>
      <c r="F3504" s="128" t="inlineStr">
        <is>
          <t>1411/05</t>
        </is>
      </c>
      <c r="G3504" s="58" t="inlineStr">
        <is>
          <t>مرداد</t>
        </is>
      </c>
      <c r="H3504" s="128" t="inlineStr">
        <is>
          <t>تابستان</t>
        </is>
      </c>
      <c r="I3504" s="128" t="inlineStr">
        <is>
          <t>جمعه</t>
        </is>
      </c>
      <c r="J3504" s="128" t="inlineStr">
        <is>
          <t>بله</t>
        </is>
      </c>
    </row>
    <row r="3505">
      <c r="A3505" s="176" t="n">
        <v>48426</v>
      </c>
      <c r="B3505" s="177" t="n">
        <v>48426</v>
      </c>
      <c r="C3505" s="177" t="n">
        <v>1411</v>
      </c>
      <c r="D3505" s="177" t="n">
        <v>5</v>
      </c>
      <c r="E3505" s="178" t="inlineStr">
        <is>
          <t>1411/05/10</t>
        </is>
      </c>
      <c r="F3505" s="134" t="inlineStr">
        <is>
          <t>1411/05</t>
        </is>
      </c>
      <c r="G3505" s="61" t="inlineStr">
        <is>
          <t>مرداد</t>
        </is>
      </c>
      <c r="H3505" s="134" t="inlineStr">
        <is>
          <t>تابستان</t>
        </is>
      </c>
      <c r="I3505" s="134" t="inlineStr">
        <is>
          <t>شنبه</t>
        </is>
      </c>
      <c r="J3505" s="134" t="inlineStr">
        <is>
          <t>خیر</t>
        </is>
      </c>
    </row>
    <row r="3506">
      <c r="A3506" s="173" t="n">
        <v>48427</v>
      </c>
      <c r="B3506" s="174" t="n">
        <v>48427</v>
      </c>
      <c r="C3506" s="174" t="n">
        <v>1411</v>
      </c>
      <c r="D3506" s="174" t="n">
        <v>5</v>
      </c>
      <c r="E3506" s="175" t="inlineStr">
        <is>
          <t>1411/05/11</t>
        </is>
      </c>
      <c r="F3506" s="128" t="inlineStr">
        <is>
          <t>1411/05</t>
        </is>
      </c>
      <c r="G3506" s="58" t="inlineStr">
        <is>
          <t>مرداد</t>
        </is>
      </c>
      <c r="H3506" s="128" t="inlineStr">
        <is>
          <t>تابستان</t>
        </is>
      </c>
      <c r="I3506" s="128" t="inlineStr">
        <is>
          <t>یکشنبه</t>
        </is>
      </c>
      <c r="J3506" s="128" t="inlineStr">
        <is>
          <t>خیر</t>
        </is>
      </c>
    </row>
    <row r="3507">
      <c r="A3507" s="176" t="n">
        <v>48428</v>
      </c>
      <c r="B3507" s="177" t="n">
        <v>48428</v>
      </c>
      <c r="C3507" s="177" t="n">
        <v>1411</v>
      </c>
      <c r="D3507" s="177" t="n">
        <v>5</v>
      </c>
      <c r="E3507" s="178" t="inlineStr">
        <is>
          <t>1411/05/12</t>
        </is>
      </c>
      <c r="F3507" s="134" t="inlineStr">
        <is>
          <t>1411/05</t>
        </is>
      </c>
      <c r="G3507" s="61" t="inlineStr">
        <is>
          <t>مرداد</t>
        </is>
      </c>
      <c r="H3507" s="134" t="inlineStr">
        <is>
          <t>تابستان</t>
        </is>
      </c>
      <c r="I3507" s="134" t="inlineStr">
        <is>
          <t>دوشنبه</t>
        </is>
      </c>
      <c r="J3507" s="134" t="inlineStr">
        <is>
          <t>بله</t>
        </is>
      </c>
    </row>
    <row r="3508">
      <c r="A3508" s="173" t="n">
        <v>48429</v>
      </c>
      <c r="B3508" s="174" t="n">
        <v>48429</v>
      </c>
      <c r="C3508" s="174" t="n">
        <v>1411</v>
      </c>
      <c r="D3508" s="174" t="n">
        <v>5</v>
      </c>
      <c r="E3508" s="175" t="inlineStr">
        <is>
          <t>1411/05/13</t>
        </is>
      </c>
      <c r="F3508" s="128" t="inlineStr">
        <is>
          <t>1411/05</t>
        </is>
      </c>
      <c r="G3508" s="58" t="inlineStr">
        <is>
          <t>مرداد</t>
        </is>
      </c>
      <c r="H3508" s="128" t="inlineStr">
        <is>
          <t>تابستان</t>
        </is>
      </c>
      <c r="I3508" s="128" t="inlineStr">
        <is>
          <t>سه‌شنبه</t>
        </is>
      </c>
      <c r="J3508" s="128" t="inlineStr">
        <is>
          <t>بله</t>
        </is>
      </c>
    </row>
    <row r="3509">
      <c r="A3509" s="176" t="n">
        <v>48430</v>
      </c>
      <c r="B3509" s="177" t="n">
        <v>48430</v>
      </c>
      <c r="C3509" s="177" t="n">
        <v>1411</v>
      </c>
      <c r="D3509" s="177" t="n">
        <v>5</v>
      </c>
      <c r="E3509" s="178" t="inlineStr">
        <is>
          <t>1411/05/14</t>
        </is>
      </c>
      <c r="F3509" s="134" t="inlineStr">
        <is>
          <t>1411/05</t>
        </is>
      </c>
      <c r="G3509" s="61" t="inlineStr">
        <is>
          <t>مرداد</t>
        </is>
      </c>
      <c r="H3509" s="134" t="inlineStr">
        <is>
          <t>تابستان</t>
        </is>
      </c>
      <c r="I3509" s="134" t="inlineStr">
        <is>
          <t>چهارشنبه</t>
        </is>
      </c>
      <c r="J3509" s="134" t="inlineStr">
        <is>
          <t>بله</t>
        </is>
      </c>
    </row>
    <row r="3510">
      <c r="A3510" s="173" t="n">
        <v>48431</v>
      </c>
      <c r="B3510" s="174" t="n">
        <v>48431</v>
      </c>
      <c r="C3510" s="174" t="n">
        <v>1411</v>
      </c>
      <c r="D3510" s="174" t="n">
        <v>5</v>
      </c>
      <c r="E3510" s="175" t="inlineStr">
        <is>
          <t>1411/05/15</t>
        </is>
      </c>
      <c r="F3510" s="128" t="inlineStr">
        <is>
          <t>1411/05</t>
        </is>
      </c>
      <c r="G3510" s="58" t="inlineStr">
        <is>
          <t>مرداد</t>
        </is>
      </c>
      <c r="H3510" s="128" t="inlineStr">
        <is>
          <t>تابستان</t>
        </is>
      </c>
      <c r="I3510" s="128" t="inlineStr">
        <is>
          <t>پنجشنبه</t>
        </is>
      </c>
      <c r="J3510" s="128" t="inlineStr">
        <is>
          <t>بله</t>
        </is>
      </c>
    </row>
    <row r="3511">
      <c r="A3511" s="176" t="n">
        <v>48432</v>
      </c>
      <c r="B3511" s="177" t="n">
        <v>48432</v>
      </c>
      <c r="C3511" s="177" t="n">
        <v>1411</v>
      </c>
      <c r="D3511" s="177" t="n">
        <v>5</v>
      </c>
      <c r="E3511" s="178" t="inlineStr">
        <is>
          <t>1411/05/16</t>
        </is>
      </c>
      <c r="F3511" s="134" t="inlineStr">
        <is>
          <t>1411/05</t>
        </is>
      </c>
      <c r="G3511" s="61" t="inlineStr">
        <is>
          <t>مرداد</t>
        </is>
      </c>
      <c r="H3511" s="134" t="inlineStr">
        <is>
          <t>تابستان</t>
        </is>
      </c>
      <c r="I3511" s="134" t="inlineStr">
        <is>
          <t>جمعه</t>
        </is>
      </c>
      <c r="J3511" s="134" t="inlineStr">
        <is>
          <t>بله</t>
        </is>
      </c>
    </row>
    <row r="3512">
      <c r="A3512" s="173" t="n">
        <v>48433</v>
      </c>
      <c r="B3512" s="174" t="n">
        <v>48433</v>
      </c>
      <c r="C3512" s="174" t="n">
        <v>1411</v>
      </c>
      <c r="D3512" s="174" t="n">
        <v>5</v>
      </c>
      <c r="E3512" s="175" t="inlineStr">
        <is>
          <t>1411/05/17</t>
        </is>
      </c>
      <c r="F3512" s="128" t="inlineStr">
        <is>
          <t>1411/05</t>
        </is>
      </c>
      <c r="G3512" s="58" t="inlineStr">
        <is>
          <t>مرداد</t>
        </is>
      </c>
      <c r="H3512" s="128" t="inlineStr">
        <is>
          <t>تابستان</t>
        </is>
      </c>
      <c r="I3512" s="128" t="inlineStr">
        <is>
          <t>شنبه</t>
        </is>
      </c>
      <c r="J3512" s="128" t="inlineStr">
        <is>
          <t>خیر</t>
        </is>
      </c>
    </row>
    <row r="3513">
      <c r="A3513" s="176" t="n">
        <v>48434</v>
      </c>
      <c r="B3513" s="177" t="n">
        <v>48434</v>
      </c>
      <c r="C3513" s="177" t="n">
        <v>1411</v>
      </c>
      <c r="D3513" s="177" t="n">
        <v>5</v>
      </c>
      <c r="E3513" s="178" t="inlineStr">
        <is>
          <t>1411/05/18</t>
        </is>
      </c>
      <c r="F3513" s="134" t="inlineStr">
        <is>
          <t>1411/05</t>
        </is>
      </c>
      <c r="G3513" s="61" t="inlineStr">
        <is>
          <t>مرداد</t>
        </is>
      </c>
      <c r="H3513" s="134" t="inlineStr">
        <is>
          <t>تابستان</t>
        </is>
      </c>
      <c r="I3513" s="134" t="inlineStr">
        <is>
          <t>یکشنبه</t>
        </is>
      </c>
      <c r="J3513" s="134" t="inlineStr">
        <is>
          <t>خیر</t>
        </is>
      </c>
    </row>
    <row r="3514">
      <c r="A3514" s="173" t="n">
        <v>48435</v>
      </c>
      <c r="B3514" s="174" t="n">
        <v>48435</v>
      </c>
      <c r="C3514" s="174" t="n">
        <v>1411</v>
      </c>
      <c r="D3514" s="174" t="n">
        <v>5</v>
      </c>
      <c r="E3514" s="175" t="inlineStr">
        <is>
          <t>1411/05/19</t>
        </is>
      </c>
      <c r="F3514" s="128" t="inlineStr">
        <is>
          <t>1411/05</t>
        </is>
      </c>
      <c r="G3514" s="58" t="inlineStr">
        <is>
          <t>مرداد</t>
        </is>
      </c>
      <c r="H3514" s="128" t="inlineStr">
        <is>
          <t>تابستان</t>
        </is>
      </c>
      <c r="I3514" s="128" t="inlineStr">
        <is>
          <t>دوشنبه</t>
        </is>
      </c>
      <c r="J3514" s="128" t="inlineStr">
        <is>
          <t>بله</t>
        </is>
      </c>
    </row>
    <row r="3515">
      <c r="A3515" s="176" t="n">
        <v>48436</v>
      </c>
      <c r="B3515" s="177" t="n">
        <v>48436</v>
      </c>
      <c r="C3515" s="177" t="n">
        <v>1411</v>
      </c>
      <c r="D3515" s="177" t="n">
        <v>5</v>
      </c>
      <c r="E3515" s="178" t="inlineStr">
        <is>
          <t>1411/05/20</t>
        </is>
      </c>
      <c r="F3515" s="134" t="inlineStr">
        <is>
          <t>1411/05</t>
        </is>
      </c>
      <c r="G3515" s="61" t="inlineStr">
        <is>
          <t>مرداد</t>
        </is>
      </c>
      <c r="H3515" s="134" t="inlineStr">
        <is>
          <t>تابستان</t>
        </is>
      </c>
      <c r="I3515" s="134" t="inlineStr">
        <is>
          <t>سه‌شنبه</t>
        </is>
      </c>
      <c r="J3515" s="134" t="inlineStr">
        <is>
          <t>بله</t>
        </is>
      </c>
    </row>
    <row r="3516">
      <c r="A3516" s="173" t="n">
        <v>48437</v>
      </c>
      <c r="B3516" s="174" t="n">
        <v>48437</v>
      </c>
      <c r="C3516" s="174" t="n">
        <v>1411</v>
      </c>
      <c r="D3516" s="174" t="n">
        <v>5</v>
      </c>
      <c r="E3516" s="175" t="inlineStr">
        <is>
          <t>1411/05/21</t>
        </is>
      </c>
      <c r="F3516" s="128" t="inlineStr">
        <is>
          <t>1411/05</t>
        </is>
      </c>
      <c r="G3516" s="58" t="inlineStr">
        <is>
          <t>مرداد</t>
        </is>
      </c>
      <c r="H3516" s="128" t="inlineStr">
        <is>
          <t>تابستان</t>
        </is>
      </c>
      <c r="I3516" s="128" t="inlineStr">
        <is>
          <t>چهارشنبه</t>
        </is>
      </c>
      <c r="J3516" s="128" t="inlineStr">
        <is>
          <t>بله</t>
        </is>
      </c>
    </row>
    <row r="3517">
      <c r="A3517" s="176" t="n">
        <v>48438</v>
      </c>
      <c r="B3517" s="177" t="n">
        <v>48438</v>
      </c>
      <c r="C3517" s="177" t="n">
        <v>1411</v>
      </c>
      <c r="D3517" s="177" t="n">
        <v>5</v>
      </c>
      <c r="E3517" s="178" t="inlineStr">
        <is>
          <t>1411/05/22</t>
        </is>
      </c>
      <c r="F3517" s="134" t="inlineStr">
        <is>
          <t>1411/05</t>
        </is>
      </c>
      <c r="G3517" s="61" t="inlineStr">
        <is>
          <t>مرداد</t>
        </is>
      </c>
      <c r="H3517" s="134" t="inlineStr">
        <is>
          <t>تابستان</t>
        </is>
      </c>
      <c r="I3517" s="134" t="inlineStr">
        <is>
          <t>پنجشنبه</t>
        </is>
      </c>
      <c r="J3517" s="134" t="inlineStr">
        <is>
          <t>بله</t>
        </is>
      </c>
    </row>
    <row r="3518">
      <c r="A3518" s="173" t="n">
        <v>48439</v>
      </c>
      <c r="B3518" s="174" t="n">
        <v>48439</v>
      </c>
      <c r="C3518" s="174" t="n">
        <v>1411</v>
      </c>
      <c r="D3518" s="174" t="n">
        <v>5</v>
      </c>
      <c r="E3518" s="175" t="inlineStr">
        <is>
          <t>1411/05/23</t>
        </is>
      </c>
      <c r="F3518" s="128" t="inlineStr">
        <is>
          <t>1411/05</t>
        </is>
      </c>
      <c r="G3518" s="58" t="inlineStr">
        <is>
          <t>مرداد</t>
        </is>
      </c>
      <c r="H3518" s="128" t="inlineStr">
        <is>
          <t>تابستان</t>
        </is>
      </c>
      <c r="I3518" s="128" t="inlineStr">
        <is>
          <t>جمعه</t>
        </is>
      </c>
      <c r="J3518" s="128" t="inlineStr">
        <is>
          <t>بله</t>
        </is>
      </c>
    </row>
    <row r="3519">
      <c r="A3519" s="176" t="n">
        <v>48440</v>
      </c>
      <c r="B3519" s="177" t="n">
        <v>48440</v>
      </c>
      <c r="C3519" s="177" t="n">
        <v>1411</v>
      </c>
      <c r="D3519" s="177" t="n">
        <v>5</v>
      </c>
      <c r="E3519" s="178" t="inlineStr">
        <is>
          <t>1411/05/24</t>
        </is>
      </c>
      <c r="F3519" s="134" t="inlineStr">
        <is>
          <t>1411/05</t>
        </is>
      </c>
      <c r="G3519" s="61" t="inlineStr">
        <is>
          <t>مرداد</t>
        </is>
      </c>
      <c r="H3519" s="134" t="inlineStr">
        <is>
          <t>تابستان</t>
        </is>
      </c>
      <c r="I3519" s="134" t="inlineStr">
        <is>
          <t>شنبه</t>
        </is>
      </c>
      <c r="J3519" s="134" t="inlineStr">
        <is>
          <t>خیر</t>
        </is>
      </c>
    </row>
    <row r="3520">
      <c r="A3520" s="173" t="n">
        <v>48441</v>
      </c>
      <c r="B3520" s="174" t="n">
        <v>48441</v>
      </c>
      <c r="C3520" s="174" t="n">
        <v>1411</v>
      </c>
      <c r="D3520" s="174" t="n">
        <v>5</v>
      </c>
      <c r="E3520" s="175" t="inlineStr">
        <is>
          <t>1411/05/25</t>
        </is>
      </c>
      <c r="F3520" s="128" t="inlineStr">
        <is>
          <t>1411/05</t>
        </is>
      </c>
      <c r="G3520" s="58" t="inlineStr">
        <is>
          <t>مرداد</t>
        </is>
      </c>
      <c r="H3520" s="128" t="inlineStr">
        <is>
          <t>تابستان</t>
        </is>
      </c>
      <c r="I3520" s="128" t="inlineStr">
        <is>
          <t>یکشنبه</t>
        </is>
      </c>
      <c r="J3520" s="128" t="inlineStr">
        <is>
          <t>خیر</t>
        </is>
      </c>
    </row>
    <row r="3521">
      <c r="A3521" s="176" t="n">
        <v>48442</v>
      </c>
      <c r="B3521" s="177" t="n">
        <v>48442</v>
      </c>
      <c r="C3521" s="177" t="n">
        <v>1411</v>
      </c>
      <c r="D3521" s="177" t="n">
        <v>5</v>
      </c>
      <c r="E3521" s="178" t="inlineStr">
        <is>
          <t>1411/05/26</t>
        </is>
      </c>
      <c r="F3521" s="134" t="inlineStr">
        <is>
          <t>1411/05</t>
        </is>
      </c>
      <c r="G3521" s="61" t="inlineStr">
        <is>
          <t>مرداد</t>
        </is>
      </c>
      <c r="H3521" s="134" t="inlineStr">
        <is>
          <t>تابستان</t>
        </is>
      </c>
      <c r="I3521" s="134" t="inlineStr">
        <is>
          <t>دوشنبه</t>
        </is>
      </c>
      <c r="J3521" s="134" t="inlineStr">
        <is>
          <t>بله</t>
        </is>
      </c>
    </row>
    <row r="3522">
      <c r="A3522" s="173" t="n">
        <v>48443</v>
      </c>
      <c r="B3522" s="174" t="n">
        <v>48443</v>
      </c>
      <c r="C3522" s="174" t="n">
        <v>1411</v>
      </c>
      <c r="D3522" s="174" t="n">
        <v>5</v>
      </c>
      <c r="E3522" s="175" t="inlineStr">
        <is>
          <t>1411/05/27</t>
        </is>
      </c>
      <c r="F3522" s="128" t="inlineStr">
        <is>
          <t>1411/05</t>
        </is>
      </c>
      <c r="G3522" s="58" t="inlineStr">
        <is>
          <t>مرداد</t>
        </is>
      </c>
      <c r="H3522" s="128" t="inlineStr">
        <is>
          <t>تابستان</t>
        </is>
      </c>
      <c r="I3522" s="128" t="inlineStr">
        <is>
          <t>سه‌شنبه</t>
        </is>
      </c>
      <c r="J3522" s="128" t="inlineStr">
        <is>
          <t>بله</t>
        </is>
      </c>
    </row>
    <row r="3523">
      <c r="A3523" s="176" t="n">
        <v>48444</v>
      </c>
      <c r="B3523" s="177" t="n">
        <v>48444</v>
      </c>
      <c r="C3523" s="177" t="n">
        <v>1411</v>
      </c>
      <c r="D3523" s="177" t="n">
        <v>5</v>
      </c>
      <c r="E3523" s="178" t="inlineStr">
        <is>
          <t>1411/05/28</t>
        </is>
      </c>
      <c r="F3523" s="134" t="inlineStr">
        <is>
          <t>1411/05</t>
        </is>
      </c>
      <c r="G3523" s="61" t="inlineStr">
        <is>
          <t>مرداد</t>
        </is>
      </c>
      <c r="H3523" s="134" t="inlineStr">
        <is>
          <t>تابستان</t>
        </is>
      </c>
      <c r="I3523" s="134" t="inlineStr">
        <is>
          <t>چهارشنبه</t>
        </is>
      </c>
      <c r="J3523" s="134" t="inlineStr">
        <is>
          <t>بله</t>
        </is>
      </c>
    </row>
    <row r="3524">
      <c r="A3524" s="173" t="n">
        <v>48445</v>
      </c>
      <c r="B3524" s="174" t="n">
        <v>48445</v>
      </c>
      <c r="C3524" s="174" t="n">
        <v>1411</v>
      </c>
      <c r="D3524" s="174" t="n">
        <v>5</v>
      </c>
      <c r="E3524" s="175" t="inlineStr">
        <is>
          <t>1411/05/29</t>
        </is>
      </c>
      <c r="F3524" s="128" t="inlineStr">
        <is>
          <t>1411/05</t>
        </is>
      </c>
      <c r="G3524" s="58" t="inlineStr">
        <is>
          <t>مرداد</t>
        </is>
      </c>
      <c r="H3524" s="128" t="inlineStr">
        <is>
          <t>تابستان</t>
        </is>
      </c>
      <c r="I3524" s="128" t="inlineStr">
        <is>
          <t>پنجشنبه</t>
        </is>
      </c>
      <c r="J3524" s="128" t="inlineStr">
        <is>
          <t>بله</t>
        </is>
      </c>
    </row>
    <row r="3525">
      <c r="A3525" s="176" t="n">
        <v>48446</v>
      </c>
      <c r="B3525" s="177" t="n">
        <v>48446</v>
      </c>
      <c r="C3525" s="177" t="n">
        <v>1411</v>
      </c>
      <c r="D3525" s="177" t="n">
        <v>5</v>
      </c>
      <c r="E3525" s="178" t="inlineStr">
        <is>
          <t>1411/05/30</t>
        </is>
      </c>
      <c r="F3525" s="134" t="inlineStr">
        <is>
          <t>1411/05</t>
        </is>
      </c>
      <c r="G3525" s="61" t="inlineStr">
        <is>
          <t>مرداد</t>
        </is>
      </c>
      <c r="H3525" s="134" t="inlineStr">
        <is>
          <t>تابستان</t>
        </is>
      </c>
      <c r="I3525" s="134" t="inlineStr">
        <is>
          <t>جمعه</t>
        </is>
      </c>
      <c r="J3525" s="134" t="inlineStr">
        <is>
          <t>بله</t>
        </is>
      </c>
    </row>
    <row r="3526">
      <c r="A3526" s="173" t="n">
        <v>48447</v>
      </c>
      <c r="B3526" s="174" t="n">
        <v>48447</v>
      </c>
      <c r="C3526" s="174" t="n">
        <v>1411</v>
      </c>
      <c r="D3526" s="174" t="n">
        <v>5</v>
      </c>
      <c r="E3526" s="175" t="inlineStr">
        <is>
          <t>1411/05/31</t>
        </is>
      </c>
      <c r="F3526" s="128" t="inlineStr">
        <is>
          <t>1411/05</t>
        </is>
      </c>
      <c r="G3526" s="58" t="inlineStr">
        <is>
          <t>مرداد</t>
        </is>
      </c>
      <c r="H3526" s="128" t="inlineStr">
        <is>
          <t>تابستان</t>
        </is>
      </c>
      <c r="I3526" s="128" t="inlineStr">
        <is>
          <t>شنبه</t>
        </is>
      </c>
      <c r="J3526" s="128" t="inlineStr">
        <is>
          <t>خیر</t>
        </is>
      </c>
    </row>
    <row r="3527">
      <c r="A3527" s="176" t="n">
        <v>48448</v>
      </c>
      <c r="B3527" s="177" t="n">
        <v>48448</v>
      </c>
      <c r="C3527" s="177" t="n">
        <v>1411</v>
      </c>
      <c r="D3527" s="177" t="n">
        <v>6</v>
      </c>
      <c r="E3527" s="178" t="inlineStr">
        <is>
          <t>1411/06/01</t>
        </is>
      </c>
      <c r="F3527" s="134" t="inlineStr">
        <is>
          <t>1411/06</t>
        </is>
      </c>
      <c r="G3527" s="61" t="inlineStr">
        <is>
          <t>شهریور</t>
        </is>
      </c>
      <c r="H3527" s="134" t="inlineStr">
        <is>
          <t>تابستان</t>
        </is>
      </c>
      <c r="I3527" s="134" t="inlineStr">
        <is>
          <t>یکشنبه</t>
        </is>
      </c>
      <c r="J3527" s="134" t="inlineStr">
        <is>
          <t>خیر</t>
        </is>
      </c>
    </row>
    <row r="3528">
      <c r="A3528" s="173" t="n">
        <v>48449</v>
      </c>
      <c r="B3528" s="174" t="n">
        <v>48449</v>
      </c>
      <c r="C3528" s="174" t="n">
        <v>1411</v>
      </c>
      <c r="D3528" s="174" t="n">
        <v>6</v>
      </c>
      <c r="E3528" s="175" t="inlineStr">
        <is>
          <t>1411/06/02</t>
        </is>
      </c>
      <c r="F3528" s="128" t="inlineStr">
        <is>
          <t>1411/06</t>
        </is>
      </c>
      <c r="G3528" s="58" t="inlineStr">
        <is>
          <t>شهریور</t>
        </is>
      </c>
      <c r="H3528" s="128" t="inlineStr">
        <is>
          <t>تابستان</t>
        </is>
      </c>
      <c r="I3528" s="128" t="inlineStr">
        <is>
          <t>دوشنبه</t>
        </is>
      </c>
      <c r="J3528" s="128" t="inlineStr">
        <is>
          <t>بله</t>
        </is>
      </c>
    </row>
    <row r="3529">
      <c r="A3529" s="176" t="n">
        <v>48450</v>
      </c>
      <c r="B3529" s="177" t="n">
        <v>48450</v>
      </c>
      <c r="C3529" s="177" t="n">
        <v>1411</v>
      </c>
      <c r="D3529" s="177" t="n">
        <v>6</v>
      </c>
      <c r="E3529" s="178" t="inlineStr">
        <is>
          <t>1411/06/03</t>
        </is>
      </c>
      <c r="F3529" s="134" t="inlineStr">
        <is>
          <t>1411/06</t>
        </is>
      </c>
      <c r="G3529" s="61" t="inlineStr">
        <is>
          <t>شهریور</t>
        </is>
      </c>
      <c r="H3529" s="134" t="inlineStr">
        <is>
          <t>تابستان</t>
        </is>
      </c>
      <c r="I3529" s="134" t="inlineStr">
        <is>
          <t>سه‌شنبه</t>
        </is>
      </c>
      <c r="J3529" s="134" t="inlineStr">
        <is>
          <t>بله</t>
        </is>
      </c>
    </row>
    <row r="3530">
      <c r="A3530" s="173" t="n">
        <v>48451</v>
      </c>
      <c r="B3530" s="174" t="n">
        <v>48451</v>
      </c>
      <c r="C3530" s="174" t="n">
        <v>1411</v>
      </c>
      <c r="D3530" s="174" t="n">
        <v>6</v>
      </c>
      <c r="E3530" s="175" t="inlineStr">
        <is>
          <t>1411/06/04</t>
        </is>
      </c>
      <c r="F3530" s="128" t="inlineStr">
        <is>
          <t>1411/06</t>
        </is>
      </c>
      <c r="G3530" s="58" t="inlineStr">
        <is>
          <t>شهریور</t>
        </is>
      </c>
      <c r="H3530" s="128" t="inlineStr">
        <is>
          <t>تابستان</t>
        </is>
      </c>
      <c r="I3530" s="128" t="inlineStr">
        <is>
          <t>چهارشنبه</t>
        </is>
      </c>
      <c r="J3530" s="128" t="inlineStr">
        <is>
          <t>بله</t>
        </is>
      </c>
    </row>
    <row r="3531">
      <c r="A3531" s="176" t="n">
        <v>48452</v>
      </c>
      <c r="B3531" s="177" t="n">
        <v>48452</v>
      </c>
      <c r="C3531" s="177" t="n">
        <v>1411</v>
      </c>
      <c r="D3531" s="177" t="n">
        <v>6</v>
      </c>
      <c r="E3531" s="178" t="inlineStr">
        <is>
          <t>1411/06/05</t>
        </is>
      </c>
      <c r="F3531" s="134" t="inlineStr">
        <is>
          <t>1411/06</t>
        </is>
      </c>
      <c r="G3531" s="61" t="inlineStr">
        <is>
          <t>شهریور</t>
        </is>
      </c>
      <c r="H3531" s="134" t="inlineStr">
        <is>
          <t>تابستان</t>
        </is>
      </c>
      <c r="I3531" s="134" t="inlineStr">
        <is>
          <t>پنجشنبه</t>
        </is>
      </c>
      <c r="J3531" s="134" t="inlineStr">
        <is>
          <t>بله</t>
        </is>
      </c>
    </row>
    <row r="3532">
      <c r="A3532" s="173" t="n">
        <v>48453</v>
      </c>
      <c r="B3532" s="174" t="n">
        <v>48453</v>
      </c>
      <c r="C3532" s="174" t="n">
        <v>1411</v>
      </c>
      <c r="D3532" s="174" t="n">
        <v>6</v>
      </c>
      <c r="E3532" s="175" t="inlineStr">
        <is>
          <t>1411/06/06</t>
        </is>
      </c>
      <c r="F3532" s="128" t="inlineStr">
        <is>
          <t>1411/06</t>
        </is>
      </c>
      <c r="G3532" s="58" t="inlineStr">
        <is>
          <t>شهریور</t>
        </is>
      </c>
      <c r="H3532" s="128" t="inlineStr">
        <is>
          <t>تابستان</t>
        </is>
      </c>
      <c r="I3532" s="128" t="inlineStr">
        <is>
          <t>جمعه</t>
        </is>
      </c>
      <c r="J3532" s="128" t="inlineStr">
        <is>
          <t>بله</t>
        </is>
      </c>
    </row>
    <row r="3533">
      <c r="A3533" s="176" t="n">
        <v>48454</v>
      </c>
      <c r="B3533" s="177" t="n">
        <v>48454</v>
      </c>
      <c r="C3533" s="177" t="n">
        <v>1411</v>
      </c>
      <c r="D3533" s="177" t="n">
        <v>6</v>
      </c>
      <c r="E3533" s="178" t="inlineStr">
        <is>
          <t>1411/06/07</t>
        </is>
      </c>
      <c r="F3533" s="134" t="inlineStr">
        <is>
          <t>1411/06</t>
        </is>
      </c>
      <c r="G3533" s="61" t="inlineStr">
        <is>
          <t>شهریور</t>
        </is>
      </c>
      <c r="H3533" s="134" t="inlineStr">
        <is>
          <t>تابستان</t>
        </is>
      </c>
      <c r="I3533" s="134" t="inlineStr">
        <is>
          <t>شنبه</t>
        </is>
      </c>
      <c r="J3533" s="134" t="inlineStr">
        <is>
          <t>خیر</t>
        </is>
      </c>
    </row>
    <row r="3534">
      <c r="A3534" s="173" t="n">
        <v>48455</v>
      </c>
      <c r="B3534" s="174" t="n">
        <v>48455</v>
      </c>
      <c r="C3534" s="174" t="n">
        <v>1411</v>
      </c>
      <c r="D3534" s="174" t="n">
        <v>6</v>
      </c>
      <c r="E3534" s="175" t="inlineStr">
        <is>
          <t>1411/06/08</t>
        </is>
      </c>
      <c r="F3534" s="128" t="inlineStr">
        <is>
          <t>1411/06</t>
        </is>
      </c>
      <c r="G3534" s="58" t="inlineStr">
        <is>
          <t>شهریور</t>
        </is>
      </c>
      <c r="H3534" s="128" t="inlineStr">
        <is>
          <t>تابستان</t>
        </is>
      </c>
      <c r="I3534" s="128" t="inlineStr">
        <is>
          <t>یکشنبه</t>
        </is>
      </c>
      <c r="J3534" s="128" t="inlineStr">
        <is>
          <t>خیر</t>
        </is>
      </c>
    </row>
    <row r="3535">
      <c r="A3535" s="176" t="n">
        <v>48456</v>
      </c>
      <c r="B3535" s="177" t="n">
        <v>48456</v>
      </c>
      <c r="C3535" s="177" t="n">
        <v>1411</v>
      </c>
      <c r="D3535" s="177" t="n">
        <v>6</v>
      </c>
      <c r="E3535" s="178" t="inlineStr">
        <is>
          <t>1411/06/09</t>
        </is>
      </c>
      <c r="F3535" s="134" t="inlineStr">
        <is>
          <t>1411/06</t>
        </is>
      </c>
      <c r="G3535" s="61" t="inlineStr">
        <is>
          <t>شهریور</t>
        </is>
      </c>
      <c r="H3535" s="134" t="inlineStr">
        <is>
          <t>تابستان</t>
        </is>
      </c>
      <c r="I3535" s="134" t="inlineStr">
        <is>
          <t>دوشنبه</t>
        </is>
      </c>
      <c r="J3535" s="134" t="inlineStr">
        <is>
          <t>بله</t>
        </is>
      </c>
    </row>
    <row r="3536">
      <c r="A3536" s="173" t="n">
        <v>48457</v>
      </c>
      <c r="B3536" s="174" t="n">
        <v>48457</v>
      </c>
      <c r="C3536" s="174" t="n">
        <v>1411</v>
      </c>
      <c r="D3536" s="174" t="n">
        <v>6</v>
      </c>
      <c r="E3536" s="175" t="inlineStr">
        <is>
          <t>1411/06/10</t>
        </is>
      </c>
      <c r="F3536" s="128" t="inlineStr">
        <is>
          <t>1411/06</t>
        </is>
      </c>
      <c r="G3536" s="58" t="inlineStr">
        <is>
          <t>شهریور</t>
        </is>
      </c>
      <c r="H3536" s="128" t="inlineStr">
        <is>
          <t>تابستان</t>
        </is>
      </c>
      <c r="I3536" s="128" t="inlineStr">
        <is>
          <t>سه‌شنبه</t>
        </is>
      </c>
      <c r="J3536" s="128" t="inlineStr">
        <is>
          <t>بله</t>
        </is>
      </c>
    </row>
    <row r="3537">
      <c r="A3537" s="176" t="n">
        <v>48458</v>
      </c>
      <c r="B3537" s="177" t="n">
        <v>48458</v>
      </c>
      <c r="C3537" s="177" t="n">
        <v>1411</v>
      </c>
      <c r="D3537" s="177" t="n">
        <v>6</v>
      </c>
      <c r="E3537" s="178" t="inlineStr">
        <is>
          <t>1411/06/11</t>
        </is>
      </c>
      <c r="F3537" s="134" t="inlineStr">
        <is>
          <t>1411/06</t>
        </is>
      </c>
      <c r="G3537" s="61" t="inlineStr">
        <is>
          <t>شهریور</t>
        </is>
      </c>
      <c r="H3537" s="134" t="inlineStr">
        <is>
          <t>تابستان</t>
        </is>
      </c>
      <c r="I3537" s="134" t="inlineStr">
        <is>
          <t>چهارشنبه</t>
        </is>
      </c>
      <c r="J3537" s="134" t="inlineStr">
        <is>
          <t>بله</t>
        </is>
      </c>
    </row>
    <row r="3538">
      <c r="A3538" s="173" t="n">
        <v>48459</v>
      </c>
      <c r="B3538" s="174" t="n">
        <v>48459</v>
      </c>
      <c r="C3538" s="174" t="n">
        <v>1411</v>
      </c>
      <c r="D3538" s="174" t="n">
        <v>6</v>
      </c>
      <c r="E3538" s="175" t="inlineStr">
        <is>
          <t>1411/06/12</t>
        </is>
      </c>
      <c r="F3538" s="128" t="inlineStr">
        <is>
          <t>1411/06</t>
        </is>
      </c>
      <c r="G3538" s="58" t="inlineStr">
        <is>
          <t>شهریور</t>
        </is>
      </c>
      <c r="H3538" s="128" t="inlineStr">
        <is>
          <t>تابستان</t>
        </is>
      </c>
      <c r="I3538" s="128" t="inlineStr">
        <is>
          <t>پنجشنبه</t>
        </is>
      </c>
      <c r="J3538" s="128" t="inlineStr">
        <is>
          <t>بله</t>
        </is>
      </c>
    </row>
    <row r="3539">
      <c r="A3539" s="176" t="n">
        <v>48460</v>
      </c>
      <c r="B3539" s="177" t="n">
        <v>48460</v>
      </c>
      <c r="C3539" s="177" t="n">
        <v>1411</v>
      </c>
      <c r="D3539" s="177" t="n">
        <v>6</v>
      </c>
      <c r="E3539" s="178" t="inlineStr">
        <is>
          <t>1411/06/13</t>
        </is>
      </c>
      <c r="F3539" s="134" t="inlineStr">
        <is>
          <t>1411/06</t>
        </is>
      </c>
      <c r="G3539" s="61" t="inlineStr">
        <is>
          <t>شهریور</t>
        </is>
      </c>
      <c r="H3539" s="134" t="inlineStr">
        <is>
          <t>تابستان</t>
        </is>
      </c>
      <c r="I3539" s="134" t="inlineStr">
        <is>
          <t>جمعه</t>
        </is>
      </c>
      <c r="J3539" s="134" t="inlineStr">
        <is>
          <t>بله</t>
        </is>
      </c>
    </row>
    <row r="3540">
      <c r="A3540" s="173" t="n">
        <v>48461</v>
      </c>
      <c r="B3540" s="174" t="n">
        <v>48461</v>
      </c>
      <c r="C3540" s="174" t="n">
        <v>1411</v>
      </c>
      <c r="D3540" s="174" t="n">
        <v>6</v>
      </c>
      <c r="E3540" s="175" t="inlineStr">
        <is>
          <t>1411/06/14</t>
        </is>
      </c>
      <c r="F3540" s="128" t="inlineStr">
        <is>
          <t>1411/06</t>
        </is>
      </c>
      <c r="G3540" s="58" t="inlineStr">
        <is>
          <t>شهریور</t>
        </is>
      </c>
      <c r="H3540" s="128" t="inlineStr">
        <is>
          <t>تابستان</t>
        </is>
      </c>
      <c r="I3540" s="128" t="inlineStr">
        <is>
          <t>شنبه</t>
        </is>
      </c>
      <c r="J3540" s="128" t="inlineStr">
        <is>
          <t>خیر</t>
        </is>
      </c>
    </row>
    <row r="3541">
      <c r="A3541" s="176" t="n">
        <v>48462</v>
      </c>
      <c r="B3541" s="177" t="n">
        <v>48462</v>
      </c>
      <c r="C3541" s="177" t="n">
        <v>1411</v>
      </c>
      <c r="D3541" s="177" t="n">
        <v>6</v>
      </c>
      <c r="E3541" s="178" t="inlineStr">
        <is>
          <t>1411/06/15</t>
        </is>
      </c>
      <c r="F3541" s="134" t="inlineStr">
        <is>
          <t>1411/06</t>
        </is>
      </c>
      <c r="G3541" s="61" t="inlineStr">
        <is>
          <t>شهریور</t>
        </is>
      </c>
      <c r="H3541" s="134" t="inlineStr">
        <is>
          <t>تابستان</t>
        </is>
      </c>
      <c r="I3541" s="134" t="inlineStr">
        <is>
          <t>یکشنبه</t>
        </is>
      </c>
      <c r="J3541" s="134" t="inlineStr">
        <is>
          <t>خیر</t>
        </is>
      </c>
    </row>
    <row r="3542">
      <c r="A3542" s="173" t="n">
        <v>48463</v>
      </c>
      <c r="B3542" s="174" t="n">
        <v>48463</v>
      </c>
      <c r="C3542" s="174" t="n">
        <v>1411</v>
      </c>
      <c r="D3542" s="174" t="n">
        <v>6</v>
      </c>
      <c r="E3542" s="175" t="inlineStr">
        <is>
          <t>1411/06/16</t>
        </is>
      </c>
      <c r="F3542" s="128" t="inlineStr">
        <is>
          <t>1411/06</t>
        </is>
      </c>
      <c r="G3542" s="58" t="inlineStr">
        <is>
          <t>شهریور</t>
        </is>
      </c>
      <c r="H3542" s="128" t="inlineStr">
        <is>
          <t>تابستان</t>
        </is>
      </c>
      <c r="I3542" s="128" t="inlineStr">
        <is>
          <t>دوشنبه</t>
        </is>
      </c>
      <c r="J3542" s="128" t="inlineStr">
        <is>
          <t>بله</t>
        </is>
      </c>
    </row>
    <row r="3543">
      <c r="A3543" s="176" t="n">
        <v>48464</v>
      </c>
      <c r="B3543" s="177" t="n">
        <v>48464</v>
      </c>
      <c r="C3543" s="177" t="n">
        <v>1411</v>
      </c>
      <c r="D3543" s="177" t="n">
        <v>6</v>
      </c>
      <c r="E3543" s="178" t="inlineStr">
        <is>
          <t>1411/06/17</t>
        </is>
      </c>
      <c r="F3543" s="134" t="inlineStr">
        <is>
          <t>1411/06</t>
        </is>
      </c>
      <c r="G3543" s="61" t="inlineStr">
        <is>
          <t>شهریور</t>
        </is>
      </c>
      <c r="H3543" s="134" t="inlineStr">
        <is>
          <t>تابستان</t>
        </is>
      </c>
      <c r="I3543" s="134" t="inlineStr">
        <is>
          <t>سه‌شنبه</t>
        </is>
      </c>
      <c r="J3543" s="134" t="inlineStr">
        <is>
          <t>بله</t>
        </is>
      </c>
    </row>
    <row r="3544">
      <c r="A3544" s="173" t="n">
        <v>48465</v>
      </c>
      <c r="B3544" s="174" t="n">
        <v>48465</v>
      </c>
      <c r="C3544" s="174" t="n">
        <v>1411</v>
      </c>
      <c r="D3544" s="174" t="n">
        <v>6</v>
      </c>
      <c r="E3544" s="175" t="inlineStr">
        <is>
          <t>1411/06/18</t>
        </is>
      </c>
      <c r="F3544" s="128" t="inlineStr">
        <is>
          <t>1411/06</t>
        </is>
      </c>
      <c r="G3544" s="58" t="inlineStr">
        <is>
          <t>شهریور</t>
        </is>
      </c>
      <c r="H3544" s="128" t="inlineStr">
        <is>
          <t>تابستان</t>
        </is>
      </c>
      <c r="I3544" s="128" t="inlineStr">
        <is>
          <t>چهارشنبه</t>
        </is>
      </c>
      <c r="J3544" s="128" t="inlineStr">
        <is>
          <t>بله</t>
        </is>
      </c>
    </row>
    <row r="3545">
      <c r="A3545" s="176" t="n">
        <v>48466</v>
      </c>
      <c r="B3545" s="177" t="n">
        <v>48466</v>
      </c>
      <c r="C3545" s="177" t="n">
        <v>1411</v>
      </c>
      <c r="D3545" s="177" t="n">
        <v>6</v>
      </c>
      <c r="E3545" s="178" t="inlineStr">
        <is>
          <t>1411/06/19</t>
        </is>
      </c>
      <c r="F3545" s="134" t="inlineStr">
        <is>
          <t>1411/06</t>
        </is>
      </c>
      <c r="G3545" s="61" t="inlineStr">
        <is>
          <t>شهریور</t>
        </is>
      </c>
      <c r="H3545" s="134" t="inlineStr">
        <is>
          <t>تابستان</t>
        </is>
      </c>
      <c r="I3545" s="134" t="inlineStr">
        <is>
          <t>پنجشنبه</t>
        </is>
      </c>
      <c r="J3545" s="134" t="inlineStr">
        <is>
          <t>بله</t>
        </is>
      </c>
    </row>
    <row r="3546">
      <c r="A3546" s="173" t="n">
        <v>48467</v>
      </c>
      <c r="B3546" s="174" t="n">
        <v>48467</v>
      </c>
      <c r="C3546" s="174" t="n">
        <v>1411</v>
      </c>
      <c r="D3546" s="174" t="n">
        <v>6</v>
      </c>
      <c r="E3546" s="175" t="inlineStr">
        <is>
          <t>1411/06/20</t>
        </is>
      </c>
      <c r="F3546" s="128" t="inlineStr">
        <is>
          <t>1411/06</t>
        </is>
      </c>
      <c r="G3546" s="58" t="inlineStr">
        <is>
          <t>شهریور</t>
        </is>
      </c>
      <c r="H3546" s="128" t="inlineStr">
        <is>
          <t>تابستان</t>
        </is>
      </c>
      <c r="I3546" s="128" t="inlineStr">
        <is>
          <t>جمعه</t>
        </is>
      </c>
      <c r="J3546" s="128" t="inlineStr">
        <is>
          <t>بله</t>
        </is>
      </c>
    </row>
    <row r="3547">
      <c r="A3547" s="176" t="n">
        <v>48468</v>
      </c>
      <c r="B3547" s="177" t="n">
        <v>48468</v>
      </c>
      <c r="C3547" s="177" t="n">
        <v>1411</v>
      </c>
      <c r="D3547" s="177" t="n">
        <v>6</v>
      </c>
      <c r="E3547" s="178" t="inlineStr">
        <is>
          <t>1411/06/21</t>
        </is>
      </c>
      <c r="F3547" s="134" t="inlineStr">
        <is>
          <t>1411/06</t>
        </is>
      </c>
      <c r="G3547" s="61" t="inlineStr">
        <is>
          <t>شهریور</t>
        </is>
      </c>
      <c r="H3547" s="134" t="inlineStr">
        <is>
          <t>تابستان</t>
        </is>
      </c>
      <c r="I3547" s="134" t="inlineStr">
        <is>
          <t>شنبه</t>
        </is>
      </c>
      <c r="J3547" s="134" t="inlineStr">
        <is>
          <t>خیر</t>
        </is>
      </c>
    </row>
    <row r="3548">
      <c r="A3548" s="173" t="n">
        <v>48469</v>
      </c>
      <c r="B3548" s="174" t="n">
        <v>48469</v>
      </c>
      <c r="C3548" s="174" t="n">
        <v>1411</v>
      </c>
      <c r="D3548" s="174" t="n">
        <v>6</v>
      </c>
      <c r="E3548" s="175" t="inlineStr">
        <is>
          <t>1411/06/22</t>
        </is>
      </c>
      <c r="F3548" s="128" t="inlineStr">
        <is>
          <t>1411/06</t>
        </is>
      </c>
      <c r="G3548" s="58" t="inlineStr">
        <is>
          <t>شهریور</t>
        </is>
      </c>
      <c r="H3548" s="128" t="inlineStr">
        <is>
          <t>تابستان</t>
        </is>
      </c>
      <c r="I3548" s="128" t="inlineStr">
        <is>
          <t>یکشنبه</t>
        </is>
      </c>
      <c r="J3548" s="128" t="inlineStr">
        <is>
          <t>خیر</t>
        </is>
      </c>
    </row>
    <row r="3549">
      <c r="A3549" s="176" t="n">
        <v>48470</v>
      </c>
      <c r="B3549" s="177" t="n">
        <v>48470</v>
      </c>
      <c r="C3549" s="177" t="n">
        <v>1411</v>
      </c>
      <c r="D3549" s="177" t="n">
        <v>6</v>
      </c>
      <c r="E3549" s="178" t="inlineStr">
        <is>
          <t>1411/06/23</t>
        </is>
      </c>
      <c r="F3549" s="134" t="inlineStr">
        <is>
          <t>1411/06</t>
        </is>
      </c>
      <c r="G3549" s="61" t="inlineStr">
        <is>
          <t>شهریور</t>
        </is>
      </c>
      <c r="H3549" s="134" t="inlineStr">
        <is>
          <t>تابستان</t>
        </is>
      </c>
      <c r="I3549" s="134" t="inlineStr">
        <is>
          <t>دوشنبه</t>
        </is>
      </c>
      <c r="J3549" s="134" t="inlineStr">
        <is>
          <t>بله</t>
        </is>
      </c>
    </row>
    <row r="3550">
      <c r="A3550" s="173" t="n">
        <v>48471</v>
      </c>
      <c r="B3550" s="174" t="n">
        <v>48471</v>
      </c>
      <c r="C3550" s="174" t="n">
        <v>1411</v>
      </c>
      <c r="D3550" s="174" t="n">
        <v>6</v>
      </c>
      <c r="E3550" s="175" t="inlineStr">
        <is>
          <t>1411/06/24</t>
        </is>
      </c>
      <c r="F3550" s="128" t="inlineStr">
        <is>
          <t>1411/06</t>
        </is>
      </c>
      <c r="G3550" s="58" t="inlineStr">
        <is>
          <t>شهریور</t>
        </is>
      </c>
      <c r="H3550" s="128" t="inlineStr">
        <is>
          <t>تابستان</t>
        </is>
      </c>
      <c r="I3550" s="128" t="inlineStr">
        <is>
          <t>سه‌شنبه</t>
        </is>
      </c>
      <c r="J3550" s="128" t="inlineStr">
        <is>
          <t>بله</t>
        </is>
      </c>
    </row>
    <row r="3551">
      <c r="A3551" s="176" t="n">
        <v>48472</v>
      </c>
      <c r="B3551" s="177" t="n">
        <v>48472</v>
      </c>
      <c r="C3551" s="177" t="n">
        <v>1411</v>
      </c>
      <c r="D3551" s="177" t="n">
        <v>6</v>
      </c>
      <c r="E3551" s="178" t="inlineStr">
        <is>
          <t>1411/06/25</t>
        </is>
      </c>
      <c r="F3551" s="134" t="inlineStr">
        <is>
          <t>1411/06</t>
        </is>
      </c>
      <c r="G3551" s="61" t="inlineStr">
        <is>
          <t>شهریور</t>
        </is>
      </c>
      <c r="H3551" s="134" t="inlineStr">
        <is>
          <t>تابستان</t>
        </is>
      </c>
      <c r="I3551" s="134" t="inlineStr">
        <is>
          <t>چهارشنبه</t>
        </is>
      </c>
      <c r="J3551" s="134" t="inlineStr">
        <is>
          <t>بله</t>
        </is>
      </c>
    </row>
    <row r="3552">
      <c r="A3552" s="173" t="n">
        <v>48473</v>
      </c>
      <c r="B3552" s="174" t="n">
        <v>48473</v>
      </c>
      <c r="C3552" s="174" t="n">
        <v>1411</v>
      </c>
      <c r="D3552" s="174" t="n">
        <v>6</v>
      </c>
      <c r="E3552" s="175" t="inlineStr">
        <is>
          <t>1411/06/26</t>
        </is>
      </c>
      <c r="F3552" s="128" t="inlineStr">
        <is>
          <t>1411/06</t>
        </is>
      </c>
      <c r="G3552" s="58" t="inlineStr">
        <is>
          <t>شهریور</t>
        </is>
      </c>
      <c r="H3552" s="128" t="inlineStr">
        <is>
          <t>تابستان</t>
        </is>
      </c>
      <c r="I3552" s="128" t="inlineStr">
        <is>
          <t>پنجشنبه</t>
        </is>
      </c>
      <c r="J3552" s="128" t="inlineStr">
        <is>
          <t>بله</t>
        </is>
      </c>
    </row>
    <row r="3553">
      <c r="A3553" s="176" t="n">
        <v>48474</v>
      </c>
      <c r="B3553" s="177" t="n">
        <v>48474</v>
      </c>
      <c r="C3553" s="177" t="n">
        <v>1411</v>
      </c>
      <c r="D3553" s="177" t="n">
        <v>6</v>
      </c>
      <c r="E3553" s="178" t="inlineStr">
        <is>
          <t>1411/06/27</t>
        </is>
      </c>
      <c r="F3553" s="134" t="inlineStr">
        <is>
          <t>1411/06</t>
        </is>
      </c>
      <c r="G3553" s="61" t="inlineStr">
        <is>
          <t>شهریور</t>
        </is>
      </c>
      <c r="H3553" s="134" t="inlineStr">
        <is>
          <t>تابستان</t>
        </is>
      </c>
      <c r="I3553" s="134" t="inlineStr">
        <is>
          <t>جمعه</t>
        </is>
      </c>
      <c r="J3553" s="134" t="inlineStr">
        <is>
          <t>بله</t>
        </is>
      </c>
    </row>
    <row r="3554">
      <c r="A3554" s="173" t="n">
        <v>48475</v>
      </c>
      <c r="B3554" s="174" t="n">
        <v>48475</v>
      </c>
      <c r="C3554" s="174" t="n">
        <v>1411</v>
      </c>
      <c r="D3554" s="174" t="n">
        <v>6</v>
      </c>
      <c r="E3554" s="175" t="inlineStr">
        <is>
          <t>1411/06/28</t>
        </is>
      </c>
      <c r="F3554" s="128" t="inlineStr">
        <is>
          <t>1411/06</t>
        </is>
      </c>
      <c r="G3554" s="58" t="inlineStr">
        <is>
          <t>شهریور</t>
        </is>
      </c>
      <c r="H3554" s="128" t="inlineStr">
        <is>
          <t>تابستان</t>
        </is>
      </c>
      <c r="I3554" s="128" t="inlineStr">
        <is>
          <t>شنبه</t>
        </is>
      </c>
      <c r="J3554" s="128" t="inlineStr">
        <is>
          <t>خیر</t>
        </is>
      </c>
    </row>
    <row r="3555">
      <c r="A3555" s="176" t="n">
        <v>48476</v>
      </c>
      <c r="B3555" s="177" t="n">
        <v>48476</v>
      </c>
      <c r="C3555" s="177" t="n">
        <v>1411</v>
      </c>
      <c r="D3555" s="177" t="n">
        <v>6</v>
      </c>
      <c r="E3555" s="178" t="inlineStr">
        <is>
          <t>1411/06/29</t>
        </is>
      </c>
      <c r="F3555" s="134" t="inlineStr">
        <is>
          <t>1411/06</t>
        </is>
      </c>
      <c r="G3555" s="61" t="inlineStr">
        <is>
          <t>شهریور</t>
        </is>
      </c>
      <c r="H3555" s="134" t="inlineStr">
        <is>
          <t>تابستان</t>
        </is>
      </c>
      <c r="I3555" s="134" t="inlineStr">
        <is>
          <t>یکشنبه</t>
        </is>
      </c>
      <c r="J3555" s="134" t="inlineStr">
        <is>
          <t>خیر</t>
        </is>
      </c>
    </row>
    <row r="3556">
      <c r="A3556" s="173" t="n">
        <v>48477</v>
      </c>
      <c r="B3556" s="174" t="n">
        <v>48477</v>
      </c>
      <c r="C3556" s="174" t="n">
        <v>1411</v>
      </c>
      <c r="D3556" s="174" t="n">
        <v>6</v>
      </c>
      <c r="E3556" s="175" t="inlineStr">
        <is>
          <t>1411/06/30</t>
        </is>
      </c>
      <c r="F3556" s="128" t="inlineStr">
        <is>
          <t>1411/06</t>
        </is>
      </c>
      <c r="G3556" s="58" t="inlineStr">
        <is>
          <t>شهریور</t>
        </is>
      </c>
      <c r="H3556" s="128" t="inlineStr">
        <is>
          <t>تابستان</t>
        </is>
      </c>
      <c r="I3556" s="128" t="inlineStr">
        <is>
          <t>دوشنبه</t>
        </is>
      </c>
      <c r="J3556" s="128" t="inlineStr">
        <is>
          <t>بله</t>
        </is>
      </c>
    </row>
    <row r="3557">
      <c r="A3557" s="176" t="n">
        <v>48478</v>
      </c>
      <c r="B3557" s="177" t="n">
        <v>48478</v>
      </c>
      <c r="C3557" s="177" t="n">
        <v>1411</v>
      </c>
      <c r="D3557" s="177" t="n">
        <v>6</v>
      </c>
      <c r="E3557" s="178" t="inlineStr">
        <is>
          <t>1411/06/31</t>
        </is>
      </c>
      <c r="F3557" s="134" t="inlineStr">
        <is>
          <t>1411/06</t>
        </is>
      </c>
      <c r="G3557" s="61" t="inlineStr">
        <is>
          <t>شهریور</t>
        </is>
      </c>
      <c r="H3557" s="134" t="inlineStr">
        <is>
          <t>تابستان</t>
        </is>
      </c>
      <c r="I3557" s="134" t="inlineStr">
        <is>
          <t>سه‌شنبه</t>
        </is>
      </c>
      <c r="J3557" s="134" t="inlineStr">
        <is>
          <t>بله</t>
        </is>
      </c>
    </row>
    <row r="3558">
      <c r="A3558" s="173" t="n">
        <v>48479</v>
      </c>
      <c r="B3558" s="174" t="n">
        <v>48479</v>
      </c>
      <c r="C3558" s="174" t="n">
        <v>1411</v>
      </c>
      <c r="D3558" s="174" t="n">
        <v>7</v>
      </c>
      <c r="E3558" s="175" t="inlineStr">
        <is>
          <t>1411/07/01</t>
        </is>
      </c>
      <c r="F3558" s="128" t="inlineStr">
        <is>
          <t>1411/07</t>
        </is>
      </c>
      <c r="G3558" s="58" t="inlineStr">
        <is>
          <t>مهر</t>
        </is>
      </c>
      <c r="H3558" s="128" t="inlineStr">
        <is>
          <t>پاییز</t>
        </is>
      </c>
      <c r="I3558" s="128" t="inlineStr">
        <is>
          <t>چهارشنبه</t>
        </is>
      </c>
      <c r="J3558" s="128" t="inlineStr">
        <is>
          <t>بله</t>
        </is>
      </c>
    </row>
    <row r="3559">
      <c r="A3559" s="176" t="n">
        <v>48480</v>
      </c>
      <c r="B3559" s="177" t="n">
        <v>48480</v>
      </c>
      <c r="C3559" s="177" t="n">
        <v>1411</v>
      </c>
      <c r="D3559" s="177" t="n">
        <v>7</v>
      </c>
      <c r="E3559" s="178" t="inlineStr">
        <is>
          <t>1411/07/02</t>
        </is>
      </c>
      <c r="F3559" s="134" t="inlineStr">
        <is>
          <t>1411/07</t>
        </is>
      </c>
      <c r="G3559" s="61" t="inlineStr">
        <is>
          <t>مهر</t>
        </is>
      </c>
      <c r="H3559" s="134" t="inlineStr">
        <is>
          <t>پاییز</t>
        </is>
      </c>
      <c r="I3559" s="134" t="inlineStr">
        <is>
          <t>پنجشنبه</t>
        </is>
      </c>
      <c r="J3559" s="134" t="inlineStr">
        <is>
          <t>بله</t>
        </is>
      </c>
    </row>
    <row r="3560">
      <c r="A3560" s="173" t="n">
        <v>48481</v>
      </c>
      <c r="B3560" s="174" t="n">
        <v>48481</v>
      </c>
      <c r="C3560" s="174" t="n">
        <v>1411</v>
      </c>
      <c r="D3560" s="174" t="n">
        <v>7</v>
      </c>
      <c r="E3560" s="175" t="inlineStr">
        <is>
          <t>1411/07/03</t>
        </is>
      </c>
      <c r="F3560" s="128" t="inlineStr">
        <is>
          <t>1411/07</t>
        </is>
      </c>
      <c r="G3560" s="58" t="inlineStr">
        <is>
          <t>مهر</t>
        </is>
      </c>
      <c r="H3560" s="128" t="inlineStr">
        <is>
          <t>پاییز</t>
        </is>
      </c>
      <c r="I3560" s="128" t="inlineStr">
        <is>
          <t>جمعه</t>
        </is>
      </c>
      <c r="J3560" s="128" t="inlineStr">
        <is>
          <t>بله</t>
        </is>
      </c>
    </row>
    <row r="3561">
      <c r="A3561" s="176" t="n">
        <v>48482</v>
      </c>
      <c r="B3561" s="177" t="n">
        <v>48482</v>
      </c>
      <c r="C3561" s="177" t="n">
        <v>1411</v>
      </c>
      <c r="D3561" s="177" t="n">
        <v>7</v>
      </c>
      <c r="E3561" s="178" t="inlineStr">
        <is>
          <t>1411/07/04</t>
        </is>
      </c>
      <c r="F3561" s="134" t="inlineStr">
        <is>
          <t>1411/07</t>
        </is>
      </c>
      <c r="G3561" s="61" t="inlineStr">
        <is>
          <t>مهر</t>
        </is>
      </c>
      <c r="H3561" s="134" t="inlineStr">
        <is>
          <t>پاییز</t>
        </is>
      </c>
      <c r="I3561" s="134" t="inlineStr">
        <is>
          <t>شنبه</t>
        </is>
      </c>
      <c r="J3561" s="134" t="inlineStr">
        <is>
          <t>خیر</t>
        </is>
      </c>
    </row>
    <row r="3562">
      <c r="A3562" s="173" t="n">
        <v>48483</v>
      </c>
      <c r="B3562" s="174" t="n">
        <v>48483</v>
      </c>
      <c r="C3562" s="174" t="n">
        <v>1411</v>
      </c>
      <c r="D3562" s="174" t="n">
        <v>7</v>
      </c>
      <c r="E3562" s="175" t="inlineStr">
        <is>
          <t>1411/07/05</t>
        </is>
      </c>
      <c r="F3562" s="128" t="inlineStr">
        <is>
          <t>1411/07</t>
        </is>
      </c>
      <c r="G3562" s="58" t="inlineStr">
        <is>
          <t>مهر</t>
        </is>
      </c>
      <c r="H3562" s="128" t="inlineStr">
        <is>
          <t>پاییز</t>
        </is>
      </c>
      <c r="I3562" s="128" t="inlineStr">
        <is>
          <t>یکشنبه</t>
        </is>
      </c>
      <c r="J3562" s="128" t="inlineStr">
        <is>
          <t>خیر</t>
        </is>
      </c>
    </row>
    <row r="3563">
      <c r="A3563" s="176" t="n">
        <v>48484</v>
      </c>
      <c r="B3563" s="177" t="n">
        <v>48484</v>
      </c>
      <c r="C3563" s="177" t="n">
        <v>1411</v>
      </c>
      <c r="D3563" s="177" t="n">
        <v>7</v>
      </c>
      <c r="E3563" s="178" t="inlineStr">
        <is>
          <t>1411/07/06</t>
        </is>
      </c>
      <c r="F3563" s="134" t="inlineStr">
        <is>
          <t>1411/07</t>
        </is>
      </c>
      <c r="G3563" s="61" t="inlineStr">
        <is>
          <t>مهر</t>
        </is>
      </c>
      <c r="H3563" s="134" t="inlineStr">
        <is>
          <t>پاییز</t>
        </is>
      </c>
      <c r="I3563" s="134" t="inlineStr">
        <is>
          <t>دوشنبه</t>
        </is>
      </c>
      <c r="J3563" s="134" t="inlineStr">
        <is>
          <t>بله</t>
        </is>
      </c>
    </row>
    <row r="3564">
      <c r="A3564" s="173" t="n">
        <v>48485</v>
      </c>
      <c r="B3564" s="174" t="n">
        <v>48485</v>
      </c>
      <c r="C3564" s="174" t="n">
        <v>1411</v>
      </c>
      <c r="D3564" s="174" t="n">
        <v>7</v>
      </c>
      <c r="E3564" s="175" t="inlineStr">
        <is>
          <t>1411/07/07</t>
        </is>
      </c>
      <c r="F3564" s="128" t="inlineStr">
        <is>
          <t>1411/07</t>
        </is>
      </c>
      <c r="G3564" s="58" t="inlineStr">
        <is>
          <t>مهر</t>
        </is>
      </c>
      <c r="H3564" s="128" t="inlineStr">
        <is>
          <t>پاییز</t>
        </is>
      </c>
      <c r="I3564" s="128" t="inlineStr">
        <is>
          <t>سه‌شنبه</t>
        </is>
      </c>
      <c r="J3564" s="128" t="inlineStr">
        <is>
          <t>بله</t>
        </is>
      </c>
    </row>
    <row r="3565">
      <c r="A3565" s="176" t="n">
        <v>48486</v>
      </c>
      <c r="B3565" s="177" t="n">
        <v>48486</v>
      </c>
      <c r="C3565" s="177" t="n">
        <v>1411</v>
      </c>
      <c r="D3565" s="177" t="n">
        <v>7</v>
      </c>
      <c r="E3565" s="178" t="inlineStr">
        <is>
          <t>1411/07/08</t>
        </is>
      </c>
      <c r="F3565" s="134" t="inlineStr">
        <is>
          <t>1411/07</t>
        </is>
      </c>
      <c r="G3565" s="61" t="inlineStr">
        <is>
          <t>مهر</t>
        </is>
      </c>
      <c r="H3565" s="134" t="inlineStr">
        <is>
          <t>پاییز</t>
        </is>
      </c>
      <c r="I3565" s="134" t="inlineStr">
        <is>
          <t>چهارشنبه</t>
        </is>
      </c>
      <c r="J3565" s="134" t="inlineStr">
        <is>
          <t>بله</t>
        </is>
      </c>
    </row>
    <row r="3566">
      <c r="A3566" s="173" t="n">
        <v>48487</v>
      </c>
      <c r="B3566" s="174" t="n">
        <v>48487</v>
      </c>
      <c r="C3566" s="174" t="n">
        <v>1411</v>
      </c>
      <c r="D3566" s="174" t="n">
        <v>7</v>
      </c>
      <c r="E3566" s="175" t="inlineStr">
        <is>
          <t>1411/07/09</t>
        </is>
      </c>
      <c r="F3566" s="128" t="inlineStr">
        <is>
          <t>1411/07</t>
        </is>
      </c>
      <c r="G3566" s="58" t="inlineStr">
        <is>
          <t>مهر</t>
        </is>
      </c>
      <c r="H3566" s="128" t="inlineStr">
        <is>
          <t>پاییز</t>
        </is>
      </c>
      <c r="I3566" s="128" t="inlineStr">
        <is>
          <t>پنجشنبه</t>
        </is>
      </c>
      <c r="J3566" s="128" t="inlineStr">
        <is>
          <t>بله</t>
        </is>
      </c>
    </row>
    <row r="3567">
      <c r="A3567" s="176" t="n">
        <v>48488</v>
      </c>
      <c r="B3567" s="177" t="n">
        <v>48488</v>
      </c>
      <c r="C3567" s="177" t="n">
        <v>1411</v>
      </c>
      <c r="D3567" s="177" t="n">
        <v>7</v>
      </c>
      <c r="E3567" s="178" t="inlineStr">
        <is>
          <t>1411/07/10</t>
        </is>
      </c>
      <c r="F3567" s="134" t="inlineStr">
        <is>
          <t>1411/07</t>
        </is>
      </c>
      <c r="G3567" s="61" t="inlineStr">
        <is>
          <t>مهر</t>
        </is>
      </c>
      <c r="H3567" s="134" t="inlineStr">
        <is>
          <t>پاییز</t>
        </is>
      </c>
      <c r="I3567" s="134" t="inlineStr">
        <is>
          <t>جمعه</t>
        </is>
      </c>
      <c r="J3567" s="134" t="inlineStr">
        <is>
          <t>بله</t>
        </is>
      </c>
    </row>
    <row r="3568">
      <c r="A3568" s="173" t="n">
        <v>48489</v>
      </c>
      <c r="B3568" s="174" t="n">
        <v>48489</v>
      </c>
      <c r="C3568" s="174" t="n">
        <v>1411</v>
      </c>
      <c r="D3568" s="174" t="n">
        <v>7</v>
      </c>
      <c r="E3568" s="175" t="inlineStr">
        <is>
          <t>1411/07/11</t>
        </is>
      </c>
      <c r="F3568" s="128" t="inlineStr">
        <is>
          <t>1411/07</t>
        </is>
      </c>
      <c r="G3568" s="58" t="inlineStr">
        <is>
          <t>مهر</t>
        </is>
      </c>
      <c r="H3568" s="128" t="inlineStr">
        <is>
          <t>پاییز</t>
        </is>
      </c>
      <c r="I3568" s="128" t="inlineStr">
        <is>
          <t>شنبه</t>
        </is>
      </c>
      <c r="J3568" s="128" t="inlineStr">
        <is>
          <t>خیر</t>
        </is>
      </c>
    </row>
    <row r="3569">
      <c r="A3569" s="176" t="n">
        <v>48490</v>
      </c>
      <c r="B3569" s="177" t="n">
        <v>48490</v>
      </c>
      <c r="C3569" s="177" t="n">
        <v>1411</v>
      </c>
      <c r="D3569" s="177" t="n">
        <v>7</v>
      </c>
      <c r="E3569" s="178" t="inlineStr">
        <is>
          <t>1411/07/12</t>
        </is>
      </c>
      <c r="F3569" s="134" t="inlineStr">
        <is>
          <t>1411/07</t>
        </is>
      </c>
      <c r="G3569" s="61" t="inlineStr">
        <is>
          <t>مهر</t>
        </is>
      </c>
      <c r="H3569" s="134" t="inlineStr">
        <is>
          <t>پاییز</t>
        </is>
      </c>
      <c r="I3569" s="134" t="inlineStr">
        <is>
          <t>یکشنبه</t>
        </is>
      </c>
      <c r="J3569" s="134" t="inlineStr">
        <is>
          <t>خیر</t>
        </is>
      </c>
    </row>
    <row r="3570">
      <c r="A3570" s="173" t="n">
        <v>48491</v>
      </c>
      <c r="B3570" s="174" t="n">
        <v>48491</v>
      </c>
      <c r="C3570" s="174" t="n">
        <v>1411</v>
      </c>
      <c r="D3570" s="174" t="n">
        <v>7</v>
      </c>
      <c r="E3570" s="175" t="inlineStr">
        <is>
          <t>1411/07/13</t>
        </is>
      </c>
      <c r="F3570" s="128" t="inlineStr">
        <is>
          <t>1411/07</t>
        </is>
      </c>
      <c r="G3570" s="58" t="inlineStr">
        <is>
          <t>مهر</t>
        </is>
      </c>
      <c r="H3570" s="128" t="inlineStr">
        <is>
          <t>پاییز</t>
        </is>
      </c>
      <c r="I3570" s="128" t="inlineStr">
        <is>
          <t>دوشنبه</t>
        </is>
      </c>
      <c r="J3570" s="128" t="inlineStr">
        <is>
          <t>بله</t>
        </is>
      </c>
    </row>
    <row r="3571">
      <c r="A3571" s="176" t="n">
        <v>48492</v>
      </c>
      <c r="B3571" s="177" t="n">
        <v>48492</v>
      </c>
      <c r="C3571" s="177" t="n">
        <v>1411</v>
      </c>
      <c r="D3571" s="177" t="n">
        <v>7</v>
      </c>
      <c r="E3571" s="178" t="inlineStr">
        <is>
          <t>1411/07/14</t>
        </is>
      </c>
      <c r="F3571" s="134" t="inlineStr">
        <is>
          <t>1411/07</t>
        </is>
      </c>
      <c r="G3571" s="61" t="inlineStr">
        <is>
          <t>مهر</t>
        </is>
      </c>
      <c r="H3571" s="134" t="inlineStr">
        <is>
          <t>پاییز</t>
        </is>
      </c>
      <c r="I3571" s="134" t="inlineStr">
        <is>
          <t>سه‌شنبه</t>
        </is>
      </c>
      <c r="J3571" s="134" t="inlineStr">
        <is>
          <t>بله</t>
        </is>
      </c>
    </row>
    <row r="3572">
      <c r="A3572" s="173" t="n">
        <v>48493</v>
      </c>
      <c r="B3572" s="174" t="n">
        <v>48493</v>
      </c>
      <c r="C3572" s="174" t="n">
        <v>1411</v>
      </c>
      <c r="D3572" s="174" t="n">
        <v>7</v>
      </c>
      <c r="E3572" s="175" t="inlineStr">
        <is>
          <t>1411/07/15</t>
        </is>
      </c>
      <c r="F3572" s="128" t="inlineStr">
        <is>
          <t>1411/07</t>
        </is>
      </c>
      <c r="G3572" s="58" t="inlineStr">
        <is>
          <t>مهر</t>
        </is>
      </c>
      <c r="H3572" s="128" t="inlineStr">
        <is>
          <t>پاییز</t>
        </is>
      </c>
      <c r="I3572" s="128" t="inlineStr">
        <is>
          <t>چهارشنبه</t>
        </is>
      </c>
      <c r="J3572" s="128" t="inlineStr">
        <is>
          <t>بله</t>
        </is>
      </c>
    </row>
    <row r="3573">
      <c r="A3573" s="176" t="n">
        <v>48494</v>
      </c>
      <c r="B3573" s="177" t="n">
        <v>48494</v>
      </c>
      <c r="C3573" s="177" t="n">
        <v>1411</v>
      </c>
      <c r="D3573" s="177" t="n">
        <v>7</v>
      </c>
      <c r="E3573" s="178" t="inlineStr">
        <is>
          <t>1411/07/16</t>
        </is>
      </c>
      <c r="F3573" s="134" t="inlineStr">
        <is>
          <t>1411/07</t>
        </is>
      </c>
      <c r="G3573" s="61" t="inlineStr">
        <is>
          <t>مهر</t>
        </is>
      </c>
      <c r="H3573" s="134" t="inlineStr">
        <is>
          <t>پاییز</t>
        </is>
      </c>
      <c r="I3573" s="134" t="inlineStr">
        <is>
          <t>پنجشنبه</t>
        </is>
      </c>
      <c r="J3573" s="134" t="inlineStr">
        <is>
          <t>بله</t>
        </is>
      </c>
    </row>
    <row r="3574">
      <c r="A3574" s="173" t="n">
        <v>48495</v>
      </c>
      <c r="B3574" s="174" t="n">
        <v>48495</v>
      </c>
      <c r="C3574" s="174" t="n">
        <v>1411</v>
      </c>
      <c r="D3574" s="174" t="n">
        <v>7</v>
      </c>
      <c r="E3574" s="175" t="inlineStr">
        <is>
          <t>1411/07/17</t>
        </is>
      </c>
      <c r="F3574" s="128" t="inlineStr">
        <is>
          <t>1411/07</t>
        </is>
      </c>
      <c r="G3574" s="58" t="inlineStr">
        <is>
          <t>مهر</t>
        </is>
      </c>
      <c r="H3574" s="128" t="inlineStr">
        <is>
          <t>پاییز</t>
        </is>
      </c>
      <c r="I3574" s="128" t="inlineStr">
        <is>
          <t>جمعه</t>
        </is>
      </c>
      <c r="J3574" s="128" t="inlineStr">
        <is>
          <t>بله</t>
        </is>
      </c>
    </row>
    <row r="3575">
      <c r="A3575" s="176" t="n">
        <v>48496</v>
      </c>
      <c r="B3575" s="177" t="n">
        <v>48496</v>
      </c>
      <c r="C3575" s="177" t="n">
        <v>1411</v>
      </c>
      <c r="D3575" s="177" t="n">
        <v>7</v>
      </c>
      <c r="E3575" s="178" t="inlineStr">
        <is>
          <t>1411/07/18</t>
        </is>
      </c>
      <c r="F3575" s="134" t="inlineStr">
        <is>
          <t>1411/07</t>
        </is>
      </c>
      <c r="G3575" s="61" t="inlineStr">
        <is>
          <t>مهر</t>
        </is>
      </c>
      <c r="H3575" s="134" t="inlineStr">
        <is>
          <t>پاییز</t>
        </is>
      </c>
      <c r="I3575" s="134" t="inlineStr">
        <is>
          <t>شنبه</t>
        </is>
      </c>
      <c r="J3575" s="134" t="inlineStr">
        <is>
          <t>خیر</t>
        </is>
      </c>
    </row>
    <row r="3576">
      <c r="A3576" s="173" t="n">
        <v>48497</v>
      </c>
      <c r="B3576" s="174" t="n">
        <v>48497</v>
      </c>
      <c r="C3576" s="174" t="n">
        <v>1411</v>
      </c>
      <c r="D3576" s="174" t="n">
        <v>7</v>
      </c>
      <c r="E3576" s="175" t="inlineStr">
        <is>
          <t>1411/07/19</t>
        </is>
      </c>
      <c r="F3576" s="128" t="inlineStr">
        <is>
          <t>1411/07</t>
        </is>
      </c>
      <c r="G3576" s="58" t="inlineStr">
        <is>
          <t>مهر</t>
        </is>
      </c>
      <c r="H3576" s="128" t="inlineStr">
        <is>
          <t>پاییز</t>
        </is>
      </c>
      <c r="I3576" s="128" t="inlineStr">
        <is>
          <t>یکشنبه</t>
        </is>
      </c>
      <c r="J3576" s="128" t="inlineStr">
        <is>
          <t>خیر</t>
        </is>
      </c>
    </row>
    <row r="3577">
      <c r="A3577" s="176" t="n">
        <v>48498</v>
      </c>
      <c r="B3577" s="177" t="n">
        <v>48498</v>
      </c>
      <c r="C3577" s="177" t="n">
        <v>1411</v>
      </c>
      <c r="D3577" s="177" t="n">
        <v>7</v>
      </c>
      <c r="E3577" s="178" t="inlineStr">
        <is>
          <t>1411/07/20</t>
        </is>
      </c>
      <c r="F3577" s="134" t="inlineStr">
        <is>
          <t>1411/07</t>
        </is>
      </c>
      <c r="G3577" s="61" t="inlineStr">
        <is>
          <t>مهر</t>
        </is>
      </c>
      <c r="H3577" s="134" t="inlineStr">
        <is>
          <t>پاییز</t>
        </is>
      </c>
      <c r="I3577" s="134" t="inlineStr">
        <is>
          <t>دوشنبه</t>
        </is>
      </c>
      <c r="J3577" s="134" t="inlineStr">
        <is>
          <t>بله</t>
        </is>
      </c>
    </row>
    <row r="3578">
      <c r="A3578" s="173" t="n">
        <v>48499</v>
      </c>
      <c r="B3578" s="174" t="n">
        <v>48499</v>
      </c>
      <c r="C3578" s="174" t="n">
        <v>1411</v>
      </c>
      <c r="D3578" s="174" t="n">
        <v>7</v>
      </c>
      <c r="E3578" s="175" t="inlineStr">
        <is>
          <t>1411/07/21</t>
        </is>
      </c>
      <c r="F3578" s="128" t="inlineStr">
        <is>
          <t>1411/07</t>
        </is>
      </c>
      <c r="G3578" s="58" t="inlineStr">
        <is>
          <t>مهر</t>
        </is>
      </c>
      <c r="H3578" s="128" t="inlineStr">
        <is>
          <t>پاییز</t>
        </is>
      </c>
      <c r="I3578" s="128" t="inlineStr">
        <is>
          <t>سه‌شنبه</t>
        </is>
      </c>
      <c r="J3578" s="128" t="inlineStr">
        <is>
          <t>بله</t>
        </is>
      </c>
    </row>
    <row r="3579">
      <c r="A3579" s="176" t="n">
        <v>48500</v>
      </c>
      <c r="B3579" s="177" t="n">
        <v>48500</v>
      </c>
      <c r="C3579" s="177" t="n">
        <v>1411</v>
      </c>
      <c r="D3579" s="177" t="n">
        <v>7</v>
      </c>
      <c r="E3579" s="178" t="inlineStr">
        <is>
          <t>1411/07/22</t>
        </is>
      </c>
      <c r="F3579" s="134" t="inlineStr">
        <is>
          <t>1411/07</t>
        </is>
      </c>
      <c r="G3579" s="61" t="inlineStr">
        <is>
          <t>مهر</t>
        </is>
      </c>
      <c r="H3579" s="134" t="inlineStr">
        <is>
          <t>پاییز</t>
        </is>
      </c>
      <c r="I3579" s="134" t="inlineStr">
        <is>
          <t>چهارشنبه</t>
        </is>
      </c>
      <c r="J3579" s="134" t="inlineStr">
        <is>
          <t>بله</t>
        </is>
      </c>
    </row>
    <row r="3580">
      <c r="A3580" s="173" t="n">
        <v>48501</v>
      </c>
      <c r="B3580" s="174" t="n">
        <v>48501</v>
      </c>
      <c r="C3580" s="174" t="n">
        <v>1411</v>
      </c>
      <c r="D3580" s="174" t="n">
        <v>7</v>
      </c>
      <c r="E3580" s="175" t="inlineStr">
        <is>
          <t>1411/07/23</t>
        </is>
      </c>
      <c r="F3580" s="128" t="inlineStr">
        <is>
          <t>1411/07</t>
        </is>
      </c>
      <c r="G3580" s="58" t="inlineStr">
        <is>
          <t>مهر</t>
        </is>
      </c>
      <c r="H3580" s="128" t="inlineStr">
        <is>
          <t>پاییز</t>
        </is>
      </c>
      <c r="I3580" s="128" t="inlineStr">
        <is>
          <t>پنجشنبه</t>
        </is>
      </c>
      <c r="J3580" s="128" t="inlineStr">
        <is>
          <t>بله</t>
        </is>
      </c>
    </row>
    <row r="3581">
      <c r="A3581" s="176" t="n">
        <v>48502</v>
      </c>
      <c r="B3581" s="177" t="n">
        <v>48502</v>
      </c>
      <c r="C3581" s="177" t="n">
        <v>1411</v>
      </c>
      <c r="D3581" s="177" t="n">
        <v>7</v>
      </c>
      <c r="E3581" s="178" t="inlineStr">
        <is>
          <t>1411/07/24</t>
        </is>
      </c>
      <c r="F3581" s="134" t="inlineStr">
        <is>
          <t>1411/07</t>
        </is>
      </c>
      <c r="G3581" s="61" t="inlineStr">
        <is>
          <t>مهر</t>
        </is>
      </c>
      <c r="H3581" s="134" t="inlineStr">
        <is>
          <t>پاییز</t>
        </is>
      </c>
      <c r="I3581" s="134" t="inlineStr">
        <is>
          <t>جمعه</t>
        </is>
      </c>
      <c r="J3581" s="134" t="inlineStr">
        <is>
          <t>بله</t>
        </is>
      </c>
    </row>
    <row r="3582">
      <c r="A3582" s="173" t="n">
        <v>48503</v>
      </c>
      <c r="B3582" s="174" t="n">
        <v>48503</v>
      </c>
      <c r="C3582" s="174" t="n">
        <v>1411</v>
      </c>
      <c r="D3582" s="174" t="n">
        <v>7</v>
      </c>
      <c r="E3582" s="175" t="inlineStr">
        <is>
          <t>1411/07/25</t>
        </is>
      </c>
      <c r="F3582" s="128" t="inlineStr">
        <is>
          <t>1411/07</t>
        </is>
      </c>
      <c r="G3582" s="58" t="inlineStr">
        <is>
          <t>مهر</t>
        </is>
      </c>
      <c r="H3582" s="128" t="inlineStr">
        <is>
          <t>پاییز</t>
        </is>
      </c>
      <c r="I3582" s="128" t="inlineStr">
        <is>
          <t>شنبه</t>
        </is>
      </c>
      <c r="J3582" s="128" t="inlineStr">
        <is>
          <t>خیر</t>
        </is>
      </c>
    </row>
    <row r="3583">
      <c r="A3583" s="176" t="n">
        <v>48504</v>
      </c>
      <c r="B3583" s="177" t="n">
        <v>48504</v>
      </c>
      <c r="C3583" s="177" t="n">
        <v>1411</v>
      </c>
      <c r="D3583" s="177" t="n">
        <v>7</v>
      </c>
      <c r="E3583" s="178" t="inlineStr">
        <is>
          <t>1411/07/26</t>
        </is>
      </c>
      <c r="F3583" s="134" t="inlineStr">
        <is>
          <t>1411/07</t>
        </is>
      </c>
      <c r="G3583" s="61" t="inlineStr">
        <is>
          <t>مهر</t>
        </is>
      </c>
      <c r="H3583" s="134" t="inlineStr">
        <is>
          <t>پاییز</t>
        </is>
      </c>
      <c r="I3583" s="134" t="inlineStr">
        <is>
          <t>یکشنبه</t>
        </is>
      </c>
      <c r="J3583" s="134" t="inlineStr">
        <is>
          <t>خیر</t>
        </is>
      </c>
    </row>
    <row r="3584">
      <c r="A3584" s="173" t="n">
        <v>48505</v>
      </c>
      <c r="B3584" s="174" t="n">
        <v>48505</v>
      </c>
      <c r="C3584" s="174" t="n">
        <v>1411</v>
      </c>
      <c r="D3584" s="174" t="n">
        <v>7</v>
      </c>
      <c r="E3584" s="175" t="inlineStr">
        <is>
          <t>1411/07/27</t>
        </is>
      </c>
      <c r="F3584" s="128" t="inlineStr">
        <is>
          <t>1411/07</t>
        </is>
      </c>
      <c r="G3584" s="58" t="inlineStr">
        <is>
          <t>مهر</t>
        </is>
      </c>
      <c r="H3584" s="128" t="inlineStr">
        <is>
          <t>پاییز</t>
        </is>
      </c>
      <c r="I3584" s="128" t="inlineStr">
        <is>
          <t>دوشنبه</t>
        </is>
      </c>
      <c r="J3584" s="128" t="inlineStr">
        <is>
          <t>بله</t>
        </is>
      </c>
    </row>
    <row r="3585">
      <c r="A3585" s="176" t="n">
        <v>48506</v>
      </c>
      <c r="B3585" s="177" t="n">
        <v>48506</v>
      </c>
      <c r="C3585" s="177" t="n">
        <v>1411</v>
      </c>
      <c r="D3585" s="177" t="n">
        <v>7</v>
      </c>
      <c r="E3585" s="178" t="inlineStr">
        <is>
          <t>1411/07/28</t>
        </is>
      </c>
      <c r="F3585" s="134" t="inlineStr">
        <is>
          <t>1411/07</t>
        </is>
      </c>
      <c r="G3585" s="61" t="inlineStr">
        <is>
          <t>مهر</t>
        </is>
      </c>
      <c r="H3585" s="134" t="inlineStr">
        <is>
          <t>پاییز</t>
        </is>
      </c>
      <c r="I3585" s="134" t="inlineStr">
        <is>
          <t>سه‌شنبه</t>
        </is>
      </c>
      <c r="J3585" s="134" t="inlineStr">
        <is>
          <t>بله</t>
        </is>
      </c>
    </row>
    <row r="3586">
      <c r="A3586" s="173" t="n">
        <v>48507</v>
      </c>
      <c r="B3586" s="174" t="n">
        <v>48507</v>
      </c>
      <c r="C3586" s="174" t="n">
        <v>1411</v>
      </c>
      <c r="D3586" s="174" t="n">
        <v>7</v>
      </c>
      <c r="E3586" s="175" t="inlineStr">
        <is>
          <t>1411/07/29</t>
        </is>
      </c>
      <c r="F3586" s="128" t="inlineStr">
        <is>
          <t>1411/07</t>
        </is>
      </c>
      <c r="G3586" s="58" t="inlineStr">
        <is>
          <t>مهر</t>
        </is>
      </c>
      <c r="H3586" s="128" t="inlineStr">
        <is>
          <t>پاییز</t>
        </is>
      </c>
      <c r="I3586" s="128" t="inlineStr">
        <is>
          <t>چهارشنبه</t>
        </is>
      </c>
      <c r="J3586" s="128" t="inlineStr">
        <is>
          <t>بله</t>
        </is>
      </c>
    </row>
    <row r="3587">
      <c r="A3587" s="176" t="n">
        <v>48508</v>
      </c>
      <c r="B3587" s="177" t="n">
        <v>48508</v>
      </c>
      <c r="C3587" s="177" t="n">
        <v>1411</v>
      </c>
      <c r="D3587" s="177" t="n">
        <v>7</v>
      </c>
      <c r="E3587" s="178" t="inlineStr">
        <is>
          <t>1411/07/30</t>
        </is>
      </c>
      <c r="F3587" s="134" t="inlineStr">
        <is>
          <t>1411/07</t>
        </is>
      </c>
      <c r="G3587" s="61" t="inlineStr">
        <is>
          <t>مهر</t>
        </is>
      </c>
      <c r="H3587" s="134" t="inlineStr">
        <is>
          <t>پاییز</t>
        </is>
      </c>
      <c r="I3587" s="134" t="inlineStr">
        <is>
          <t>پنجشنبه</t>
        </is>
      </c>
      <c r="J3587" s="134" t="inlineStr">
        <is>
          <t>بله</t>
        </is>
      </c>
    </row>
    <row r="3588">
      <c r="A3588" s="173" t="n">
        <v>48509</v>
      </c>
      <c r="B3588" s="174" t="n">
        <v>48509</v>
      </c>
      <c r="C3588" s="174" t="n">
        <v>1411</v>
      </c>
      <c r="D3588" s="174" t="n">
        <v>8</v>
      </c>
      <c r="E3588" s="175" t="inlineStr">
        <is>
          <t>1411/08/01</t>
        </is>
      </c>
      <c r="F3588" s="128" t="inlineStr">
        <is>
          <t>1411/08</t>
        </is>
      </c>
      <c r="G3588" s="58" t="inlineStr">
        <is>
          <t>آبان</t>
        </is>
      </c>
      <c r="H3588" s="128" t="inlineStr">
        <is>
          <t>پاییز</t>
        </is>
      </c>
      <c r="I3588" s="128" t="inlineStr">
        <is>
          <t>جمعه</t>
        </is>
      </c>
      <c r="J3588" s="128" t="inlineStr">
        <is>
          <t>بله</t>
        </is>
      </c>
    </row>
    <row r="3589">
      <c r="A3589" s="176" t="n">
        <v>48510</v>
      </c>
      <c r="B3589" s="177" t="n">
        <v>48510</v>
      </c>
      <c r="C3589" s="177" t="n">
        <v>1411</v>
      </c>
      <c r="D3589" s="177" t="n">
        <v>8</v>
      </c>
      <c r="E3589" s="178" t="inlineStr">
        <is>
          <t>1411/08/02</t>
        </is>
      </c>
      <c r="F3589" s="134" t="inlineStr">
        <is>
          <t>1411/08</t>
        </is>
      </c>
      <c r="G3589" s="61" t="inlineStr">
        <is>
          <t>آبان</t>
        </is>
      </c>
      <c r="H3589" s="134" t="inlineStr">
        <is>
          <t>پاییز</t>
        </is>
      </c>
      <c r="I3589" s="134" t="inlineStr">
        <is>
          <t>شنبه</t>
        </is>
      </c>
      <c r="J3589" s="134" t="inlineStr">
        <is>
          <t>خیر</t>
        </is>
      </c>
    </row>
    <row r="3590">
      <c r="A3590" s="173" t="n">
        <v>48511</v>
      </c>
      <c r="B3590" s="174" t="n">
        <v>48511</v>
      </c>
      <c r="C3590" s="174" t="n">
        <v>1411</v>
      </c>
      <c r="D3590" s="174" t="n">
        <v>8</v>
      </c>
      <c r="E3590" s="175" t="inlineStr">
        <is>
          <t>1411/08/03</t>
        </is>
      </c>
      <c r="F3590" s="128" t="inlineStr">
        <is>
          <t>1411/08</t>
        </is>
      </c>
      <c r="G3590" s="58" t="inlineStr">
        <is>
          <t>آبان</t>
        </is>
      </c>
      <c r="H3590" s="128" t="inlineStr">
        <is>
          <t>پاییز</t>
        </is>
      </c>
      <c r="I3590" s="128" t="inlineStr">
        <is>
          <t>یکشنبه</t>
        </is>
      </c>
      <c r="J3590" s="128" t="inlineStr">
        <is>
          <t>خیر</t>
        </is>
      </c>
    </row>
    <row r="3591">
      <c r="A3591" s="176" t="n">
        <v>48512</v>
      </c>
      <c r="B3591" s="177" t="n">
        <v>48512</v>
      </c>
      <c r="C3591" s="177" t="n">
        <v>1411</v>
      </c>
      <c r="D3591" s="177" t="n">
        <v>8</v>
      </c>
      <c r="E3591" s="178" t="inlineStr">
        <is>
          <t>1411/08/04</t>
        </is>
      </c>
      <c r="F3591" s="134" t="inlineStr">
        <is>
          <t>1411/08</t>
        </is>
      </c>
      <c r="G3591" s="61" t="inlineStr">
        <is>
          <t>آبان</t>
        </is>
      </c>
      <c r="H3591" s="134" t="inlineStr">
        <is>
          <t>پاییز</t>
        </is>
      </c>
      <c r="I3591" s="134" t="inlineStr">
        <is>
          <t>دوشنبه</t>
        </is>
      </c>
      <c r="J3591" s="134" t="inlineStr">
        <is>
          <t>بله</t>
        </is>
      </c>
    </row>
    <row r="3592">
      <c r="A3592" s="173" t="n">
        <v>48513</v>
      </c>
      <c r="B3592" s="174" t="n">
        <v>48513</v>
      </c>
      <c r="C3592" s="174" t="n">
        <v>1411</v>
      </c>
      <c r="D3592" s="174" t="n">
        <v>8</v>
      </c>
      <c r="E3592" s="175" t="inlineStr">
        <is>
          <t>1411/08/05</t>
        </is>
      </c>
      <c r="F3592" s="128" t="inlineStr">
        <is>
          <t>1411/08</t>
        </is>
      </c>
      <c r="G3592" s="58" t="inlineStr">
        <is>
          <t>آبان</t>
        </is>
      </c>
      <c r="H3592" s="128" t="inlineStr">
        <is>
          <t>پاییز</t>
        </is>
      </c>
      <c r="I3592" s="128" t="inlineStr">
        <is>
          <t>سه‌شنبه</t>
        </is>
      </c>
      <c r="J3592" s="128" t="inlineStr">
        <is>
          <t>بله</t>
        </is>
      </c>
    </row>
    <row r="3593">
      <c r="A3593" s="176" t="n">
        <v>48514</v>
      </c>
      <c r="B3593" s="177" t="n">
        <v>48514</v>
      </c>
      <c r="C3593" s="177" t="n">
        <v>1411</v>
      </c>
      <c r="D3593" s="177" t="n">
        <v>8</v>
      </c>
      <c r="E3593" s="178" t="inlineStr">
        <is>
          <t>1411/08/06</t>
        </is>
      </c>
      <c r="F3593" s="134" t="inlineStr">
        <is>
          <t>1411/08</t>
        </is>
      </c>
      <c r="G3593" s="61" t="inlineStr">
        <is>
          <t>آبان</t>
        </is>
      </c>
      <c r="H3593" s="134" t="inlineStr">
        <is>
          <t>پاییز</t>
        </is>
      </c>
      <c r="I3593" s="134" t="inlineStr">
        <is>
          <t>چهارشنبه</t>
        </is>
      </c>
      <c r="J3593" s="134" t="inlineStr">
        <is>
          <t>بله</t>
        </is>
      </c>
    </row>
    <row r="3594">
      <c r="A3594" s="173" t="n">
        <v>48515</v>
      </c>
      <c r="B3594" s="174" t="n">
        <v>48515</v>
      </c>
      <c r="C3594" s="174" t="n">
        <v>1411</v>
      </c>
      <c r="D3594" s="174" t="n">
        <v>8</v>
      </c>
      <c r="E3594" s="175" t="inlineStr">
        <is>
          <t>1411/08/07</t>
        </is>
      </c>
      <c r="F3594" s="128" t="inlineStr">
        <is>
          <t>1411/08</t>
        </is>
      </c>
      <c r="G3594" s="58" t="inlineStr">
        <is>
          <t>آبان</t>
        </is>
      </c>
      <c r="H3594" s="128" t="inlineStr">
        <is>
          <t>پاییز</t>
        </is>
      </c>
      <c r="I3594" s="128" t="inlineStr">
        <is>
          <t>پنجشنبه</t>
        </is>
      </c>
      <c r="J3594" s="128" t="inlineStr">
        <is>
          <t>بله</t>
        </is>
      </c>
    </row>
    <row r="3595">
      <c r="A3595" s="176" t="n">
        <v>48516</v>
      </c>
      <c r="B3595" s="177" t="n">
        <v>48516</v>
      </c>
      <c r="C3595" s="177" t="n">
        <v>1411</v>
      </c>
      <c r="D3595" s="177" t="n">
        <v>8</v>
      </c>
      <c r="E3595" s="178" t="inlineStr">
        <is>
          <t>1411/08/08</t>
        </is>
      </c>
      <c r="F3595" s="134" t="inlineStr">
        <is>
          <t>1411/08</t>
        </is>
      </c>
      <c r="G3595" s="61" t="inlineStr">
        <is>
          <t>آبان</t>
        </is>
      </c>
      <c r="H3595" s="134" t="inlineStr">
        <is>
          <t>پاییز</t>
        </is>
      </c>
      <c r="I3595" s="134" t="inlineStr">
        <is>
          <t>جمعه</t>
        </is>
      </c>
      <c r="J3595" s="134" t="inlineStr">
        <is>
          <t>بله</t>
        </is>
      </c>
    </row>
    <row r="3596">
      <c r="A3596" s="173" t="n">
        <v>48517</v>
      </c>
      <c r="B3596" s="174" t="n">
        <v>48517</v>
      </c>
      <c r="C3596" s="174" t="n">
        <v>1411</v>
      </c>
      <c r="D3596" s="174" t="n">
        <v>8</v>
      </c>
      <c r="E3596" s="175" t="inlineStr">
        <is>
          <t>1411/08/09</t>
        </is>
      </c>
      <c r="F3596" s="128" t="inlineStr">
        <is>
          <t>1411/08</t>
        </is>
      </c>
      <c r="G3596" s="58" t="inlineStr">
        <is>
          <t>آبان</t>
        </is>
      </c>
      <c r="H3596" s="128" t="inlineStr">
        <is>
          <t>پاییز</t>
        </is>
      </c>
      <c r="I3596" s="128" t="inlineStr">
        <is>
          <t>شنبه</t>
        </is>
      </c>
      <c r="J3596" s="128" t="inlineStr">
        <is>
          <t>خیر</t>
        </is>
      </c>
    </row>
    <row r="3597">
      <c r="A3597" s="176" t="n">
        <v>48518</v>
      </c>
      <c r="B3597" s="177" t="n">
        <v>48518</v>
      </c>
      <c r="C3597" s="177" t="n">
        <v>1411</v>
      </c>
      <c r="D3597" s="177" t="n">
        <v>8</v>
      </c>
      <c r="E3597" s="178" t="inlineStr">
        <is>
          <t>1411/08/10</t>
        </is>
      </c>
      <c r="F3597" s="134" t="inlineStr">
        <is>
          <t>1411/08</t>
        </is>
      </c>
      <c r="G3597" s="61" t="inlineStr">
        <is>
          <t>آبان</t>
        </is>
      </c>
      <c r="H3597" s="134" t="inlineStr">
        <is>
          <t>پاییز</t>
        </is>
      </c>
      <c r="I3597" s="134" t="inlineStr">
        <is>
          <t>یکشنبه</t>
        </is>
      </c>
      <c r="J3597" s="134" t="inlineStr">
        <is>
          <t>خیر</t>
        </is>
      </c>
    </row>
    <row r="3598">
      <c r="A3598" s="173" t="n">
        <v>48519</v>
      </c>
      <c r="B3598" s="174" t="n">
        <v>48519</v>
      </c>
      <c r="C3598" s="174" t="n">
        <v>1411</v>
      </c>
      <c r="D3598" s="174" t="n">
        <v>8</v>
      </c>
      <c r="E3598" s="175" t="inlineStr">
        <is>
          <t>1411/08/11</t>
        </is>
      </c>
      <c r="F3598" s="128" t="inlineStr">
        <is>
          <t>1411/08</t>
        </is>
      </c>
      <c r="G3598" s="58" t="inlineStr">
        <is>
          <t>آبان</t>
        </is>
      </c>
      <c r="H3598" s="128" t="inlineStr">
        <is>
          <t>پاییز</t>
        </is>
      </c>
      <c r="I3598" s="128" t="inlineStr">
        <is>
          <t>دوشنبه</t>
        </is>
      </c>
      <c r="J3598" s="128" t="inlineStr">
        <is>
          <t>بله</t>
        </is>
      </c>
    </row>
    <row r="3599">
      <c r="A3599" s="176" t="n">
        <v>48520</v>
      </c>
      <c r="B3599" s="177" t="n">
        <v>48520</v>
      </c>
      <c r="C3599" s="177" t="n">
        <v>1411</v>
      </c>
      <c r="D3599" s="177" t="n">
        <v>8</v>
      </c>
      <c r="E3599" s="178" t="inlineStr">
        <is>
          <t>1411/08/12</t>
        </is>
      </c>
      <c r="F3599" s="134" t="inlineStr">
        <is>
          <t>1411/08</t>
        </is>
      </c>
      <c r="G3599" s="61" t="inlineStr">
        <is>
          <t>آبان</t>
        </is>
      </c>
      <c r="H3599" s="134" t="inlineStr">
        <is>
          <t>پاییز</t>
        </is>
      </c>
      <c r="I3599" s="134" t="inlineStr">
        <is>
          <t>سه‌شنبه</t>
        </is>
      </c>
      <c r="J3599" s="134" t="inlineStr">
        <is>
          <t>بله</t>
        </is>
      </c>
    </row>
    <row r="3600">
      <c r="A3600" s="173" t="n">
        <v>48521</v>
      </c>
      <c r="B3600" s="174" t="n">
        <v>48521</v>
      </c>
      <c r="C3600" s="174" t="n">
        <v>1411</v>
      </c>
      <c r="D3600" s="174" t="n">
        <v>8</v>
      </c>
      <c r="E3600" s="175" t="inlineStr">
        <is>
          <t>1411/08/13</t>
        </is>
      </c>
      <c r="F3600" s="128" t="inlineStr">
        <is>
          <t>1411/08</t>
        </is>
      </c>
      <c r="G3600" s="58" t="inlineStr">
        <is>
          <t>آبان</t>
        </is>
      </c>
      <c r="H3600" s="128" t="inlineStr">
        <is>
          <t>پاییز</t>
        </is>
      </c>
      <c r="I3600" s="128" t="inlineStr">
        <is>
          <t>چهارشنبه</t>
        </is>
      </c>
      <c r="J3600" s="128" t="inlineStr">
        <is>
          <t>بله</t>
        </is>
      </c>
    </row>
    <row r="3601">
      <c r="A3601" s="176" t="n">
        <v>48522</v>
      </c>
      <c r="B3601" s="177" t="n">
        <v>48522</v>
      </c>
      <c r="C3601" s="177" t="n">
        <v>1411</v>
      </c>
      <c r="D3601" s="177" t="n">
        <v>8</v>
      </c>
      <c r="E3601" s="178" t="inlineStr">
        <is>
          <t>1411/08/14</t>
        </is>
      </c>
      <c r="F3601" s="134" t="inlineStr">
        <is>
          <t>1411/08</t>
        </is>
      </c>
      <c r="G3601" s="61" t="inlineStr">
        <is>
          <t>آبان</t>
        </is>
      </c>
      <c r="H3601" s="134" t="inlineStr">
        <is>
          <t>پاییز</t>
        </is>
      </c>
      <c r="I3601" s="134" t="inlineStr">
        <is>
          <t>پنجشنبه</t>
        </is>
      </c>
      <c r="J3601" s="134" t="inlineStr">
        <is>
          <t>بله</t>
        </is>
      </c>
    </row>
    <row r="3602">
      <c r="A3602" s="173" t="n">
        <v>48523</v>
      </c>
      <c r="B3602" s="174" t="n">
        <v>48523</v>
      </c>
      <c r="C3602" s="174" t="n">
        <v>1411</v>
      </c>
      <c r="D3602" s="174" t="n">
        <v>8</v>
      </c>
      <c r="E3602" s="175" t="inlineStr">
        <is>
          <t>1411/08/15</t>
        </is>
      </c>
      <c r="F3602" s="128" t="inlineStr">
        <is>
          <t>1411/08</t>
        </is>
      </c>
      <c r="G3602" s="58" t="inlineStr">
        <is>
          <t>آبان</t>
        </is>
      </c>
      <c r="H3602" s="128" t="inlineStr">
        <is>
          <t>پاییز</t>
        </is>
      </c>
      <c r="I3602" s="128" t="inlineStr">
        <is>
          <t>جمعه</t>
        </is>
      </c>
      <c r="J3602" s="128" t="inlineStr">
        <is>
          <t>بله</t>
        </is>
      </c>
    </row>
    <row r="3603">
      <c r="A3603" s="176" t="n">
        <v>48524</v>
      </c>
      <c r="B3603" s="177" t="n">
        <v>48524</v>
      </c>
      <c r="C3603" s="177" t="n">
        <v>1411</v>
      </c>
      <c r="D3603" s="177" t="n">
        <v>8</v>
      </c>
      <c r="E3603" s="178" t="inlineStr">
        <is>
          <t>1411/08/16</t>
        </is>
      </c>
      <c r="F3603" s="134" t="inlineStr">
        <is>
          <t>1411/08</t>
        </is>
      </c>
      <c r="G3603" s="61" t="inlineStr">
        <is>
          <t>آبان</t>
        </is>
      </c>
      <c r="H3603" s="134" t="inlineStr">
        <is>
          <t>پاییز</t>
        </is>
      </c>
      <c r="I3603" s="134" t="inlineStr">
        <is>
          <t>شنبه</t>
        </is>
      </c>
      <c r="J3603" s="134" t="inlineStr">
        <is>
          <t>خیر</t>
        </is>
      </c>
    </row>
    <row r="3604">
      <c r="A3604" s="173" t="n">
        <v>48525</v>
      </c>
      <c r="B3604" s="174" t="n">
        <v>48525</v>
      </c>
      <c r="C3604" s="174" t="n">
        <v>1411</v>
      </c>
      <c r="D3604" s="174" t="n">
        <v>8</v>
      </c>
      <c r="E3604" s="175" t="inlineStr">
        <is>
          <t>1411/08/17</t>
        </is>
      </c>
      <c r="F3604" s="128" t="inlineStr">
        <is>
          <t>1411/08</t>
        </is>
      </c>
      <c r="G3604" s="58" t="inlineStr">
        <is>
          <t>آبان</t>
        </is>
      </c>
      <c r="H3604" s="128" t="inlineStr">
        <is>
          <t>پاییز</t>
        </is>
      </c>
      <c r="I3604" s="128" t="inlineStr">
        <is>
          <t>یکشنبه</t>
        </is>
      </c>
      <c r="J3604" s="128" t="inlineStr">
        <is>
          <t>خیر</t>
        </is>
      </c>
    </row>
    <row r="3605">
      <c r="A3605" s="176" t="n">
        <v>48526</v>
      </c>
      <c r="B3605" s="177" t="n">
        <v>48526</v>
      </c>
      <c r="C3605" s="177" t="n">
        <v>1411</v>
      </c>
      <c r="D3605" s="177" t="n">
        <v>8</v>
      </c>
      <c r="E3605" s="178" t="inlineStr">
        <is>
          <t>1411/08/18</t>
        </is>
      </c>
      <c r="F3605" s="134" t="inlineStr">
        <is>
          <t>1411/08</t>
        </is>
      </c>
      <c r="G3605" s="61" t="inlineStr">
        <is>
          <t>آبان</t>
        </is>
      </c>
      <c r="H3605" s="134" t="inlineStr">
        <is>
          <t>پاییز</t>
        </is>
      </c>
      <c r="I3605" s="134" t="inlineStr">
        <is>
          <t>دوشنبه</t>
        </is>
      </c>
      <c r="J3605" s="134" t="inlineStr">
        <is>
          <t>بله</t>
        </is>
      </c>
    </row>
    <row r="3606">
      <c r="A3606" s="173" t="n">
        <v>48527</v>
      </c>
      <c r="B3606" s="174" t="n">
        <v>48527</v>
      </c>
      <c r="C3606" s="174" t="n">
        <v>1411</v>
      </c>
      <c r="D3606" s="174" t="n">
        <v>8</v>
      </c>
      <c r="E3606" s="175" t="inlineStr">
        <is>
          <t>1411/08/19</t>
        </is>
      </c>
      <c r="F3606" s="128" t="inlineStr">
        <is>
          <t>1411/08</t>
        </is>
      </c>
      <c r="G3606" s="58" t="inlineStr">
        <is>
          <t>آبان</t>
        </is>
      </c>
      <c r="H3606" s="128" t="inlineStr">
        <is>
          <t>پاییز</t>
        </is>
      </c>
      <c r="I3606" s="128" t="inlineStr">
        <is>
          <t>سه‌شنبه</t>
        </is>
      </c>
      <c r="J3606" s="128" t="inlineStr">
        <is>
          <t>بله</t>
        </is>
      </c>
    </row>
    <row r="3607">
      <c r="A3607" s="176" t="n">
        <v>48528</v>
      </c>
      <c r="B3607" s="177" t="n">
        <v>48528</v>
      </c>
      <c r="C3607" s="177" t="n">
        <v>1411</v>
      </c>
      <c r="D3607" s="177" t="n">
        <v>8</v>
      </c>
      <c r="E3607" s="178" t="inlineStr">
        <is>
          <t>1411/08/20</t>
        </is>
      </c>
      <c r="F3607" s="134" t="inlineStr">
        <is>
          <t>1411/08</t>
        </is>
      </c>
      <c r="G3607" s="61" t="inlineStr">
        <is>
          <t>آبان</t>
        </is>
      </c>
      <c r="H3607" s="134" t="inlineStr">
        <is>
          <t>پاییز</t>
        </is>
      </c>
      <c r="I3607" s="134" t="inlineStr">
        <is>
          <t>چهارشنبه</t>
        </is>
      </c>
      <c r="J3607" s="134" t="inlineStr">
        <is>
          <t>بله</t>
        </is>
      </c>
    </row>
    <row r="3608">
      <c r="A3608" s="173" t="n">
        <v>48529</v>
      </c>
      <c r="B3608" s="174" t="n">
        <v>48529</v>
      </c>
      <c r="C3608" s="174" t="n">
        <v>1411</v>
      </c>
      <c r="D3608" s="174" t="n">
        <v>8</v>
      </c>
      <c r="E3608" s="175" t="inlineStr">
        <is>
          <t>1411/08/21</t>
        </is>
      </c>
      <c r="F3608" s="128" t="inlineStr">
        <is>
          <t>1411/08</t>
        </is>
      </c>
      <c r="G3608" s="58" t="inlineStr">
        <is>
          <t>آبان</t>
        </is>
      </c>
      <c r="H3608" s="128" t="inlineStr">
        <is>
          <t>پاییز</t>
        </is>
      </c>
      <c r="I3608" s="128" t="inlineStr">
        <is>
          <t>پنجشنبه</t>
        </is>
      </c>
      <c r="J3608" s="128" t="inlineStr">
        <is>
          <t>بله</t>
        </is>
      </c>
    </row>
    <row r="3609">
      <c r="A3609" s="176" t="n">
        <v>48530</v>
      </c>
      <c r="B3609" s="177" t="n">
        <v>48530</v>
      </c>
      <c r="C3609" s="177" t="n">
        <v>1411</v>
      </c>
      <c r="D3609" s="177" t="n">
        <v>8</v>
      </c>
      <c r="E3609" s="178" t="inlineStr">
        <is>
          <t>1411/08/22</t>
        </is>
      </c>
      <c r="F3609" s="134" t="inlineStr">
        <is>
          <t>1411/08</t>
        </is>
      </c>
      <c r="G3609" s="61" t="inlineStr">
        <is>
          <t>آبان</t>
        </is>
      </c>
      <c r="H3609" s="134" t="inlineStr">
        <is>
          <t>پاییز</t>
        </is>
      </c>
      <c r="I3609" s="134" t="inlineStr">
        <is>
          <t>جمعه</t>
        </is>
      </c>
      <c r="J3609" s="134" t="inlineStr">
        <is>
          <t>بله</t>
        </is>
      </c>
    </row>
    <row r="3610">
      <c r="A3610" s="173" t="n">
        <v>48531</v>
      </c>
      <c r="B3610" s="174" t="n">
        <v>48531</v>
      </c>
      <c r="C3610" s="174" t="n">
        <v>1411</v>
      </c>
      <c r="D3610" s="174" t="n">
        <v>8</v>
      </c>
      <c r="E3610" s="175" t="inlineStr">
        <is>
          <t>1411/08/23</t>
        </is>
      </c>
      <c r="F3610" s="128" t="inlineStr">
        <is>
          <t>1411/08</t>
        </is>
      </c>
      <c r="G3610" s="58" t="inlineStr">
        <is>
          <t>آبان</t>
        </is>
      </c>
      <c r="H3610" s="128" t="inlineStr">
        <is>
          <t>پاییز</t>
        </is>
      </c>
      <c r="I3610" s="128" t="inlineStr">
        <is>
          <t>شنبه</t>
        </is>
      </c>
      <c r="J3610" s="128" t="inlineStr">
        <is>
          <t>خیر</t>
        </is>
      </c>
    </row>
    <row r="3611">
      <c r="A3611" s="176" t="n">
        <v>48532</v>
      </c>
      <c r="B3611" s="177" t="n">
        <v>48532</v>
      </c>
      <c r="C3611" s="177" t="n">
        <v>1411</v>
      </c>
      <c r="D3611" s="177" t="n">
        <v>8</v>
      </c>
      <c r="E3611" s="178" t="inlineStr">
        <is>
          <t>1411/08/24</t>
        </is>
      </c>
      <c r="F3611" s="134" t="inlineStr">
        <is>
          <t>1411/08</t>
        </is>
      </c>
      <c r="G3611" s="61" t="inlineStr">
        <is>
          <t>آبان</t>
        </is>
      </c>
      <c r="H3611" s="134" t="inlineStr">
        <is>
          <t>پاییز</t>
        </is>
      </c>
      <c r="I3611" s="134" t="inlineStr">
        <is>
          <t>یکشنبه</t>
        </is>
      </c>
      <c r="J3611" s="134" t="inlineStr">
        <is>
          <t>خیر</t>
        </is>
      </c>
    </row>
    <row r="3612">
      <c r="A3612" s="173" t="n">
        <v>48533</v>
      </c>
      <c r="B3612" s="174" t="n">
        <v>48533</v>
      </c>
      <c r="C3612" s="174" t="n">
        <v>1411</v>
      </c>
      <c r="D3612" s="174" t="n">
        <v>8</v>
      </c>
      <c r="E3612" s="175" t="inlineStr">
        <is>
          <t>1411/08/25</t>
        </is>
      </c>
      <c r="F3612" s="128" t="inlineStr">
        <is>
          <t>1411/08</t>
        </is>
      </c>
      <c r="G3612" s="58" t="inlineStr">
        <is>
          <t>آبان</t>
        </is>
      </c>
      <c r="H3612" s="128" t="inlineStr">
        <is>
          <t>پاییز</t>
        </is>
      </c>
      <c r="I3612" s="128" t="inlineStr">
        <is>
          <t>دوشنبه</t>
        </is>
      </c>
      <c r="J3612" s="128" t="inlineStr">
        <is>
          <t>بله</t>
        </is>
      </c>
    </row>
    <row r="3613">
      <c r="A3613" s="176" t="n">
        <v>48534</v>
      </c>
      <c r="B3613" s="177" t="n">
        <v>48534</v>
      </c>
      <c r="C3613" s="177" t="n">
        <v>1411</v>
      </c>
      <c r="D3613" s="177" t="n">
        <v>8</v>
      </c>
      <c r="E3613" s="178" t="inlineStr">
        <is>
          <t>1411/08/26</t>
        </is>
      </c>
      <c r="F3613" s="134" t="inlineStr">
        <is>
          <t>1411/08</t>
        </is>
      </c>
      <c r="G3613" s="61" t="inlineStr">
        <is>
          <t>آبان</t>
        </is>
      </c>
      <c r="H3613" s="134" t="inlineStr">
        <is>
          <t>پاییز</t>
        </is>
      </c>
      <c r="I3613" s="134" t="inlineStr">
        <is>
          <t>سه‌شنبه</t>
        </is>
      </c>
      <c r="J3613" s="134" t="inlineStr">
        <is>
          <t>بله</t>
        </is>
      </c>
    </row>
    <row r="3614">
      <c r="A3614" s="173" t="n">
        <v>48535</v>
      </c>
      <c r="B3614" s="174" t="n">
        <v>48535</v>
      </c>
      <c r="C3614" s="174" t="n">
        <v>1411</v>
      </c>
      <c r="D3614" s="174" t="n">
        <v>8</v>
      </c>
      <c r="E3614" s="175" t="inlineStr">
        <is>
          <t>1411/08/27</t>
        </is>
      </c>
      <c r="F3614" s="128" t="inlineStr">
        <is>
          <t>1411/08</t>
        </is>
      </c>
      <c r="G3614" s="58" t="inlineStr">
        <is>
          <t>آبان</t>
        </is>
      </c>
      <c r="H3614" s="128" t="inlineStr">
        <is>
          <t>پاییز</t>
        </is>
      </c>
      <c r="I3614" s="128" t="inlineStr">
        <is>
          <t>چهارشنبه</t>
        </is>
      </c>
      <c r="J3614" s="128" t="inlineStr">
        <is>
          <t>بله</t>
        </is>
      </c>
    </row>
    <row r="3615">
      <c r="A3615" s="176" t="n">
        <v>48536</v>
      </c>
      <c r="B3615" s="177" t="n">
        <v>48536</v>
      </c>
      <c r="C3615" s="177" t="n">
        <v>1411</v>
      </c>
      <c r="D3615" s="177" t="n">
        <v>8</v>
      </c>
      <c r="E3615" s="178" t="inlineStr">
        <is>
          <t>1411/08/28</t>
        </is>
      </c>
      <c r="F3615" s="134" t="inlineStr">
        <is>
          <t>1411/08</t>
        </is>
      </c>
      <c r="G3615" s="61" t="inlineStr">
        <is>
          <t>آبان</t>
        </is>
      </c>
      <c r="H3615" s="134" t="inlineStr">
        <is>
          <t>پاییز</t>
        </is>
      </c>
      <c r="I3615" s="134" t="inlineStr">
        <is>
          <t>پنجشنبه</t>
        </is>
      </c>
      <c r="J3615" s="134" t="inlineStr">
        <is>
          <t>بله</t>
        </is>
      </c>
    </row>
    <row r="3616">
      <c r="A3616" s="173" t="n">
        <v>48537</v>
      </c>
      <c r="B3616" s="174" t="n">
        <v>48537</v>
      </c>
      <c r="C3616" s="174" t="n">
        <v>1411</v>
      </c>
      <c r="D3616" s="174" t="n">
        <v>8</v>
      </c>
      <c r="E3616" s="175" t="inlineStr">
        <is>
          <t>1411/08/29</t>
        </is>
      </c>
      <c r="F3616" s="128" t="inlineStr">
        <is>
          <t>1411/08</t>
        </is>
      </c>
      <c r="G3616" s="58" t="inlineStr">
        <is>
          <t>آبان</t>
        </is>
      </c>
      <c r="H3616" s="128" t="inlineStr">
        <is>
          <t>پاییز</t>
        </is>
      </c>
      <c r="I3616" s="128" t="inlineStr">
        <is>
          <t>جمعه</t>
        </is>
      </c>
      <c r="J3616" s="128" t="inlineStr">
        <is>
          <t>بله</t>
        </is>
      </c>
    </row>
    <row r="3617">
      <c r="A3617" s="176" t="n">
        <v>48538</v>
      </c>
      <c r="B3617" s="177" t="n">
        <v>48538</v>
      </c>
      <c r="C3617" s="177" t="n">
        <v>1411</v>
      </c>
      <c r="D3617" s="177" t="n">
        <v>8</v>
      </c>
      <c r="E3617" s="178" t="inlineStr">
        <is>
          <t>1411/08/30</t>
        </is>
      </c>
      <c r="F3617" s="134" t="inlineStr">
        <is>
          <t>1411/08</t>
        </is>
      </c>
      <c r="G3617" s="61" t="inlineStr">
        <is>
          <t>آبان</t>
        </is>
      </c>
      <c r="H3617" s="134" t="inlineStr">
        <is>
          <t>پاییز</t>
        </is>
      </c>
      <c r="I3617" s="134" t="inlineStr">
        <is>
          <t>شنبه</t>
        </is>
      </c>
      <c r="J3617" s="134" t="inlineStr">
        <is>
          <t>خیر</t>
        </is>
      </c>
    </row>
    <row r="3618">
      <c r="A3618" s="173" t="n">
        <v>48539</v>
      </c>
      <c r="B3618" s="174" t="n">
        <v>48539</v>
      </c>
      <c r="C3618" s="174" t="n">
        <v>1411</v>
      </c>
      <c r="D3618" s="174" t="n">
        <v>9</v>
      </c>
      <c r="E3618" s="175" t="inlineStr">
        <is>
          <t>1411/09/01</t>
        </is>
      </c>
      <c r="F3618" s="128" t="inlineStr">
        <is>
          <t>1411/09</t>
        </is>
      </c>
      <c r="G3618" s="58" t="inlineStr">
        <is>
          <t>آذر</t>
        </is>
      </c>
      <c r="H3618" s="128" t="inlineStr">
        <is>
          <t>پاییز</t>
        </is>
      </c>
      <c r="I3618" s="128" t="inlineStr">
        <is>
          <t>یکشنبه</t>
        </is>
      </c>
      <c r="J3618" s="128" t="inlineStr">
        <is>
          <t>خیر</t>
        </is>
      </c>
    </row>
    <row r="3619">
      <c r="A3619" s="176" t="n">
        <v>48540</v>
      </c>
      <c r="B3619" s="177" t="n">
        <v>48540</v>
      </c>
      <c r="C3619" s="177" t="n">
        <v>1411</v>
      </c>
      <c r="D3619" s="177" t="n">
        <v>9</v>
      </c>
      <c r="E3619" s="178" t="inlineStr">
        <is>
          <t>1411/09/02</t>
        </is>
      </c>
      <c r="F3619" s="134" t="inlineStr">
        <is>
          <t>1411/09</t>
        </is>
      </c>
      <c r="G3619" s="61" t="inlineStr">
        <is>
          <t>آذر</t>
        </is>
      </c>
      <c r="H3619" s="134" t="inlineStr">
        <is>
          <t>پاییز</t>
        </is>
      </c>
      <c r="I3619" s="134" t="inlineStr">
        <is>
          <t>دوشنبه</t>
        </is>
      </c>
      <c r="J3619" s="134" t="inlineStr">
        <is>
          <t>بله</t>
        </is>
      </c>
    </row>
    <row r="3620">
      <c r="A3620" s="173" t="n">
        <v>48541</v>
      </c>
      <c r="B3620" s="174" t="n">
        <v>48541</v>
      </c>
      <c r="C3620" s="174" t="n">
        <v>1411</v>
      </c>
      <c r="D3620" s="174" t="n">
        <v>9</v>
      </c>
      <c r="E3620" s="175" t="inlineStr">
        <is>
          <t>1411/09/03</t>
        </is>
      </c>
      <c r="F3620" s="128" t="inlineStr">
        <is>
          <t>1411/09</t>
        </is>
      </c>
      <c r="G3620" s="58" t="inlineStr">
        <is>
          <t>آذر</t>
        </is>
      </c>
      <c r="H3620" s="128" t="inlineStr">
        <is>
          <t>پاییز</t>
        </is>
      </c>
      <c r="I3620" s="128" t="inlineStr">
        <is>
          <t>سه‌شنبه</t>
        </is>
      </c>
      <c r="J3620" s="128" t="inlineStr">
        <is>
          <t>بله</t>
        </is>
      </c>
    </row>
    <row r="3621">
      <c r="A3621" s="176" t="n">
        <v>48542</v>
      </c>
      <c r="B3621" s="177" t="n">
        <v>48542</v>
      </c>
      <c r="C3621" s="177" t="n">
        <v>1411</v>
      </c>
      <c r="D3621" s="177" t="n">
        <v>9</v>
      </c>
      <c r="E3621" s="178" t="inlineStr">
        <is>
          <t>1411/09/04</t>
        </is>
      </c>
      <c r="F3621" s="134" t="inlineStr">
        <is>
          <t>1411/09</t>
        </is>
      </c>
      <c r="G3621" s="61" t="inlineStr">
        <is>
          <t>آذر</t>
        </is>
      </c>
      <c r="H3621" s="134" t="inlineStr">
        <is>
          <t>پاییز</t>
        </is>
      </c>
      <c r="I3621" s="134" t="inlineStr">
        <is>
          <t>چهارشنبه</t>
        </is>
      </c>
      <c r="J3621" s="134" t="inlineStr">
        <is>
          <t>بله</t>
        </is>
      </c>
    </row>
    <row r="3622">
      <c r="A3622" s="173" t="n">
        <v>48543</v>
      </c>
      <c r="B3622" s="174" t="n">
        <v>48543</v>
      </c>
      <c r="C3622" s="174" t="n">
        <v>1411</v>
      </c>
      <c r="D3622" s="174" t="n">
        <v>9</v>
      </c>
      <c r="E3622" s="175" t="inlineStr">
        <is>
          <t>1411/09/05</t>
        </is>
      </c>
      <c r="F3622" s="128" t="inlineStr">
        <is>
          <t>1411/09</t>
        </is>
      </c>
      <c r="G3622" s="58" t="inlineStr">
        <is>
          <t>آذر</t>
        </is>
      </c>
      <c r="H3622" s="128" t="inlineStr">
        <is>
          <t>پاییز</t>
        </is>
      </c>
      <c r="I3622" s="128" t="inlineStr">
        <is>
          <t>پنجشنبه</t>
        </is>
      </c>
      <c r="J3622" s="128" t="inlineStr">
        <is>
          <t>بله</t>
        </is>
      </c>
    </row>
    <row r="3623">
      <c r="A3623" s="176" t="n">
        <v>48544</v>
      </c>
      <c r="B3623" s="177" t="n">
        <v>48544</v>
      </c>
      <c r="C3623" s="177" t="n">
        <v>1411</v>
      </c>
      <c r="D3623" s="177" t="n">
        <v>9</v>
      </c>
      <c r="E3623" s="178" t="inlineStr">
        <is>
          <t>1411/09/06</t>
        </is>
      </c>
      <c r="F3623" s="134" t="inlineStr">
        <is>
          <t>1411/09</t>
        </is>
      </c>
      <c r="G3623" s="61" t="inlineStr">
        <is>
          <t>آذر</t>
        </is>
      </c>
      <c r="H3623" s="134" t="inlineStr">
        <is>
          <t>پاییز</t>
        </is>
      </c>
      <c r="I3623" s="134" t="inlineStr">
        <is>
          <t>جمعه</t>
        </is>
      </c>
      <c r="J3623" s="134" t="inlineStr">
        <is>
          <t>بله</t>
        </is>
      </c>
    </row>
    <row r="3624">
      <c r="A3624" s="173" t="n">
        <v>48545</v>
      </c>
      <c r="B3624" s="174" t="n">
        <v>48545</v>
      </c>
      <c r="C3624" s="174" t="n">
        <v>1411</v>
      </c>
      <c r="D3624" s="174" t="n">
        <v>9</v>
      </c>
      <c r="E3624" s="175" t="inlineStr">
        <is>
          <t>1411/09/07</t>
        </is>
      </c>
      <c r="F3624" s="128" t="inlineStr">
        <is>
          <t>1411/09</t>
        </is>
      </c>
      <c r="G3624" s="58" t="inlineStr">
        <is>
          <t>آذر</t>
        </is>
      </c>
      <c r="H3624" s="128" t="inlineStr">
        <is>
          <t>پاییز</t>
        </is>
      </c>
      <c r="I3624" s="128" t="inlineStr">
        <is>
          <t>شنبه</t>
        </is>
      </c>
      <c r="J3624" s="128" t="inlineStr">
        <is>
          <t>خیر</t>
        </is>
      </c>
    </row>
    <row r="3625">
      <c r="A3625" s="176" t="n">
        <v>48546</v>
      </c>
      <c r="B3625" s="177" t="n">
        <v>48546</v>
      </c>
      <c r="C3625" s="177" t="n">
        <v>1411</v>
      </c>
      <c r="D3625" s="177" t="n">
        <v>9</v>
      </c>
      <c r="E3625" s="178" t="inlineStr">
        <is>
          <t>1411/09/08</t>
        </is>
      </c>
      <c r="F3625" s="134" t="inlineStr">
        <is>
          <t>1411/09</t>
        </is>
      </c>
      <c r="G3625" s="61" t="inlineStr">
        <is>
          <t>آذر</t>
        </is>
      </c>
      <c r="H3625" s="134" t="inlineStr">
        <is>
          <t>پاییز</t>
        </is>
      </c>
      <c r="I3625" s="134" t="inlineStr">
        <is>
          <t>یکشنبه</t>
        </is>
      </c>
      <c r="J3625" s="134" t="inlineStr">
        <is>
          <t>خیر</t>
        </is>
      </c>
    </row>
    <row r="3626">
      <c r="A3626" s="173" t="n">
        <v>48547</v>
      </c>
      <c r="B3626" s="174" t="n">
        <v>48547</v>
      </c>
      <c r="C3626" s="174" t="n">
        <v>1411</v>
      </c>
      <c r="D3626" s="174" t="n">
        <v>9</v>
      </c>
      <c r="E3626" s="175" t="inlineStr">
        <is>
          <t>1411/09/09</t>
        </is>
      </c>
      <c r="F3626" s="128" t="inlineStr">
        <is>
          <t>1411/09</t>
        </is>
      </c>
      <c r="G3626" s="58" t="inlineStr">
        <is>
          <t>آذر</t>
        </is>
      </c>
      <c r="H3626" s="128" t="inlineStr">
        <is>
          <t>پاییز</t>
        </is>
      </c>
      <c r="I3626" s="128" t="inlineStr">
        <is>
          <t>دوشنبه</t>
        </is>
      </c>
      <c r="J3626" s="128" t="inlineStr">
        <is>
          <t>بله</t>
        </is>
      </c>
    </row>
    <row r="3627">
      <c r="A3627" s="176" t="n">
        <v>48548</v>
      </c>
      <c r="B3627" s="177" t="n">
        <v>48548</v>
      </c>
      <c r="C3627" s="177" t="n">
        <v>1411</v>
      </c>
      <c r="D3627" s="177" t="n">
        <v>9</v>
      </c>
      <c r="E3627" s="178" t="inlineStr">
        <is>
          <t>1411/09/10</t>
        </is>
      </c>
      <c r="F3627" s="134" t="inlineStr">
        <is>
          <t>1411/09</t>
        </is>
      </c>
      <c r="G3627" s="61" t="inlineStr">
        <is>
          <t>آذر</t>
        </is>
      </c>
      <c r="H3627" s="134" t="inlineStr">
        <is>
          <t>پاییز</t>
        </is>
      </c>
      <c r="I3627" s="134" t="inlineStr">
        <is>
          <t>سه‌شنبه</t>
        </is>
      </c>
      <c r="J3627" s="134" t="inlineStr">
        <is>
          <t>بله</t>
        </is>
      </c>
    </row>
    <row r="3628">
      <c r="A3628" s="173" t="n">
        <v>48549</v>
      </c>
      <c r="B3628" s="174" t="n">
        <v>48549</v>
      </c>
      <c r="C3628" s="174" t="n">
        <v>1411</v>
      </c>
      <c r="D3628" s="174" t="n">
        <v>9</v>
      </c>
      <c r="E3628" s="175" t="inlineStr">
        <is>
          <t>1411/09/11</t>
        </is>
      </c>
      <c r="F3628" s="128" t="inlineStr">
        <is>
          <t>1411/09</t>
        </is>
      </c>
      <c r="G3628" s="58" t="inlineStr">
        <is>
          <t>آذر</t>
        </is>
      </c>
      <c r="H3628" s="128" t="inlineStr">
        <is>
          <t>پاییز</t>
        </is>
      </c>
      <c r="I3628" s="128" t="inlineStr">
        <is>
          <t>چهارشنبه</t>
        </is>
      </c>
      <c r="J3628" s="128" t="inlineStr">
        <is>
          <t>بله</t>
        </is>
      </c>
    </row>
    <row r="3629">
      <c r="A3629" s="176" t="n">
        <v>48550</v>
      </c>
      <c r="B3629" s="177" t="n">
        <v>48550</v>
      </c>
      <c r="C3629" s="177" t="n">
        <v>1411</v>
      </c>
      <c r="D3629" s="177" t="n">
        <v>9</v>
      </c>
      <c r="E3629" s="178" t="inlineStr">
        <is>
          <t>1411/09/12</t>
        </is>
      </c>
      <c r="F3629" s="134" t="inlineStr">
        <is>
          <t>1411/09</t>
        </is>
      </c>
      <c r="G3629" s="61" t="inlineStr">
        <is>
          <t>آذر</t>
        </is>
      </c>
      <c r="H3629" s="134" t="inlineStr">
        <is>
          <t>پاییز</t>
        </is>
      </c>
      <c r="I3629" s="134" t="inlineStr">
        <is>
          <t>پنجشنبه</t>
        </is>
      </c>
      <c r="J3629" s="134" t="inlineStr">
        <is>
          <t>بله</t>
        </is>
      </c>
    </row>
    <row r="3630">
      <c r="A3630" s="173" t="n">
        <v>48551</v>
      </c>
      <c r="B3630" s="174" t="n">
        <v>48551</v>
      </c>
      <c r="C3630" s="174" t="n">
        <v>1411</v>
      </c>
      <c r="D3630" s="174" t="n">
        <v>9</v>
      </c>
      <c r="E3630" s="175" t="inlineStr">
        <is>
          <t>1411/09/13</t>
        </is>
      </c>
      <c r="F3630" s="128" t="inlineStr">
        <is>
          <t>1411/09</t>
        </is>
      </c>
      <c r="G3630" s="58" t="inlineStr">
        <is>
          <t>آذر</t>
        </is>
      </c>
      <c r="H3630" s="128" t="inlineStr">
        <is>
          <t>پاییز</t>
        </is>
      </c>
      <c r="I3630" s="128" t="inlineStr">
        <is>
          <t>جمعه</t>
        </is>
      </c>
      <c r="J3630" s="128" t="inlineStr">
        <is>
          <t>بله</t>
        </is>
      </c>
    </row>
    <row r="3631">
      <c r="A3631" s="176" t="n">
        <v>48552</v>
      </c>
      <c r="B3631" s="177" t="n">
        <v>48552</v>
      </c>
      <c r="C3631" s="177" t="n">
        <v>1411</v>
      </c>
      <c r="D3631" s="177" t="n">
        <v>9</v>
      </c>
      <c r="E3631" s="178" t="inlineStr">
        <is>
          <t>1411/09/14</t>
        </is>
      </c>
      <c r="F3631" s="134" t="inlineStr">
        <is>
          <t>1411/09</t>
        </is>
      </c>
      <c r="G3631" s="61" t="inlineStr">
        <is>
          <t>آذر</t>
        </is>
      </c>
      <c r="H3631" s="134" t="inlineStr">
        <is>
          <t>پاییز</t>
        </is>
      </c>
      <c r="I3631" s="134" t="inlineStr">
        <is>
          <t>شنبه</t>
        </is>
      </c>
      <c r="J3631" s="134" t="inlineStr">
        <is>
          <t>خیر</t>
        </is>
      </c>
    </row>
    <row r="3632">
      <c r="A3632" s="173" t="n">
        <v>48553</v>
      </c>
      <c r="B3632" s="174" t="n">
        <v>48553</v>
      </c>
      <c r="C3632" s="174" t="n">
        <v>1411</v>
      </c>
      <c r="D3632" s="174" t="n">
        <v>9</v>
      </c>
      <c r="E3632" s="175" t="inlineStr">
        <is>
          <t>1411/09/15</t>
        </is>
      </c>
      <c r="F3632" s="128" t="inlineStr">
        <is>
          <t>1411/09</t>
        </is>
      </c>
      <c r="G3632" s="58" t="inlineStr">
        <is>
          <t>آذر</t>
        </is>
      </c>
      <c r="H3632" s="128" t="inlineStr">
        <is>
          <t>پاییز</t>
        </is>
      </c>
      <c r="I3632" s="128" t="inlineStr">
        <is>
          <t>یکشنبه</t>
        </is>
      </c>
      <c r="J3632" s="128" t="inlineStr">
        <is>
          <t>خیر</t>
        </is>
      </c>
    </row>
    <row r="3633">
      <c r="A3633" s="176" t="n">
        <v>48554</v>
      </c>
      <c r="B3633" s="177" t="n">
        <v>48554</v>
      </c>
      <c r="C3633" s="177" t="n">
        <v>1411</v>
      </c>
      <c r="D3633" s="177" t="n">
        <v>9</v>
      </c>
      <c r="E3633" s="178" t="inlineStr">
        <is>
          <t>1411/09/16</t>
        </is>
      </c>
      <c r="F3633" s="134" t="inlineStr">
        <is>
          <t>1411/09</t>
        </is>
      </c>
      <c r="G3633" s="61" t="inlineStr">
        <is>
          <t>آذر</t>
        </is>
      </c>
      <c r="H3633" s="134" t="inlineStr">
        <is>
          <t>پاییز</t>
        </is>
      </c>
      <c r="I3633" s="134" t="inlineStr">
        <is>
          <t>دوشنبه</t>
        </is>
      </c>
      <c r="J3633" s="134" t="inlineStr">
        <is>
          <t>بله</t>
        </is>
      </c>
    </row>
    <row r="3634">
      <c r="A3634" s="173" t="n">
        <v>48555</v>
      </c>
      <c r="B3634" s="174" t="n">
        <v>48555</v>
      </c>
      <c r="C3634" s="174" t="n">
        <v>1411</v>
      </c>
      <c r="D3634" s="174" t="n">
        <v>9</v>
      </c>
      <c r="E3634" s="175" t="inlineStr">
        <is>
          <t>1411/09/17</t>
        </is>
      </c>
      <c r="F3634" s="128" t="inlineStr">
        <is>
          <t>1411/09</t>
        </is>
      </c>
      <c r="G3634" s="58" t="inlineStr">
        <is>
          <t>آذر</t>
        </is>
      </c>
      <c r="H3634" s="128" t="inlineStr">
        <is>
          <t>پاییز</t>
        </is>
      </c>
      <c r="I3634" s="128" t="inlineStr">
        <is>
          <t>سه‌شنبه</t>
        </is>
      </c>
      <c r="J3634" s="128" t="inlineStr">
        <is>
          <t>بله</t>
        </is>
      </c>
    </row>
    <row r="3635">
      <c r="A3635" s="176" t="n">
        <v>48556</v>
      </c>
      <c r="B3635" s="177" t="n">
        <v>48556</v>
      </c>
      <c r="C3635" s="177" t="n">
        <v>1411</v>
      </c>
      <c r="D3635" s="177" t="n">
        <v>9</v>
      </c>
      <c r="E3635" s="178" t="inlineStr">
        <is>
          <t>1411/09/18</t>
        </is>
      </c>
      <c r="F3635" s="134" t="inlineStr">
        <is>
          <t>1411/09</t>
        </is>
      </c>
      <c r="G3635" s="61" t="inlineStr">
        <is>
          <t>آذر</t>
        </is>
      </c>
      <c r="H3635" s="134" t="inlineStr">
        <is>
          <t>پاییز</t>
        </is>
      </c>
      <c r="I3635" s="134" t="inlineStr">
        <is>
          <t>چهارشنبه</t>
        </is>
      </c>
      <c r="J3635" s="134" t="inlineStr">
        <is>
          <t>بله</t>
        </is>
      </c>
    </row>
    <row r="3636">
      <c r="A3636" s="173" t="n">
        <v>48557</v>
      </c>
      <c r="B3636" s="174" t="n">
        <v>48557</v>
      </c>
      <c r="C3636" s="174" t="n">
        <v>1411</v>
      </c>
      <c r="D3636" s="174" t="n">
        <v>9</v>
      </c>
      <c r="E3636" s="175" t="inlineStr">
        <is>
          <t>1411/09/19</t>
        </is>
      </c>
      <c r="F3636" s="128" t="inlineStr">
        <is>
          <t>1411/09</t>
        </is>
      </c>
      <c r="G3636" s="58" t="inlineStr">
        <is>
          <t>آذر</t>
        </is>
      </c>
      <c r="H3636" s="128" t="inlineStr">
        <is>
          <t>پاییز</t>
        </is>
      </c>
      <c r="I3636" s="128" t="inlineStr">
        <is>
          <t>پنجشنبه</t>
        </is>
      </c>
      <c r="J3636" s="128" t="inlineStr">
        <is>
          <t>بله</t>
        </is>
      </c>
    </row>
    <row r="3637">
      <c r="A3637" s="176" t="n">
        <v>48558</v>
      </c>
      <c r="B3637" s="177" t="n">
        <v>48558</v>
      </c>
      <c r="C3637" s="177" t="n">
        <v>1411</v>
      </c>
      <c r="D3637" s="177" t="n">
        <v>9</v>
      </c>
      <c r="E3637" s="178" t="inlineStr">
        <is>
          <t>1411/09/20</t>
        </is>
      </c>
      <c r="F3637" s="134" t="inlineStr">
        <is>
          <t>1411/09</t>
        </is>
      </c>
      <c r="G3637" s="61" t="inlineStr">
        <is>
          <t>آذر</t>
        </is>
      </c>
      <c r="H3637" s="134" t="inlineStr">
        <is>
          <t>پاییز</t>
        </is>
      </c>
      <c r="I3637" s="134" t="inlineStr">
        <is>
          <t>جمعه</t>
        </is>
      </c>
      <c r="J3637" s="134" t="inlineStr">
        <is>
          <t>بله</t>
        </is>
      </c>
    </row>
    <row r="3638">
      <c r="A3638" s="173" t="n">
        <v>48559</v>
      </c>
      <c r="B3638" s="174" t="n">
        <v>48559</v>
      </c>
      <c r="C3638" s="174" t="n">
        <v>1411</v>
      </c>
      <c r="D3638" s="174" t="n">
        <v>9</v>
      </c>
      <c r="E3638" s="175" t="inlineStr">
        <is>
          <t>1411/09/21</t>
        </is>
      </c>
      <c r="F3638" s="128" t="inlineStr">
        <is>
          <t>1411/09</t>
        </is>
      </c>
      <c r="G3638" s="58" t="inlineStr">
        <is>
          <t>آذر</t>
        </is>
      </c>
      <c r="H3638" s="128" t="inlineStr">
        <is>
          <t>پاییز</t>
        </is>
      </c>
      <c r="I3638" s="128" t="inlineStr">
        <is>
          <t>شنبه</t>
        </is>
      </c>
      <c r="J3638" s="128" t="inlineStr">
        <is>
          <t>خیر</t>
        </is>
      </c>
    </row>
    <row r="3639">
      <c r="A3639" s="176" t="n">
        <v>48560</v>
      </c>
      <c r="B3639" s="177" t="n">
        <v>48560</v>
      </c>
      <c r="C3639" s="177" t="n">
        <v>1411</v>
      </c>
      <c r="D3639" s="177" t="n">
        <v>9</v>
      </c>
      <c r="E3639" s="178" t="inlineStr">
        <is>
          <t>1411/09/22</t>
        </is>
      </c>
      <c r="F3639" s="134" t="inlineStr">
        <is>
          <t>1411/09</t>
        </is>
      </c>
      <c r="G3639" s="61" t="inlineStr">
        <is>
          <t>آذر</t>
        </is>
      </c>
      <c r="H3639" s="134" t="inlineStr">
        <is>
          <t>پاییز</t>
        </is>
      </c>
      <c r="I3639" s="134" t="inlineStr">
        <is>
          <t>یکشنبه</t>
        </is>
      </c>
      <c r="J3639" s="134" t="inlineStr">
        <is>
          <t>خیر</t>
        </is>
      </c>
    </row>
    <row r="3640">
      <c r="A3640" s="173" t="n">
        <v>48561</v>
      </c>
      <c r="B3640" s="174" t="n">
        <v>48561</v>
      </c>
      <c r="C3640" s="174" t="n">
        <v>1411</v>
      </c>
      <c r="D3640" s="174" t="n">
        <v>9</v>
      </c>
      <c r="E3640" s="175" t="inlineStr">
        <is>
          <t>1411/09/23</t>
        </is>
      </c>
      <c r="F3640" s="128" t="inlineStr">
        <is>
          <t>1411/09</t>
        </is>
      </c>
      <c r="G3640" s="58" t="inlineStr">
        <is>
          <t>آذر</t>
        </is>
      </c>
      <c r="H3640" s="128" t="inlineStr">
        <is>
          <t>پاییز</t>
        </is>
      </c>
      <c r="I3640" s="128" t="inlineStr">
        <is>
          <t>دوشنبه</t>
        </is>
      </c>
      <c r="J3640" s="128" t="inlineStr">
        <is>
          <t>بله</t>
        </is>
      </c>
    </row>
    <row r="3641">
      <c r="A3641" s="176" t="n">
        <v>48562</v>
      </c>
      <c r="B3641" s="177" t="n">
        <v>48562</v>
      </c>
      <c r="C3641" s="177" t="n">
        <v>1411</v>
      </c>
      <c r="D3641" s="177" t="n">
        <v>9</v>
      </c>
      <c r="E3641" s="178" t="inlineStr">
        <is>
          <t>1411/09/24</t>
        </is>
      </c>
      <c r="F3641" s="134" t="inlineStr">
        <is>
          <t>1411/09</t>
        </is>
      </c>
      <c r="G3641" s="61" t="inlineStr">
        <is>
          <t>آذر</t>
        </is>
      </c>
      <c r="H3641" s="134" t="inlineStr">
        <is>
          <t>پاییز</t>
        </is>
      </c>
      <c r="I3641" s="134" t="inlineStr">
        <is>
          <t>سه‌شنبه</t>
        </is>
      </c>
      <c r="J3641" s="134" t="inlineStr">
        <is>
          <t>بله</t>
        </is>
      </c>
    </row>
    <row r="3642">
      <c r="A3642" s="173" t="n">
        <v>48563</v>
      </c>
      <c r="B3642" s="174" t="n">
        <v>48563</v>
      </c>
      <c r="C3642" s="174" t="n">
        <v>1411</v>
      </c>
      <c r="D3642" s="174" t="n">
        <v>9</v>
      </c>
      <c r="E3642" s="175" t="inlineStr">
        <is>
          <t>1411/09/25</t>
        </is>
      </c>
      <c r="F3642" s="128" t="inlineStr">
        <is>
          <t>1411/09</t>
        </is>
      </c>
      <c r="G3642" s="58" t="inlineStr">
        <is>
          <t>آذر</t>
        </is>
      </c>
      <c r="H3642" s="128" t="inlineStr">
        <is>
          <t>پاییز</t>
        </is>
      </c>
      <c r="I3642" s="128" t="inlineStr">
        <is>
          <t>چهارشنبه</t>
        </is>
      </c>
      <c r="J3642" s="128" t="inlineStr">
        <is>
          <t>بله</t>
        </is>
      </c>
    </row>
    <row r="3643">
      <c r="A3643" s="176" t="n">
        <v>48564</v>
      </c>
      <c r="B3643" s="177" t="n">
        <v>48564</v>
      </c>
      <c r="C3643" s="177" t="n">
        <v>1411</v>
      </c>
      <c r="D3643" s="177" t="n">
        <v>9</v>
      </c>
      <c r="E3643" s="178" t="inlineStr">
        <is>
          <t>1411/09/26</t>
        </is>
      </c>
      <c r="F3643" s="134" t="inlineStr">
        <is>
          <t>1411/09</t>
        </is>
      </c>
      <c r="G3643" s="61" t="inlineStr">
        <is>
          <t>آذر</t>
        </is>
      </c>
      <c r="H3643" s="134" t="inlineStr">
        <is>
          <t>پاییز</t>
        </is>
      </c>
      <c r="I3643" s="134" t="inlineStr">
        <is>
          <t>پنجشنبه</t>
        </is>
      </c>
      <c r="J3643" s="134" t="inlineStr">
        <is>
          <t>بله</t>
        </is>
      </c>
    </row>
    <row r="3644">
      <c r="A3644" s="173" t="n">
        <v>48565</v>
      </c>
      <c r="B3644" s="174" t="n">
        <v>48565</v>
      </c>
      <c r="C3644" s="174" t="n">
        <v>1411</v>
      </c>
      <c r="D3644" s="174" t="n">
        <v>9</v>
      </c>
      <c r="E3644" s="175" t="inlineStr">
        <is>
          <t>1411/09/27</t>
        </is>
      </c>
      <c r="F3644" s="128" t="inlineStr">
        <is>
          <t>1411/09</t>
        </is>
      </c>
      <c r="G3644" s="58" t="inlineStr">
        <is>
          <t>آذر</t>
        </is>
      </c>
      <c r="H3644" s="128" t="inlineStr">
        <is>
          <t>پاییز</t>
        </is>
      </c>
      <c r="I3644" s="128" t="inlineStr">
        <is>
          <t>جمعه</t>
        </is>
      </c>
      <c r="J3644" s="128" t="inlineStr">
        <is>
          <t>بله</t>
        </is>
      </c>
    </row>
    <row r="3645">
      <c r="A3645" s="176" t="n">
        <v>48566</v>
      </c>
      <c r="B3645" s="177" t="n">
        <v>48566</v>
      </c>
      <c r="C3645" s="177" t="n">
        <v>1411</v>
      </c>
      <c r="D3645" s="177" t="n">
        <v>9</v>
      </c>
      <c r="E3645" s="178" t="inlineStr">
        <is>
          <t>1411/09/28</t>
        </is>
      </c>
      <c r="F3645" s="134" t="inlineStr">
        <is>
          <t>1411/09</t>
        </is>
      </c>
      <c r="G3645" s="61" t="inlineStr">
        <is>
          <t>آذر</t>
        </is>
      </c>
      <c r="H3645" s="134" t="inlineStr">
        <is>
          <t>پاییز</t>
        </is>
      </c>
      <c r="I3645" s="134" t="inlineStr">
        <is>
          <t>شنبه</t>
        </is>
      </c>
      <c r="J3645" s="134" t="inlineStr">
        <is>
          <t>خیر</t>
        </is>
      </c>
    </row>
    <row r="3646">
      <c r="A3646" s="173" t="n">
        <v>48567</v>
      </c>
      <c r="B3646" s="174" t="n">
        <v>48567</v>
      </c>
      <c r="C3646" s="174" t="n">
        <v>1411</v>
      </c>
      <c r="D3646" s="174" t="n">
        <v>9</v>
      </c>
      <c r="E3646" s="175" t="inlineStr">
        <is>
          <t>1411/09/29</t>
        </is>
      </c>
      <c r="F3646" s="128" t="inlineStr">
        <is>
          <t>1411/09</t>
        </is>
      </c>
      <c r="G3646" s="58" t="inlineStr">
        <is>
          <t>آذر</t>
        </is>
      </c>
      <c r="H3646" s="128" t="inlineStr">
        <is>
          <t>پاییز</t>
        </is>
      </c>
      <c r="I3646" s="128" t="inlineStr">
        <is>
          <t>یکشنبه</t>
        </is>
      </c>
      <c r="J3646" s="128" t="inlineStr">
        <is>
          <t>خیر</t>
        </is>
      </c>
    </row>
    <row r="3647">
      <c r="A3647" s="176" t="n">
        <v>48568</v>
      </c>
      <c r="B3647" s="177" t="n">
        <v>48568</v>
      </c>
      <c r="C3647" s="177" t="n">
        <v>1411</v>
      </c>
      <c r="D3647" s="177" t="n">
        <v>9</v>
      </c>
      <c r="E3647" s="178" t="inlineStr">
        <is>
          <t>1411/09/30</t>
        </is>
      </c>
      <c r="F3647" s="134" t="inlineStr">
        <is>
          <t>1411/09</t>
        </is>
      </c>
      <c r="G3647" s="61" t="inlineStr">
        <is>
          <t>آذر</t>
        </is>
      </c>
      <c r="H3647" s="134" t="inlineStr">
        <is>
          <t>پاییز</t>
        </is>
      </c>
      <c r="I3647" s="134" t="inlineStr">
        <is>
          <t>دوشنبه</t>
        </is>
      </c>
      <c r="J3647" s="134" t="inlineStr">
        <is>
          <t>بله</t>
        </is>
      </c>
    </row>
    <row r="3648">
      <c r="A3648" s="173" t="n">
        <v>48569</v>
      </c>
      <c r="B3648" s="174" t="n">
        <v>48569</v>
      </c>
      <c r="C3648" s="174" t="n">
        <v>1411</v>
      </c>
      <c r="D3648" s="174" t="n">
        <v>10</v>
      </c>
      <c r="E3648" s="175" t="inlineStr">
        <is>
          <t>1411/10/01</t>
        </is>
      </c>
      <c r="F3648" s="128" t="inlineStr">
        <is>
          <t>1411/10</t>
        </is>
      </c>
      <c r="G3648" s="58" t="inlineStr">
        <is>
          <t>دی</t>
        </is>
      </c>
      <c r="H3648" s="128" t="inlineStr">
        <is>
          <t>زمستان</t>
        </is>
      </c>
      <c r="I3648" s="128" t="inlineStr">
        <is>
          <t>سه‌شنبه</t>
        </is>
      </c>
      <c r="J3648" s="128" t="inlineStr">
        <is>
          <t>بله</t>
        </is>
      </c>
    </row>
    <row r="3649">
      <c r="A3649" s="176" t="n">
        <v>48570</v>
      </c>
      <c r="B3649" s="177" t="n">
        <v>48570</v>
      </c>
      <c r="C3649" s="177" t="n">
        <v>1411</v>
      </c>
      <c r="D3649" s="177" t="n">
        <v>10</v>
      </c>
      <c r="E3649" s="178" t="inlineStr">
        <is>
          <t>1411/10/02</t>
        </is>
      </c>
      <c r="F3649" s="134" t="inlineStr">
        <is>
          <t>1411/10</t>
        </is>
      </c>
      <c r="G3649" s="61" t="inlineStr">
        <is>
          <t>دی</t>
        </is>
      </c>
      <c r="H3649" s="134" t="inlineStr">
        <is>
          <t>زمستان</t>
        </is>
      </c>
      <c r="I3649" s="134" t="inlineStr">
        <is>
          <t>چهارشنبه</t>
        </is>
      </c>
      <c r="J3649" s="134" t="inlineStr">
        <is>
          <t>بله</t>
        </is>
      </c>
    </row>
    <row r="3650">
      <c r="A3650" s="173" t="n">
        <v>48571</v>
      </c>
      <c r="B3650" s="174" t="n">
        <v>48571</v>
      </c>
      <c r="C3650" s="174" t="n">
        <v>1411</v>
      </c>
      <c r="D3650" s="174" t="n">
        <v>10</v>
      </c>
      <c r="E3650" s="175" t="inlineStr">
        <is>
          <t>1411/10/03</t>
        </is>
      </c>
      <c r="F3650" s="128" t="inlineStr">
        <is>
          <t>1411/10</t>
        </is>
      </c>
      <c r="G3650" s="58" t="inlineStr">
        <is>
          <t>دی</t>
        </is>
      </c>
      <c r="H3650" s="128" t="inlineStr">
        <is>
          <t>زمستان</t>
        </is>
      </c>
      <c r="I3650" s="128" t="inlineStr">
        <is>
          <t>پنجشنبه</t>
        </is>
      </c>
      <c r="J3650" s="128" t="inlineStr">
        <is>
          <t>بله</t>
        </is>
      </c>
    </row>
    <row r="3651">
      <c r="A3651" s="176" t="n">
        <v>48572</v>
      </c>
      <c r="B3651" s="177" t="n">
        <v>48572</v>
      </c>
      <c r="C3651" s="177" t="n">
        <v>1411</v>
      </c>
      <c r="D3651" s="177" t="n">
        <v>10</v>
      </c>
      <c r="E3651" s="178" t="inlineStr">
        <is>
          <t>1411/10/04</t>
        </is>
      </c>
      <c r="F3651" s="134" t="inlineStr">
        <is>
          <t>1411/10</t>
        </is>
      </c>
      <c r="G3651" s="61" t="inlineStr">
        <is>
          <t>دی</t>
        </is>
      </c>
      <c r="H3651" s="134" t="inlineStr">
        <is>
          <t>زمستان</t>
        </is>
      </c>
      <c r="I3651" s="134" t="inlineStr">
        <is>
          <t>جمعه</t>
        </is>
      </c>
      <c r="J3651" s="134" t="inlineStr">
        <is>
          <t>بله</t>
        </is>
      </c>
    </row>
    <row r="3652">
      <c r="A3652" s="173" t="n">
        <v>48573</v>
      </c>
      <c r="B3652" s="174" t="n">
        <v>48573</v>
      </c>
      <c r="C3652" s="174" t="n">
        <v>1411</v>
      </c>
      <c r="D3652" s="174" t="n">
        <v>10</v>
      </c>
      <c r="E3652" s="175" t="inlineStr">
        <is>
          <t>1411/10/05</t>
        </is>
      </c>
      <c r="F3652" s="128" t="inlineStr">
        <is>
          <t>1411/10</t>
        </is>
      </c>
      <c r="G3652" s="58" t="inlineStr">
        <is>
          <t>دی</t>
        </is>
      </c>
      <c r="H3652" s="128" t="inlineStr">
        <is>
          <t>زمستان</t>
        </is>
      </c>
      <c r="I3652" s="128" t="inlineStr">
        <is>
          <t>شنبه</t>
        </is>
      </c>
      <c r="J3652" s="128" t="inlineStr">
        <is>
          <t>خیر</t>
        </is>
      </c>
    </row>
    <row r="3653">
      <c r="A3653" s="176" t="n">
        <v>48574</v>
      </c>
      <c r="B3653" s="177" t="n">
        <v>48574</v>
      </c>
      <c r="C3653" s="177" t="n">
        <v>1411</v>
      </c>
      <c r="D3653" s="177" t="n">
        <v>10</v>
      </c>
      <c r="E3653" s="178" t="inlineStr">
        <is>
          <t>1411/10/06</t>
        </is>
      </c>
      <c r="F3653" s="134" t="inlineStr">
        <is>
          <t>1411/10</t>
        </is>
      </c>
      <c r="G3653" s="61" t="inlineStr">
        <is>
          <t>دی</t>
        </is>
      </c>
      <c r="H3653" s="134" t="inlineStr">
        <is>
          <t>زمستان</t>
        </is>
      </c>
      <c r="I3653" s="134" t="inlineStr">
        <is>
          <t>یکشنبه</t>
        </is>
      </c>
      <c r="J3653" s="134" t="inlineStr">
        <is>
          <t>خیر</t>
        </is>
      </c>
    </row>
    <row r="3654">
      <c r="A3654" s="173" t="n">
        <v>48575</v>
      </c>
      <c r="B3654" s="174" t="n">
        <v>48575</v>
      </c>
      <c r="C3654" s="174" t="n">
        <v>1411</v>
      </c>
      <c r="D3654" s="174" t="n">
        <v>10</v>
      </c>
      <c r="E3654" s="175" t="inlineStr">
        <is>
          <t>1411/10/07</t>
        </is>
      </c>
      <c r="F3654" s="128" t="inlineStr">
        <is>
          <t>1411/10</t>
        </is>
      </c>
      <c r="G3654" s="58" t="inlineStr">
        <is>
          <t>دی</t>
        </is>
      </c>
      <c r="H3654" s="128" t="inlineStr">
        <is>
          <t>زمستان</t>
        </is>
      </c>
      <c r="I3654" s="128" t="inlineStr">
        <is>
          <t>دوشنبه</t>
        </is>
      </c>
      <c r="J3654" s="128" t="inlineStr">
        <is>
          <t>بله</t>
        </is>
      </c>
    </row>
    <row r="3655">
      <c r="A3655" s="176" t="n">
        <v>48576</v>
      </c>
      <c r="B3655" s="177" t="n">
        <v>48576</v>
      </c>
      <c r="C3655" s="177" t="n">
        <v>1411</v>
      </c>
      <c r="D3655" s="177" t="n">
        <v>10</v>
      </c>
      <c r="E3655" s="178" t="inlineStr">
        <is>
          <t>1411/10/08</t>
        </is>
      </c>
      <c r="F3655" s="134" t="inlineStr">
        <is>
          <t>1411/10</t>
        </is>
      </c>
      <c r="G3655" s="61" t="inlineStr">
        <is>
          <t>دی</t>
        </is>
      </c>
      <c r="H3655" s="134" t="inlineStr">
        <is>
          <t>زمستان</t>
        </is>
      </c>
      <c r="I3655" s="134" t="inlineStr">
        <is>
          <t>سه‌شنبه</t>
        </is>
      </c>
      <c r="J3655" s="134" t="inlineStr">
        <is>
          <t>بله</t>
        </is>
      </c>
    </row>
    <row r="3656">
      <c r="A3656" s="173" t="n">
        <v>48577</v>
      </c>
      <c r="B3656" s="174" t="n">
        <v>48577</v>
      </c>
      <c r="C3656" s="174" t="n">
        <v>1411</v>
      </c>
      <c r="D3656" s="174" t="n">
        <v>10</v>
      </c>
      <c r="E3656" s="175" t="inlineStr">
        <is>
          <t>1411/10/09</t>
        </is>
      </c>
      <c r="F3656" s="128" t="inlineStr">
        <is>
          <t>1411/10</t>
        </is>
      </c>
      <c r="G3656" s="58" t="inlineStr">
        <is>
          <t>دی</t>
        </is>
      </c>
      <c r="H3656" s="128" t="inlineStr">
        <is>
          <t>زمستان</t>
        </is>
      </c>
      <c r="I3656" s="128" t="inlineStr">
        <is>
          <t>چهارشنبه</t>
        </is>
      </c>
      <c r="J3656" s="128" t="inlineStr">
        <is>
          <t>بله</t>
        </is>
      </c>
    </row>
    <row r="3657">
      <c r="A3657" s="176" t="n">
        <v>48578</v>
      </c>
      <c r="B3657" s="177" t="n">
        <v>48578</v>
      </c>
      <c r="C3657" s="177" t="n">
        <v>1411</v>
      </c>
      <c r="D3657" s="177" t="n">
        <v>10</v>
      </c>
      <c r="E3657" s="178" t="inlineStr">
        <is>
          <t>1411/10/10</t>
        </is>
      </c>
      <c r="F3657" s="134" t="inlineStr">
        <is>
          <t>1411/10</t>
        </is>
      </c>
      <c r="G3657" s="61" t="inlineStr">
        <is>
          <t>دی</t>
        </is>
      </c>
      <c r="H3657" s="134" t="inlineStr">
        <is>
          <t>زمستان</t>
        </is>
      </c>
      <c r="I3657" s="134" t="inlineStr">
        <is>
          <t>پنجشنبه</t>
        </is>
      </c>
      <c r="J3657" s="134" t="inlineStr">
        <is>
          <t>بله</t>
        </is>
      </c>
    </row>
    <row r="3658">
      <c r="A3658" s="173" t="n">
        <v>48579</v>
      </c>
      <c r="B3658" s="174" t="n">
        <v>48579</v>
      </c>
      <c r="C3658" s="174" t="n">
        <v>1411</v>
      </c>
      <c r="D3658" s="174" t="n">
        <v>10</v>
      </c>
      <c r="E3658" s="175" t="inlineStr">
        <is>
          <t>1411/10/11</t>
        </is>
      </c>
      <c r="F3658" s="128" t="inlineStr">
        <is>
          <t>1411/10</t>
        </is>
      </c>
      <c r="G3658" s="58" t="inlineStr">
        <is>
          <t>دی</t>
        </is>
      </c>
      <c r="H3658" s="128" t="inlineStr">
        <is>
          <t>زمستان</t>
        </is>
      </c>
      <c r="I3658" s="128" t="inlineStr">
        <is>
          <t>جمعه</t>
        </is>
      </c>
      <c r="J3658" s="128" t="inlineStr">
        <is>
          <t>بله</t>
        </is>
      </c>
    </row>
    <row r="3659">
      <c r="A3659" s="176" t="n">
        <v>48580</v>
      </c>
      <c r="B3659" s="177" t="n">
        <v>48580</v>
      </c>
      <c r="C3659" s="177" t="n">
        <v>1411</v>
      </c>
      <c r="D3659" s="177" t="n">
        <v>10</v>
      </c>
      <c r="E3659" s="178" t="inlineStr">
        <is>
          <t>1411/10/12</t>
        </is>
      </c>
      <c r="F3659" s="134" t="inlineStr">
        <is>
          <t>1411/10</t>
        </is>
      </c>
      <c r="G3659" s="61" t="inlineStr">
        <is>
          <t>دی</t>
        </is>
      </c>
      <c r="H3659" s="134" t="inlineStr">
        <is>
          <t>زمستان</t>
        </is>
      </c>
      <c r="I3659" s="134" t="inlineStr">
        <is>
          <t>شنبه</t>
        </is>
      </c>
      <c r="J3659" s="134" t="inlineStr">
        <is>
          <t>خیر</t>
        </is>
      </c>
    </row>
    <row r="3660">
      <c r="A3660" s="173" t="n">
        <v>48581</v>
      </c>
      <c r="B3660" s="174" t="n">
        <v>48581</v>
      </c>
      <c r="C3660" s="174" t="n">
        <v>1411</v>
      </c>
      <c r="D3660" s="174" t="n">
        <v>10</v>
      </c>
      <c r="E3660" s="175" t="inlineStr">
        <is>
          <t>1411/10/13</t>
        </is>
      </c>
      <c r="F3660" s="128" t="inlineStr">
        <is>
          <t>1411/10</t>
        </is>
      </c>
      <c r="G3660" s="58" t="inlineStr">
        <is>
          <t>دی</t>
        </is>
      </c>
      <c r="H3660" s="128" t="inlineStr">
        <is>
          <t>زمستان</t>
        </is>
      </c>
      <c r="I3660" s="128" t="inlineStr">
        <is>
          <t>یکشنبه</t>
        </is>
      </c>
      <c r="J3660" s="128" t="inlineStr">
        <is>
          <t>خیر</t>
        </is>
      </c>
    </row>
    <row r="3661">
      <c r="A3661" s="176" t="n">
        <v>48582</v>
      </c>
      <c r="B3661" s="177" t="n">
        <v>48582</v>
      </c>
      <c r="C3661" s="177" t="n">
        <v>1411</v>
      </c>
      <c r="D3661" s="177" t="n">
        <v>10</v>
      </c>
      <c r="E3661" s="178" t="inlineStr">
        <is>
          <t>1411/10/14</t>
        </is>
      </c>
      <c r="F3661" s="134" t="inlineStr">
        <is>
          <t>1411/10</t>
        </is>
      </c>
      <c r="G3661" s="61" t="inlineStr">
        <is>
          <t>دی</t>
        </is>
      </c>
      <c r="H3661" s="134" t="inlineStr">
        <is>
          <t>زمستان</t>
        </is>
      </c>
      <c r="I3661" s="134" t="inlineStr">
        <is>
          <t>دوشنبه</t>
        </is>
      </c>
      <c r="J3661" s="134" t="inlineStr">
        <is>
          <t>بله</t>
        </is>
      </c>
    </row>
    <row r="3662">
      <c r="A3662" s="173" t="n">
        <v>48583</v>
      </c>
      <c r="B3662" s="174" t="n">
        <v>48583</v>
      </c>
      <c r="C3662" s="174" t="n">
        <v>1411</v>
      </c>
      <c r="D3662" s="174" t="n">
        <v>10</v>
      </c>
      <c r="E3662" s="175" t="inlineStr">
        <is>
          <t>1411/10/15</t>
        </is>
      </c>
      <c r="F3662" s="128" t="inlineStr">
        <is>
          <t>1411/10</t>
        </is>
      </c>
      <c r="G3662" s="58" t="inlineStr">
        <is>
          <t>دی</t>
        </is>
      </c>
      <c r="H3662" s="128" t="inlineStr">
        <is>
          <t>زمستان</t>
        </is>
      </c>
      <c r="I3662" s="128" t="inlineStr">
        <is>
          <t>سه‌شنبه</t>
        </is>
      </c>
      <c r="J3662" s="128" t="inlineStr">
        <is>
          <t>بله</t>
        </is>
      </c>
    </row>
    <row r="3663">
      <c r="A3663" s="176" t="n">
        <v>48584</v>
      </c>
      <c r="B3663" s="177" t="n">
        <v>48584</v>
      </c>
      <c r="C3663" s="177" t="n">
        <v>1411</v>
      </c>
      <c r="D3663" s="177" t="n">
        <v>10</v>
      </c>
      <c r="E3663" s="178" t="inlineStr">
        <is>
          <t>1411/10/16</t>
        </is>
      </c>
      <c r="F3663" s="134" t="inlineStr">
        <is>
          <t>1411/10</t>
        </is>
      </c>
      <c r="G3663" s="61" t="inlineStr">
        <is>
          <t>دی</t>
        </is>
      </c>
      <c r="H3663" s="134" t="inlineStr">
        <is>
          <t>زمستان</t>
        </is>
      </c>
      <c r="I3663" s="134" t="inlineStr">
        <is>
          <t>چهارشنبه</t>
        </is>
      </c>
      <c r="J3663" s="134" t="inlineStr">
        <is>
          <t>بله</t>
        </is>
      </c>
    </row>
    <row r="3664">
      <c r="A3664" s="173" t="n">
        <v>48585</v>
      </c>
      <c r="B3664" s="174" t="n">
        <v>48585</v>
      </c>
      <c r="C3664" s="174" t="n">
        <v>1411</v>
      </c>
      <c r="D3664" s="174" t="n">
        <v>10</v>
      </c>
      <c r="E3664" s="175" t="inlineStr">
        <is>
          <t>1411/10/17</t>
        </is>
      </c>
      <c r="F3664" s="128" t="inlineStr">
        <is>
          <t>1411/10</t>
        </is>
      </c>
      <c r="G3664" s="58" t="inlineStr">
        <is>
          <t>دی</t>
        </is>
      </c>
      <c r="H3664" s="128" t="inlineStr">
        <is>
          <t>زمستان</t>
        </is>
      </c>
      <c r="I3664" s="128" t="inlineStr">
        <is>
          <t>پنجشنبه</t>
        </is>
      </c>
      <c r="J3664" s="128" t="inlineStr">
        <is>
          <t>بله</t>
        </is>
      </c>
    </row>
    <row r="3665">
      <c r="A3665" s="176" t="n">
        <v>48586</v>
      </c>
      <c r="B3665" s="177" t="n">
        <v>48586</v>
      </c>
      <c r="C3665" s="177" t="n">
        <v>1411</v>
      </c>
      <c r="D3665" s="177" t="n">
        <v>10</v>
      </c>
      <c r="E3665" s="178" t="inlineStr">
        <is>
          <t>1411/10/18</t>
        </is>
      </c>
      <c r="F3665" s="134" t="inlineStr">
        <is>
          <t>1411/10</t>
        </is>
      </c>
      <c r="G3665" s="61" t="inlineStr">
        <is>
          <t>دی</t>
        </is>
      </c>
      <c r="H3665" s="134" t="inlineStr">
        <is>
          <t>زمستان</t>
        </is>
      </c>
      <c r="I3665" s="134" t="inlineStr">
        <is>
          <t>جمعه</t>
        </is>
      </c>
      <c r="J3665" s="134" t="inlineStr">
        <is>
          <t>بله</t>
        </is>
      </c>
    </row>
    <row r="3666">
      <c r="A3666" s="173" t="n">
        <v>48587</v>
      </c>
      <c r="B3666" s="174" t="n">
        <v>48587</v>
      </c>
      <c r="C3666" s="174" t="n">
        <v>1411</v>
      </c>
      <c r="D3666" s="174" t="n">
        <v>10</v>
      </c>
      <c r="E3666" s="175" t="inlineStr">
        <is>
          <t>1411/10/19</t>
        </is>
      </c>
      <c r="F3666" s="128" t="inlineStr">
        <is>
          <t>1411/10</t>
        </is>
      </c>
      <c r="G3666" s="58" t="inlineStr">
        <is>
          <t>دی</t>
        </is>
      </c>
      <c r="H3666" s="128" t="inlineStr">
        <is>
          <t>زمستان</t>
        </is>
      </c>
      <c r="I3666" s="128" t="inlineStr">
        <is>
          <t>شنبه</t>
        </is>
      </c>
      <c r="J3666" s="128" t="inlineStr">
        <is>
          <t>خیر</t>
        </is>
      </c>
    </row>
    <row r="3667">
      <c r="A3667" s="176" t="n">
        <v>48588</v>
      </c>
      <c r="B3667" s="177" t="n">
        <v>48588</v>
      </c>
      <c r="C3667" s="177" t="n">
        <v>1411</v>
      </c>
      <c r="D3667" s="177" t="n">
        <v>10</v>
      </c>
      <c r="E3667" s="178" t="inlineStr">
        <is>
          <t>1411/10/20</t>
        </is>
      </c>
      <c r="F3667" s="134" t="inlineStr">
        <is>
          <t>1411/10</t>
        </is>
      </c>
      <c r="G3667" s="61" t="inlineStr">
        <is>
          <t>دی</t>
        </is>
      </c>
      <c r="H3667" s="134" t="inlineStr">
        <is>
          <t>زمستان</t>
        </is>
      </c>
      <c r="I3667" s="134" t="inlineStr">
        <is>
          <t>یکشنبه</t>
        </is>
      </c>
      <c r="J3667" s="134" t="inlineStr">
        <is>
          <t>خیر</t>
        </is>
      </c>
    </row>
    <row r="3668">
      <c r="A3668" s="173" t="n">
        <v>48589</v>
      </c>
      <c r="B3668" s="174" t="n">
        <v>48589</v>
      </c>
      <c r="C3668" s="174" t="n">
        <v>1411</v>
      </c>
      <c r="D3668" s="174" t="n">
        <v>10</v>
      </c>
      <c r="E3668" s="175" t="inlineStr">
        <is>
          <t>1411/10/21</t>
        </is>
      </c>
      <c r="F3668" s="128" t="inlineStr">
        <is>
          <t>1411/10</t>
        </is>
      </c>
      <c r="G3668" s="58" t="inlineStr">
        <is>
          <t>دی</t>
        </is>
      </c>
      <c r="H3668" s="128" t="inlineStr">
        <is>
          <t>زمستان</t>
        </is>
      </c>
      <c r="I3668" s="128" t="inlineStr">
        <is>
          <t>دوشنبه</t>
        </is>
      </c>
      <c r="J3668" s="128" t="inlineStr">
        <is>
          <t>بله</t>
        </is>
      </c>
    </row>
    <row r="3669">
      <c r="A3669" s="176" t="n">
        <v>48590</v>
      </c>
      <c r="B3669" s="177" t="n">
        <v>48590</v>
      </c>
      <c r="C3669" s="177" t="n">
        <v>1411</v>
      </c>
      <c r="D3669" s="177" t="n">
        <v>10</v>
      </c>
      <c r="E3669" s="178" t="inlineStr">
        <is>
          <t>1411/10/22</t>
        </is>
      </c>
      <c r="F3669" s="134" t="inlineStr">
        <is>
          <t>1411/10</t>
        </is>
      </c>
      <c r="G3669" s="61" t="inlineStr">
        <is>
          <t>دی</t>
        </is>
      </c>
      <c r="H3669" s="134" t="inlineStr">
        <is>
          <t>زمستان</t>
        </is>
      </c>
      <c r="I3669" s="134" t="inlineStr">
        <is>
          <t>سه‌شنبه</t>
        </is>
      </c>
      <c r="J3669" s="134" t="inlineStr">
        <is>
          <t>بله</t>
        </is>
      </c>
    </row>
    <row r="3670">
      <c r="A3670" s="173" t="n">
        <v>48591</v>
      </c>
      <c r="B3670" s="174" t="n">
        <v>48591</v>
      </c>
      <c r="C3670" s="174" t="n">
        <v>1411</v>
      </c>
      <c r="D3670" s="174" t="n">
        <v>10</v>
      </c>
      <c r="E3670" s="175" t="inlineStr">
        <is>
          <t>1411/10/23</t>
        </is>
      </c>
      <c r="F3670" s="128" t="inlineStr">
        <is>
          <t>1411/10</t>
        </is>
      </c>
      <c r="G3670" s="58" t="inlineStr">
        <is>
          <t>دی</t>
        </is>
      </c>
      <c r="H3670" s="128" t="inlineStr">
        <is>
          <t>زمستان</t>
        </is>
      </c>
      <c r="I3670" s="128" t="inlineStr">
        <is>
          <t>چهارشنبه</t>
        </is>
      </c>
      <c r="J3670" s="128" t="inlineStr">
        <is>
          <t>بله</t>
        </is>
      </c>
    </row>
    <row r="3671">
      <c r="A3671" s="176" t="n">
        <v>48592</v>
      </c>
      <c r="B3671" s="177" t="n">
        <v>48592</v>
      </c>
      <c r="C3671" s="177" t="n">
        <v>1411</v>
      </c>
      <c r="D3671" s="177" t="n">
        <v>10</v>
      </c>
      <c r="E3671" s="178" t="inlineStr">
        <is>
          <t>1411/10/24</t>
        </is>
      </c>
      <c r="F3671" s="134" t="inlineStr">
        <is>
          <t>1411/10</t>
        </is>
      </c>
      <c r="G3671" s="61" t="inlineStr">
        <is>
          <t>دی</t>
        </is>
      </c>
      <c r="H3671" s="134" t="inlineStr">
        <is>
          <t>زمستان</t>
        </is>
      </c>
      <c r="I3671" s="134" t="inlineStr">
        <is>
          <t>پنجشنبه</t>
        </is>
      </c>
      <c r="J3671" s="134" t="inlineStr">
        <is>
          <t>بله</t>
        </is>
      </c>
    </row>
    <row r="3672">
      <c r="A3672" s="173" t="n">
        <v>48593</v>
      </c>
      <c r="B3672" s="174" t="n">
        <v>48593</v>
      </c>
      <c r="C3672" s="174" t="n">
        <v>1411</v>
      </c>
      <c r="D3672" s="174" t="n">
        <v>10</v>
      </c>
      <c r="E3672" s="175" t="inlineStr">
        <is>
          <t>1411/10/25</t>
        </is>
      </c>
      <c r="F3672" s="128" t="inlineStr">
        <is>
          <t>1411/10</t>
        </is>
      </c>
      <c r="G3672" s="58" t="inlineStr">
        <is>
          <t>دی</t>
        </is>
      </c>
      <c r="H3672" s="128" t="inlineStr">
        <is>
          <t>زمستان</t>
        </is>
      </c>
      <c r="I3672" s="128" t="inlineStr">
        <is>
          <t>جمعه</t>
        </is>
      </c>
      <c r="J3672" s="128" t="inlineStr">
        <is>
          <t>بله</t>
        </is>
      </c>
    </row>
    <row r="3673">
      <c r="A3673" s="176" t="n">
        <v>48594</v>
      </c>
      <c r="B3673" s="177" t="n">
        <v>48594</v>
      </c>
      <c r="C3673" s="177" t="n">
        <v>1411</v>
      </c>
      <c r="D3673" s="177" t="n">
        <v>10</v>
      </c>
      <c r="E3673" s="178" t="inlineStr">
        <is>
          <t>1411/10/26</t>
        </is>
      </c>
      <c r="F3673" s="134" t="inlineStr">
        <is>
          <t>1411/10</t>
        </is>
      </c>
      <c r="G3673" s="61" t="inlineStr">
        <is>
          <t>دی</t>
        </is>
      </c>
      <c r="H3673" s="134" t="inlineStr">
        <is>
          <t>زمستان</t>
        </is>
      </c>
      <c r="I3673" s="134" t="inlineStr">
        <is>
          <t>شنبه</t>
        </is>
      </c>
      <c r="J3673" s="134" t="inlineStr">
        <is>
          <t>خیر</t>
        </is>
      </c>
    </row>
    <row r="3674">
      <c r="A3674" s="173" t="n">
        <v>48595</v>
      </c>
      <c r="B3674" s="174" t="n">
        <v>48595</v>
      </c>
      <c r="C3674" s="174" t="n">
        <v>1411</v>
      </c>
      <c r="D3674" s="174" t="n">
        <v>10</v>
      </c>
      <c r="E3674" s="175" t="inlineStr">
        <is>
          <t>1411/10/27</t>
        </is>
      </c>
      <c r="F3674" s="128" t="inlineStr">
        <is>
          <t>1411/10</t>
        </is>
      </c>
      <c r="G3674" s="58" t="inlineStr">
        <is>
          <t>دی</t>
        </is>
      </c>
      <c r="H3674" s="128" t="inlineStr">
        <is>
          <t>زمستان</t>
        </is>
      </c>
      <c r="I3674" s="128" t="inlineStr">
        <is>
          <t>یکشنبه</t>
        </is>
      </c>
      <c r="J3674" s="128" t="inlineStr">
        <is>
          <t>خیر</t>
        </is>
      </c>
    </row>
    <row r="3675">
      <c r="A3675" s="176" t="n">
        <v>48596</v>
      </c>
      <c r="B3675" s="177" t="n">
        <v>48596</v>
      </c>
      <c r="C3675" s="177" t="n">
        <v>1411</v>
      </c>
      <c r="D3675" s="177" t="n">
        <v>10</v>
      </c>
      <c r="E3675" s="178" t="inlineStr">
        <is>
          <t>1411/10/28</t>
        </is>
      </c>
      <c r="F3675" s="134" t="inlineStr">
        <is>
          <t>1411/10</t>
        </is>
      </c>
      <c r="G3675" s="61" t="inlineStr">
        <is>
          <t>دی</t>
        </is>
      </c>
      <c r="H3675" s="134" t="inlineStr">
        <is>
          <t>زمستان</t>
        </is>
      </c>
      <c r="I3675" s="134" t="inlineStr">
        <is>
          <t>دوشنبه</t>
        </is>
      </c>
      <c r="J3675" s="134" t="inlineStr">
        <is>
          <t>بله</t>
        </is>
      </c>
    </row>
    <row r="3676">
      <c r="A3676" s="173" t="n">
        <v>48597</v>
      </c>
      <c r="B3676" s="174" t="n">
        <v>48597</v>
      </c>
      <c r="C3676" s="174" t="n">
        <v>1411</v>
      </c>
      <c r="D3676" s="174" t="n">
        <v>10</v>
      </c>
      <c r="E3676" s="175" t="inlineStr">
        <is>
          <t>1411/10/29</t>
        </is>
      </c>
      <c r="F3676" s="128" t="inlineStr">
        <is>
          <t>1411/10</t>
        </is>
      </c>
      <c r="G3676" s="58" t="inlineStr">
        <is>
          <t>دی</t>
        </is>
      </c>
      <c r="H3676" s="128" t="inlineStr">
        <is>
          <t>زمستان</t>
        </is>
      </c>
      <c r="I3676" s="128" t="inlineStr">
        <is>
          <t>سه‌شنبه</t>
        </is>
      </c>
      <c r="J3676" s="128" t="inlineStr">
        <is>
          <t>بله</t>
        </is>
      </c>
    </row>
    <row r="3677">
      <c r="A3677" s="176" t="n">
        <v>48598</v>
      </c>
      <c r="B3677" s="177" t="n">
        <v>48598</v>
      </c>
      <c r="C3677" s="177" t="n">
        <v>1411</v>
      </c>
      <c r="D3677" s="177" t="n">
        <v>10</v>
      </c>
      <c r="E3677" s="178" t="inlineStr">
        <is>
          <t>1411/10/30</t>
        </is>
      </c>
      <c r="F3677" s="134" t="inlineStr">
        <is>
          <t>1411/10</t>
        </is>
      </c>
      <c r="G3677" s="61" t="inlineStr">
        <is>
          <t>دی</t>
        </is>
      </c>
      <c r="H3677" s="134" t="inlineStr">
        <is>
          <t>زمستان</t>
        </is>
      </c>
      <c r="I3677" s="134" t="inlineStr">
        <is>
          <t>چهارشنبه</t>
        </is>
      </c>
      <c r="J3677" s="134" t="inlineStr">
        <is>
          <t>بله</t>
        </is>
      </c>
    </row>
    <row r="3678">
      <c r="A3678" s="173" t="n">
        <v>48599</v>
      </c>
      <c r="B3678" s="174" t="n">
        <v>48599</v>
      </c>
      <c r="C3678" s="174" t="n">
        <v>1411</v>
      </c>
      <c r="D3678" s="174" t="n">
        <v>11</v>
      </c>
      <c r="E3678" s="175" t="inlineStr">
        <is>
          <t>1411/11/01</t>
        </is>
      </c>
      <c r="F3678" s="128" t="inlineStr">
        <is>
          <t>1411/11</t>
        </is>
      </c>
      <c r="G3678" s="58" t="inlineStr">
        <is>
          <t>بهمن</t>
        </is>
      </c>
      <c r="H3678" s="128" t="inlineStr">
        <is>
          <t>زمستان</t>
        </is>
      </c>
      <c r="I3678" s="128" t="inlineStr">
        <is>
          <t>پنجشنبه</t>
        </is>
      </c>
      <c r="J3678" s="128" t="inlineStr">
        <is>
          <t>بله</t>
        </is>
      </c>
    </row>
    <row r="3679">
      <c r="A3679" s="176" t="n">
        <v>48600</v>
      </c>
      <c r="B3679" s="177" t="n">
        <v>48600</v>
      </c>
      <c r="C3679" s="177" t="n">
        <v>1411</v>
      </c>
      <c r="D3679" s="177" t="n">
        <v>11</v>
      </c>
      <c r="E3679" s="178" t="inlineStr">
        <is>
          <t>1411/11/02</t>
        </is>
      </c>
      <c r="F3679" s="134" t="inlineStr">
        <is>
          <t>1411/11</t>
        </is>
      </c>
      <c r="G3679" s="61" t="inlineStr">
        <is>
          <t>بهمن</t>
        </is>
      </c>
      <c r="H3679" s="134" t="inlineStr">
        <is>
          <t>زمستان</t>
        </is>
      </c>
      <c r="I3679" s="134" t="inlineStr">
        <is>
          <t>جمعه</t>
        </is>
      </c>
      <c r="J3679" s="134" t="inlineStr">
        <is>
          <t>بله</t>
        </is>
      </c>
    </row>
    <row r="3680">
      <c r="A3680" s="173" t="n">
        <v>48601</v>
      </c>
      <c r="B3680" s="174" t="n">
        <v>48601</v>
      </c>
      <c r="C3680" s="174" t="n">
        <v>1411</v>
      </c>
      <c r="D3680" s="174" t="n">
        <v>11</v>
      </c>
      <c r="E3680" s="175" t="inlineStr">
        <is>
          <t>1411/11/03</t>
        </is>
      </c>
      <c r="F3680" s="128" t="inlineStr">
        <is>
          <t>1411/11</t>
        </is>
      </c>
      <c r="G3680" s="58" t="inlineStr">
        <is>
          <t>بهمن</t>
        </is>
      </c>
      <c r="H3680" s="128" t="inlineStr">
        <is>
          <t>زمستان</t>
        </is>
      </c>
      <c r="I3680" s="128" t="inlineStr">
        <is>
          <t>شنبه</t>
        </is>
      </c>
      <c r="J3680" s="128" t="inlineStr">
        <is>
          <t>خیر</t>
        </is>
      </c>
    </row>
    <row r="3681">
      <c r="A3681" s="176" t="n">
        <v>48602</v>
      </c>
      <c r="B3681" s="177" t="n">
        <v>48602</v>
      </c>
      <c r="C3681" s="177" t="n">
        <v>1411</v>
      </c>
      <c r="D3681" s="177" t="n">
        <v>11</v>
      </c>
      <c r="E3681" s="178" t="inlineStr">
        <is>
          <t>1411/11/04</t>
        </is>
      </c>
      <c r="F3681" s="134" t="inlineStr">
        <is>
          <t>1411/11</t>
        </is>
      </c>
      <c r="G3681" s="61" t="inlineStr">
        <is>
          <t>بهمن</t>
        </is>
      </c>
      <c r="H3681" s="134" t="inlineStr">
        <is>
          <t>زمستان</t>
        </is>
      </c>
      <c r="I3681" s="134" t="inlineStr">
        <is>
          <t>یکشنبه</t>
        </is>
      </c>
      <c r="J3681" s="134" t="inlineStr">
        <is>
          <t>خیر</t>
        </is>
      </c>
    </row>
    <row r="3682">
      <c r="A3682" s="173" t="n">
        <v>48603</v>
      </c>
      <c r="B3682" s="174" t="n">
        <v>48603</v>
      </c>
      <c r="C3682" s="174" t="n">
        <v>1411</v>
      </c>
      <c r="D3682" s="174" t="n">
        <v>11</v>
      </c>
      <c r="E3682" s="175" t="inlineStr">
        <is>
          <t>1411/11/05</t>
        </is>
      </c>
      <c r="F3682" s="128" t="inlineStr">
        <is>
          <t>1411/11</t>
        </is>
      </c>
      <c r="G3682" s="58" t="inlineStr">
        <is>
          <t>بهمن</t>
        </is>
      </c>
      <c r="H3682" s="128" t="inlineStr">
        <is>
          <t>زمستان</t>
        </is>
      </c>
      <c r="I3682" s="128" t="inlineStr">
        <is>
          <t>دوشنبه</t>
        </is>
      </c>
      <c r="J3682" s="128" t="inlineStr">
        <is>
          <t>بله</t>
        </is>
      </c>
    </row>
    <row r="3683">
      <c r="A3683" s="176" t="n">
        <v>48604</v>
      </c>
      <c r="B3683" s="177" t="n">
        <v>48604</v>
      </c>
      <c r="C3683" s="177" t="n">
        <v>1411</v>
      </c>
      <c r="D3683" s="177" t="n">
        <v>11</v>
      </c>
      <c r="E3683" s="178" t="inlineStr">
        <is>
          <t>1411/11/06</t>
        </is>
      </c>
      <c r="F3683" s="134" t="inlineStr">
        <is>
          <t>1411/11</t>
        </is>
      </c>
      <c r="G3683" s="61" t="inlineStr">
        <is>
          <t>بهمن</t>
        </is>
      </c>
      <c r="H3683" s="134" t="inlineStr">
        <is>
          <t>زمستان</t>
        </is>
      </c>
      <c r="I3683" s="134" t="inlineStr">
        <is>
          <t>سه‌شنبه</t>
        </is>
      </c>
      <c r="J3683" s="134" t="inlineStr">
        <is>
          <t>بله</t>
        </is>
      </c>
    </row>
    <row r="3684">
      <c r="A3684" s="173" t="n">
        <v>48605</v>
      </c>
      <c r="B3684" s="174" t="n">
        <v>48605</v>
      </c>
      <c r="C3684" s="174" t="n">
        <v>1411</v>
      </c>
      <c r="D3684" s="174" t="n">
        <v>11</v>
      </c>
      <c r="E3684" s="175" t="inlineStr">
        <is>
          <t>1411/11/07</t>
        </is>
      </c>
      <c r="F3684" s="128" t="inlineStr">
        <is>
          <t>1411/11</t>
        </is>
      </c>
      <c r="G3684" s="58" t="inlineStr">
        <is>
          <t>بهمن</t>
        </is>
      </c>
      <c r="H3684" s="128" t="inlineStr">
        <is>
          <t>زمستان</t>
        </is>
      </c>
      <c r="I3684" s="128" t="inlineStr">
        <is>
          <t>چهارشنبه</t>
        </is>
      </c>
      <c r="J3684" s="128" t="inlineStr">
        <is>
          <t>بله</t>
        </is>
      </c>
    </row>
    <row r="3685">
      <c r="A3685" s="176" t="n">
        <v>48606</v>
      </c>
      <c r="B3685" s="177" t="n">
        <v>48606</v>
      </c>
      <c r="C3685" s="177" t="n">
        <v>1411</v>
      </c>
      <c r="D3685" s="177" t="n">
        <v>11</v>
      </c>
      <c r="E3685" s="178" t="inlineStr">
        <is>
          <t>1411/11/08</t>
        </is>
      </c>
      <c r="F3685" s="134" t="inlineStr">
        <is>
          <t>1411/11</t>
        </is>
      </c>
      <c r="G3685" s="61" t="inlineStr">
        <is>
          <t>بهمن</t>
        </is>
      </c>
      <c r="H3685" s="134" t="inlineStr">
        <is>
          <t>زمستان</t>
        </is>
      </c>
      <c r="I3685" s="134" t="inlineStr">
        <is>
          <t>پنجشنبه</t>
        </is>
      </c>
      <c r="J3685" s="134" t="inlineStr">
        <is>
          <t>بله</t>
        </is>
      </c>
    </row>
    <row r="3686">
      <c r="A3686" s="173" t="n">
        <v>48607</v>
      </c>
      <c r="B3686" s="174" t="n">
        <v>48607</v>
      </c>
      <c r="C3686" s="174" t="n">
        <v>1411</v>
      </c>
      <c r="D3686" s="174" t="n">
        <v>11</v>
      </c>
      <c r="E3686" s="175" t="inlineStr">
        <is>
          <t>1411/11/09</t>
        </is>
      </c>
      <c r="F3686" s="128" t="inlineStr">
        <is>
          <t>1411/11</t>
        </is>
      </c>
      <c r="G3686" s="58" t="inlineStr">
        <is>
          <t>بهمن</t>
        </is>
      </c>
      <c r="H3686" s="128" t="inlineStr">
        <is>
          <t>زمستان</t>
        </is>
      </c>
      <c r="I3686" s="128" t="inlineStr">
        <is>
          <t>جمعه</t>
        </is>
      </c>
      <c r="J3686" s="128" t="inlineStr">
        <is>
          <t>بله</t>
        </is>
      </c>
    </row>
    <row r="3687">
      <c r="A3687" s="176" t="n">
        <v>48608</v>
      </c>
      <c r="B3687" s="177" t="n">
        <v>48608</v>
      </c>
      <c r="C3687" s="177" t="n">
        <v>1411</v>
      </c>
      <c r="D3687" s="177" t="n">
        <v>11</v>
      </c>
      <c r="E3687" s="178" t="inlineStr">
        <is>
          <t>1411/11/10</t>
        </is>
      </c>
      <c r="F3687" s="134" t="inlineStr">
        <is>
          <t>1411/11</t>
        </is>
      </c>
      <c r="G3687" s="61" t="inlineStr">
        <is>
          <t>بهمن</t>
        </is>
      </c>
      <c r="H3687" s="134" t="inlineStr">
        <is>
          <t>زمستان</t>
        </is>
      </c>
      <c r="I3687" s="134" t="inlineStr">
        <is>
          <t>شنبه</t>
        </is>
      </c>
      <c r="J3687" s="134" t="inlineStr">
        <is>
          <t>خیر</t>
        </is>
      </c>
    </row>
    <row r="3688">
      <c r="A3688" s="173" t="n">
        <v>48609</v>
      </c>
      <c r="B3688" s="174" t="n">
        <v>48609</v>
      </c>
      <c r="C3688" s="174" t="n">
        <v>1411</v>
      </c>
      <c r="D3688" s="174" t="n">
        <v>11</v>
      </c>
      <c r="E3688" s="175" t="inlineStr">
        <is>
          <t>1411/11/11</t>
        </is>
      </c>
      <c r="F3688" s="128" t="inlineStr">
        <is>
          <t>1411/11</t>
        </is>
      </c>
      <c r="G3688" s="58" t="inlineStr">
        <is>
          <t>بهمن</t>
        </is>
      </c>
      <c r="H3688" s="128" t="inlineStr">
        <is>
          <t>زمستان</t>
        </is>
      </c>
      <c r="I3688" s="128" t="inlineStr">
        <is>
          <t>یکشنبه</t>
        </is>
      </c>
      <c r="J3688" s="128" t="inlineStr">
        <is>
          <t>خیر</t>
        </is>
      </c>
    </row>
    <row r="3689">
      <c r="A3689" s="176" t="n">
        <v>48610</v>
      </c>
      <c r="B3689" s="177" t="n">
        <v>48610</v>
      </c>
      <c r="C3689" s="177" t="n">
        <v>1411</v>
      </c>
      <c r="D3689" s="177" t="n">
        <v>11</v>
      </c>
      <c r="E3689" s="178" t="inlineStr">
        <is>
          <t>1411/11/12</t>
        </is>
      </c>
      <c r="F3689" s="134" t="inlineStr">
        <is>
          <t>1411/11</t>
        </is>
      </c>
      <c r="G3689" s="61" t="inlineStr">
        <is>
          <t>بهمن</t>
        </is>
      </c>
      <c r="H3689" s="134" t="inlineStr">
        <is>
          <t>زمستان</t>
        </is>
      </c>
      <c r="I3689" s="134" t="inlineStr">
        <is>
          <t>دوشنبه</t>
        </is>
      </c>
      <c r="J3689" s="134" t="inlineStr">
        <is>
          <t>بله</t>
        </is>
      </c>
    </row>
    <row r="3690">
      <c r="A3690" s="173" t="n">
        <v>48611</v>
      </c>
      <c r="B3690" s="174" t="n">
        <v>48611</v>
      </c>
      <c r="C3690" s="174" t="n">
        <v>1411</v>
      </c>
      <c r="D3690" s="174" t="n">
        <v>11</v>
      </c>
      <c r="E3690" s="175" t="inlineStr">
        <is>
          <t>1411/11/13</t>
        </is>
      </c>
      <c r="F3690" s="128" t="inlineStr">
        <is>
          <t>1411/11</t>
        </is>
      </c>
      <c r="G3690" s="58" t="inlineStr">
        <is>
          <t>بهمن</t>
        </is>
      </c>
      <c r="H3690" s="128" t="inlineStr">
        <is>
          <t>زمستان</t>
        </is>
      </c>
      <c r="I3690" s="128" t="inlineStr">
        <is>
          <t>سه‌شنبه</t>
        </is>
      </c>
      <c r="J3690" s="128" t="inlineStr">
        <is>
          <t>بله</t>
        </is>
      </c>
    </row>
    <row r="3691">
      <c r="A3691" s="176" t="n">
        <v>48612</v>
      </c>
      <c r="B3691" s="177" t="n">
        <v>48612</v>
      </c>
      <c r="C3691" s="177" t="n">
        <v>1411</v>
      </c>
      <c r="D3691" s="177" t="n">
        <v>11</v>
      </c>
      <c r="E3691" s="178" t="inlineStr">
        <is>
          <t>1411/11/14</t>
        </is>
      </c>
      <c r="F3691" s="134" t="inlineStr">
        <is>
          <t>1411/11</t>
        </is>
      </c>
      <c r="G3691" s="61" t="inlineStr">
        <is>
          <t>بهمن</t>
        </is>
      </c>
      <c r="H3691" s="134" t="inlineStr">
        <is>
          <t>زمستان</t>
        </is>
      </c>
      <c r="I3691" s="134" t="inlineStr">
        <is>
          <t>چهارشنبه</t>
        </is>
      </c>
      <c r="J3691" s="134" t="inlineStr">
        <is>
          <t>بله</t>
        </is>
      </c>
    </row>
    <row r="3692">
      <c r="A3692" s="173" t="n">
        <v>48613</v>
      </c>
      <c r="B3692" s="174" t="n">
        <v>48613</v>
      </c>
      <c r="C3692" s="174" t="n">
        <v>1411</v>
      </c>
      <c r="D3692" s="174" t="n">
        <v>11</v>
      </c>
      <c r="E3692" s="175" t="inlineStr">
        <is>
          <t>1411/11/15</t>
        </is>
      </c>
      <c r="F3692" s="128" t="inlineStr">
        <is>
          <t>1411/11</t>
        </is>
      </c>
      <c r="G3692" s="58" t="inlineStr">
        <is>
          <t>بهمن</t>
        </is>
      </c>
      <c r="H3692" s="128" t="inlineStr">
        <is>
          <t>زمستان</t>
        </is>
      </c>
      <c r="I3692" s="128" t="inlineStr">
        <is>
          <t>پنجشنبه</t>
        </is>
      </c>
      <c r="J3692" s="128" t="inlineStr">
        <is>
          <t>بله</t>
        </is>
      </c>
    </row>
    <row r="3693">
      <c r="A3693" s="176" t="n">
        <v>48614</v>
      </c>
      <c r="B3693" s="177" t="n">
        <v>48614</v>
      </c>
      <c r="C3693" s="177" t="n">
        <v>1411</v>
      </c>
      <c r="D3693" s="177" t="n">
        <v>11</v>
      </c>
      <c r="E3693" s="178" t="inlineStr">
        <is>
          <t>1411/11/16</t>
        </is>
      </c>
      <c r="F3693" s="134" t="inlineStr">
        <is>
          <t>1411/11</t>
        </is>
      </c>
      <c r="G3693" s="61" t="inlineStr">
        <is>
          <t>بهمن</t>
        </is>
      </c>
      <c r="H3693" s="134" t="inlineStr">
        <is>
          <t>زمستان</t>
        </is>
      </c>
      <c r="I3693" s="134" t="inlineStr">
        <is>
          <t>جمعه</t>
        </is>
      </c>
      <c r="J3693" s="134" t="inlineStr">
        <is>
          <t>بله</t>
        </is>
      </c>
    </row>
    <row r="3694">
      <c r="A3694" s="173" t="n">
        <v>48615</v>
      </c>
      <c r="B3694" s="174" t="n">
        <v>48615</v>
      </c>
      <c r="C3694" s="174" t="n">
        <v>1411</v>
      </c>
      <c r="D3694" s="174" t="n">
        <v>11</v>
      </c>
      <c r="E3694" s="175" t="inlineStr">
        <is>
          <t>1411/11/17</t>
        </is>
      </c>
      <c r="F3694" s="128" t="inlineStr">
        <is>
          <t>1411/11</t>
        </is>
      </c>
      <c r="G3694" s="58" t="inlineStr">
        <is>
          <t>بهمن</t>
        </is>
      </c>
      <c r="H3694" s="128" t="inlineStr">
        <is>
          <t>زمستان</t>
        </is>
      </c>
      <c r="I3694" s="128" t="inlineStr">
        <is>
          <t>شنبه</t>
        </is>
      </c>
      <c r="J3694" s="128" t="inlineStr">
        <is>
          <t>خیر</t>
        </is>
      </c>
    </row>
    <row r="3695">
      <c r="A3695" s="176" t="n">
        <v>48616</v>
      </c>
      <c r="B3695" s="177" t="n">
        <v>48616</v>
      </c>
      <c r="C3695" s="177" t="n">
        <v>1411</v>
      </c>
      <c r="D3695" s="177" t="n">
        <v>11</v>
      </c>
      <c r="E3695" s="178" t="inlineStr">
        <is>
          <t>1411/11/18</t>
        </is>
      </c>
      <c r="F3695" s="134" t="inlineStr">
        <is>
          <t>1411/11</t>
        </is>
      </c>
      <c r="G3695" s="61" t="inlineStr">
        <is>
          <t>بهمن</t>
        </is>
      </c>
      <c r="H3695" s="134" t="inlineStr">
        <is>
          <t>زمستان</t>
        </is>
      </c>
      <c r="I3695" s="134" t="inlineStr">
        <is>
          <t>یکشنبه</t>
        </is>
      </c>
      <c r="J3695" s="134" t="inlineStr">
        <is>
          <t>خیر</t>
        </is>
      </c>
    </row>
    <row r="3696">
      <c r="A3696" s="173" t="n">
        <v>48617</v>
      </c>
      <c r="B3696" s="174" t="n">
        <v>48617</v>
      </c>
      <c r="C3696" s="174" t="n">
        <v>1411</v>
      </c>
      <c r="D3696" s="174" t="n">
        <v>11</v>
      </c>
      <c r="E3696" s="175" t="inlineStr">
        <is>
          <t>1411/11/19</t>
        </is>
      </c>
      <c r="F3696" s="128" t="inlineStr">
        <is>
          <t>1411/11</t>
        </is>
      </c>
      <c r="G3696" s="58" t="inlineStr">
        <is>
          <t>بهمن</t>
        </is>
      </c>
      <c r="H3696" s="128" t="inlineStr">
        <is>
          <t>زمستان</t>
        </is>
      </c>
      <c r="I3696" s="128" t="inlineStr">
        <is>
          <t>دوشنبه</t>
        </is>
      </c>
      <c r="J3696" s="128" t="inlineStr">
        <is>
          <t>بله</t>
        </is>
      </c>
    </row>
    <row r="3697">
      <c r="A3697" s="176" t="n">
        <v>48618</v>
      </c>
      <c r="B3697" s="177" t="n">
        <v>48618</v>
      </c>
      <c r="C3697" s="177" t="n">
        <v>1411</v>
      </c>
      <c r="D3697" s="177" t="n">
        <v>11</v>
      </c>
      <c r="E3697" s="178" t="inlineStr">
        <is>
          <t>1411/11/20</t>
        </is>
      </c>
      <c r="F3697" s="134" t="inlineStr">
        <is>
          <t>1411/11</t>
        </is>
      </c>
      <c r="G3697" s="61" t="inlineStr">
        <is>
          <t>بهمن</t>
        </is>
      </c>
      <c r="H3697" s="134" t="inlineStr">
        <is>
          <t>زمستان</t>
        </is>
      </c>
      <c r="I3697" s="134" t="inlineStr">
        <is>
          <t>سه‌شنبه</t>
        </is>
      </c>
      <c r="J3697" s="134" t="inlineStr">
        <is>
          <t>بله</t>
        </is>
      </c>
    </row>
    <row r="3698">
      <c r="A3698" s="173" t="n">
        <v>48619</v>
      </c>
      <c r="B3698" s="174" t="n">
        <v>48619</v>
      </c>
      <c r="C3698" s="174" t="n">
        <v>1411</v>
      </c>
      <c r="D3698" s="174" t="n">
        <v>11</v>
      </c>
      <c r="E3698" s="175" t="inlineStr">
        <is>
          <t>1411/11/21</t>
        </is>
      </c>
      <c r="F3698" s="128" t="inlineStr">
        <is>
          <t>1411/11</t>
        </is>
      </c>
      <c r="G3698" s="58" t="inlineStr">
        <is>
          <t>بهمن</t>
        </is>
      </c>
      <c r="H3698" s="128" t="inlineStr">
        <is>
          <t>زمستان</t>
        </is>
      </c>
      <c r="I3698" s="128" t="inlineStr">
        <is>
          <t>چهارشنبه</t>
        </is>
      </c>
      <c r="J3698" s="128" t="inlineStr">
        <is>
          <t>بله</t>
        </is>
      </c>
    </row>
    <row r="3699">
      <c r="A3699" s="176" t="n">
        <v>48620</v>
      </c>
      <c r="B3699" s="177" t="n">
        <v>48620</v>
      </c>
      <c r="C3699" s="177" t="n">
        <v>1411</v>
      </c>
      <c r="D3699" s="177" t="n">
        <v>11</v>
      </c>
      <c r="E3699" s="178" t="inlineStr">
        <is>
          <t>1411/11/22</t>
        </is>
      </c>
      <c r="F3699" s="134" t="inlineStr">
        <is>
          <t>1411/11</t>
        </is>
      </c>
      <c r="G3699" s="61" t="inlineStr">
        <is>
          <t>بهمن</t>
        </is>
      </c>
      <c r="H3699" s="134" t="inlineStr">
        <is>
          <t>زمستان</t>
        </is>
      </c>
      <c r="I3699" s="134" t="inlineStr">
        <is>
          <t>پنجشنبه</t>
        </is>
      </c>
      <c r="J3699" s="134" t="inlineStr">
        <is>
          <t>بله</t>
        </is>
      </c>
    </row>
    <row r="3700">
      <c r="A3700" s="173" t="n">
        <v>48621</v>
      </c>
      <c r="B3700" s="174" t="n">
        <v>48621</v>
      </c>
      <c r="C3700" s="174" t="n">
        <v>1411</v>
      </c>
      <c r="D3700" s="174" t="n">
        <v>11</v>
      </c>
      <c r="E3700" s="175" t="inlineStr">
        <is>
          <t>1411/11/23</t>
        </is>
      </c>
      <c r="F3700" s="128" t="inlineStr">
        <is>
          <t>1411/11</t>
        </is>
      </c>
      <c r="G3700" s="58" t="inlineStr">
        <is>
          <t>بهمن</t>
        </is>
      </c>
      <c r="H3700" s="128" t="inlineStr">
        <is>
          <t>زمستان</t>
        </is>
      </c>
      <c r="I3700" s="128" t="inlineStr">
        <is>
          <t>جمعه</t>
        </is>
      </c>
      <c r="J3700" s="128" t="inlineStr">
        <is>
          <t>بله</t>
        </is>
      </c>
    </row>
    <row r="3701">
      <c r="A3701" s="176" t="n">
        <v>48622</v>
      </c>
      <c r="B3701" s="177" t="n">
        <v>48622</v>
      </c>
      <c r="C3701" s="177" t="n">
        <v>1411</v>
      </c>
      <c r="D3701" s="177" t="n">
        <v>11</v>
      </c>
      <c r="E3701" s="178" t="inlineStr">
        <is>
          <t>1411/11/24</t>
        </is>
      </c>
      <c r="F3701" s="134" t="inlineStr">
        <is>
          <t>1411/11</t>
        </is>
      </c>
      <c r="G3701" s="61" t="inlineStr">
        <is>
          <t>بهمن</t>
        </is>
      </c>
      <c r="H3701" s="134" t="inlineStr">
        <is>
          <t>زمستان</t>
        </is>
      </c>
      <c r="I3701" s="134" t="inlineStr">
        <is>
          <t>شنبه</t>
        </is>
      </c>
      <c r="J3701" s="134" t="inlineStr">
        <is>
          <t>خیر</t>
        </is>
      </c>
    </row>
    <row r="3702">
      <c r="A3702" s="173" t="n">
        <v>48623</v>
      </c>
      <c r="B3702" s="174" t="n">
        <v>48623</v>
      </c>
      <c r="C3702" s="174" t="n">
        <v>1411</v>
      </c>
      <c r="D3702" s="174" t="n">
        <v>11</v>
      </c>
      <c r="E3702" s="175" t="inlineStr">
        <is>
          <t>1411/11/25</t>
        </is>
      </c>
      <c r="F3702" s="128" t="inlineStr">
        <is>
          <t>1411/11</t>
        </is>
      </c>
      <c r="G3702" s="58" t="inlineStr">
        <is>
          <t>بهمن</t>
        </is>
      </c>
      <c r="H3702" s="128" t="inlineStr">
        <is>
          <t>زمستان</t>
        </is>
      </c>
      <c r="I3702" s="128" t="inlineStr">
        <is>
          <t>یکشنبه</t>
        </is>
      </c>
      <c r="J3702" s="128" t="inlineStr">
        <is>
          <t>خیر</t>
        </is>
      </c>
    </row>
    <row r="3703">
      <c r="A3703" s="176" t="n">
        <v>48624</v>
      </c>
      <c r="B3703" s="177" t="n">
        <v>48624</v>
      </c>
      <c r="C3703" s="177" t="n">
        <v>1411</v>
      </c>
      <c r="D3703" s="177" t="n">
        <v>11</v>
      </c>
      <c r="E3703" s="178" t="inlineStr">
        <is>
          <t>1411/11/26</t>
        </is>
      </c>
      <c r="F3703" s="134" t="inlineStr">
        <is>
          <t>1411/11</t>
        </is>
      </c>
      <c r="G3703" s="61" t="inlineStr">
        <is>
          <t>بهمن</t>
        </is>
      </c>
      <c r="H3703" s="134" t="inlineStr">
        <is>
          <t>زمستان</t>
        </is>
      </c>
      <c r="I3703" s="134" t="inlineStr">
        <is>
          <t>دوشنبه</t>
        </is>
      </c>
      <c r="J3703" s="134" t="inlineStr">
        <is>
          <t>بله</t>
        </is>
      </c>
    </row>
    <row r="3704">
      <c r="A3704" s="173" t="n">
        <v>48625</v>
      </c>
      <c r="B3704" s="174" t="n">
        <v>48625</v>
      </c>
      <c r="C3704" s="174" t="n">
        <v>1411</v>
      </c>
      <c r="D3704" s="174" t="n">
        <v>11</v>
      </c>
      <c r="E3704" s="175" t="inlineStr">
        <is>
          <t>1411/11/27</t>
        </is>
      </c>
      <c r="F3704" s="128" t="inlineStr">
        <is>
          <t>1411/11</t>
        </is>
      </c>
      <c r="G3704" s="58" t="inlineStr">
        <is>
          <t>بهمن</t>
        </is>
      </c>
      <c r="H3704" s="128" t="inlineStr">
        <is>
          <t>زمستان</t>
        </is>
      </c>
      <c r="I3704" s="128" t="inlineStr">
        <is>
          <t>سه‌شنبه</t>
        </is>
      </c>
      <c r="J3704" s="128" t="inlineStr">
        <is>
          <t>بله</t>
        </is>
      </c>
    </row>
    <row r="3705">
      <c r="A3705" s="176" t="n">
        <v>48626</v>
      </c>
      <c r="B3705" s="177" t="n">
        <v>48626</v>
      </c>
      <c r="C3705" s="177" t="n">
        <v>1411</v>
      </c>
      <c r="D3705" s="177" t="n">
        <v>11</v>
      </c>
      <c r="E3705" s="178" t="inlineStr">
        <is>
          <t>1411/11/28</t>
        </is>
      </c>
      <c r="F3705" s="134" t="inlineStr">
        <is>
          <t>1411/11</t>
        </is>
      </c>
      <c r="G3705" s="61" t="inlineStr">
        <is>
          <t>بهمن</t>
        </is>
      </c>
      <c r="H3705" s="134" t="inlineStr">
        <is>
          <t>زمستان</t>
        </is>
      </c>
      <c r="I3705" s="134" t="inlineStr">
        <is>
          <t>چهارشنبه</t>
        </is>
      </c>
      <c r="J3705" s="134" t="inlineStr">
        <is>
          <t>بله</t>
        </is>
      </c>
    </row>
    <row r="3706">
      <c r="A3706" s="173" t="n">
        <v>48627</v>
      </c>
      <c r="B3706" s="174" t="n">
        <v>48627</v>
      </c>
      <c r="C3706" s="174" t="n">
        <v>1411</v>
      </c>
      <c r="D3706" s="174" t="n">
        <v>11</v>
      </c>
      <c r="E3706" s="175" t="inlineStr">
        <is>
          <t>1411/11/29</t>
        </is>
      </c>
      <c r="F3706" s="128" t="inlineStr">
        <is>
          <t>1411/11</t>
        </is>
      </c>
      <c r="G3706" s="58" t="inlineStr">
        <is>
          <t>بهمن</t>
        </is>
      </c>
      <c r="H3706" s="128" t="inlineStr">
        <is>
          <t>زمستان</t>
        </is>
      </c>
      <c r="I3706" s="128" t="inlineStr">
        <is>
          <t>پنجشنبه</t>
        </is>
      </c>
      <c r="J3706" s="128" t="inlineStr">
        <is>
          <t>بله</t>
        </is>
      </c>
    </row>
    <row r="3707">
      <c r="A3707" s="176" t="n">
        <v>48628</v>
      </c>
      <c r="B3707" s="177" t="n">
        <v>48628</v>
      </c>
      <c r="C3707" s="177" t="n">
        <v>1411</v>
      </c>
      <c r="D3707" s="177" t="n">
        <v>11</v>
      </c>
      <c r="E3707" s="178" t="inlineStr">
        <is>
          <t>1411/11/30</t>
        </is>
      </c>
      <c r="F3707" s="134" t="inlineStr">
        <is>
          <t>1411/11</t>
        </is>
      </c>
      <c r="G3707" s="61" t="inlineStr">
        <is>
          <t>بهمن</t>
        </is>
      </c>
      <c r="H3707" s="134" t="inlineStr">
        <is>
          <t>زمستان</t>
        </is>
      </c>
      <c r="I3707" s="134" t="inlineStr">
        <is>
          <t>جمعه</t>
        </is>
      </c>
      <c r="J3707" s="134" t="inlineStr">
        <is>
          <t>بله</t>
        </is>
      </c>
    </row>
    <row r="3708">
      <c r="A3708" s="173" t="n">
        <v>48629</v>
      </c>
      <c r="B3708" s="174" t="n">
        <v>48629</v>
      </c>
      <c r="C3708" s="174" t="n">
        <v>1411</v>
      </c>
      <c r="D3708" s="174" t="n">
        <v>12</v>
      </c>
      <c r="E3708" s="175" t="inlineStr">
        <is>
          <t>1411/12/01</t>
        </is>
      </c>
      <c r="F3708" s="128" t="inlineStr">
        <is>
          <t>1411/12</t>
        </is>
      </c>
      <c r="G3708" s="58" t="inlineStr">
        <is>
          <t>اسفند</t>
        </is>
      </c>
      <c r="H3708" s="128" t="inlineStr">
        <is>
          <t>زمستان</t>
        </is>
      </c>
      <c r="I3708" s="128" t="inlineStr">
        <is>
          <t>شنبه</t>
        </is>
      </c>
      <c r="J3708" s="128" t="inlineStr">
        <is>
          <t>خیر</t>
        </is>
      </c>
    </row>
    <row r="3709">
      <c r="A3709" s="176" t="n">
        <v>48630</v>
      </c>
      <c r="B3709" s="177" t="n">
        <v>48630</v>
      </c>
      <c r="C3709" s="177" t="n">
        <v>1411</v>
      </c>
      <c r="D3709" s="177" t="n">
        <v>12</v>
      </c>
      <c r="E3709" s="178" t="inlineStr">
        <is>
          <t>1411/12/02</t>
        </is>
      </c>
      <c r="F3709" s="134" t="inlineStr">
        <is>
          <t>1411/12</t>
        </is>
      </c>
      <c r="G3709" s="61" t="inlineStr">
        <is>
          <t>اسفند</t>
        </is>
      </c>
      <c r="H3709" s="134" t="inlineStr">
        <is>
          <t>زمستان</t>
        </is>
      </c>
      <c r="I3709" s="134" t="inlineStr">
        <is>
          <t>یکشنبه</t>
        </is>
      </c>
      <c r="J3709" s="134" t="inlineStr">
        <is>
          <t>خیر</t>
        </is>
      </c>
    </row>
    <row r="3710">
      <c r="A3710" s="173" t="n">
        <v>48631</v>
      </c>
      <c r="B3710" s="174" t="n">
        <v>48631</v>
      </c>
      <c r="C3710" s="174" t="n">
        <v>1411</v>
      </c>
      <c r="D3710" s="174" t="n">
        <v>12</v>
      </c>
      <c r="E3710" s="175" t="inlineStr">
        <is>
          <t>1411/12/03</t>
        </is>
      </c>
      <c r="F3710" s="128" t="inlineStr">
        <is>
          <t>1411/12</t>
        </is>
      </c>
      <c r="G3710" s="58" t="inlineStr">
        <is>
          <t>اسفند</t>
        </is>
      </c>
      <c r="H3710" s="128" t="inlineStr">
        <is>
          <t>زمستان</t>
        </is>
      </c>
      <c r="I3710" s="128" t="inlineStr">
        <is>
          <t>دوشنبه</t>
        </is>
      </c>
      <c r="J3710" s="128" t="inlineStr">
        <is>
          <t>بله</t>
        </is>
      </c>
    </row>
    <row r="3711">
      <c r="A3711" s="176" t="n">
        <v>48632</v>
      </c>
      <c r="B3711" s="177" t="n">
        <v>48632</v>
      </c>
      <c r="C3711" s="177" t="n">
        <v>1411</v>
      </c>
      <c r="D3711" s="177" t="n">
        <v>12</v>
      </c>
      <c r="E3711" s="178" t="inlineStr">
        <is>
          <t>1411/12/04</t>
        </is>
      </c>
      <c r="F3711" s="134" t="inlineStr">
        <is>
          <t>1411/12</t>
        </is>
      </c>
      <c r="G3711" s="61" t="inlineStr">
        <is>
          <t>اسفند</t>
        </is>
      </c>
      <c r="H3711" s="134" t="inlineStr">
        <is>
          <t>زمستان</t>
        </is>
      </c>
      <c r="I3711" s="134" t="inlineStr">
        <is>
          <t>سه‌شنبه</t>
        </is>
      </c>
      <c r="J3711" s="134" t="inlineStr">
        <is>
          <t>بله</t>
        </is>
      </c>
    </row>
    <row r="3712">
      <c r="A3712" s="173" t="n">
        <v>48633</v>
      </c>
      <c r="B3712" s="174" t="n">
        <v>48633</v>
      </c>
      <c r="C3712" s="174" t="n">
        <v>1411</v>
      </c>
      <c r="D3712" s="174" t="n">
        <v>12</v>
      </c>
      <c r="E3712" s="175" t="inlineStr">
        <is>
          <t>1411/12/05</t>
        </is>
      </c>
      <c r="F3712" s="128" t="inlineStr">
        <is>
          <t>1411/12</t>
        </is>
      </c>
      <c r="G3712" s="58" t="inlineStr">
        <is>
          <t>اسفند</t>
        </is>
      </c>
      <c r="H3712" s="128" t="inlineStr">
        <is>
          <t>زمستان</t>
        </is>
      </c>
      <c r="I3712" s="128" t="inlineStr">
        <is>
          <t>چهارشنبه</t>
        </is>
      </c>
      <c r="J3712" s="128" t="inlineStr">
        <is>
          <t>بله</t>
        </is>
      </c>
    </row>
    <row r="3713">
      <c r="A3713" s="176" t="n">
        <v>48634</v>
      </c>
      <c r="B3713" s="177" t="n">
        <v>48634</v>
      </c>
      <c r="C3713" s="177" t="n">
        <v>1411</v>
      </c>
      <c r="D3713" s="177" t="n">
        <v>12</v>
      </c>
      <c r="E3713" s="178" t="inlineStr">
        <is>
          <t>1411/12/06</t>
        </is>
      </c>
      <c r="F3713" s="134" t="inlineStr">
        <is>
          <t>1411/12</t>
        </is>
      </c>
      <c r="G3713" s="61" t="inlineStr">
        <is>
          <t>اسفند</t>
        </is>
      </c>
      <c r="H3713" s="134" t="inlineStr">
        <is>
          <t>زمستان</t>
        </is>
      </c>
      <c r="I3713" s="134" t="inlineStr">
        <is>
          <t>پنجشنبه</t>
        </is>
      </c>
      <c r="J3713" s="134" t="inlineStr">
        <is>
          <t>بله</t>
        </is>
      </c>
    </row>
    <row r="3714">
      <c r="A3714" s="173" t="n">
        <v>48635</v>
      </c>
      <c r="B3714" s="174" t="n">
        <v>48635</v>
      </c>
      <c r="C3714" s="174" t="n">
        <v>1411</v>
      </c>
      <c r="D3714" s="174" t="n">
        <v>12</v>
      </c>
      <c r="E3714" s="175" t="inlineStr">
        <is>
          <t>1411/12/07</t>
        </is>
      </c>
      <c r="F3714" s="128" t="inlineStr">
        <is>
          <t>1411/12</t>
        </is>
      </c>
      <c r="G3714" s="58" t="inlineStr">
        <is>
          <t>اسفند</t>
        </is>
      </c>
      <c r="H3714" s="128" t="inlineStr">
        <is>
          <t>زمستان</t>
        </is>
      </c>
      <c r="I3714" s="128" t="inlineStr">
        <is>
          <t>جمعه</t>
        </is>
      </c>
      <c r="J3714" s="128" t="inlineStr">
        <is>
          <t>بله</t>
        </is>
      </c>
    </row>
    <row r="3715">
      <c r="A3715" s="176" t="n">
        <v>48636</v>
      </c>
      <c r="B3715" s="177" t="n">
        <v>48636</v>
      </c>
      <c r="C3715" s="177" t="n">
        <v>1411</v>
      </c>
      <c r="D3715" s="177" t="n">
        <v>12</v>
      </c>
      <c r="E3715" s="178" t="inlineStr">
        <is>
          <t>1411/12/08</t>
        </is>
      </c>
      <c r="F3715" s="134" t="inlineStr">
        <is>
          <t>1411/12</t>
        </is>
      </c>
      <c r="G3715" s="61" t="inlineStr">
        <is>
          <t>اسفند</t>
        </is>
      </c>
      <c r="H3715" s="134" t="inlineStr">
        <is>
          <t>زمستان</t>
        </is>
      </c>
      <c r="I3715" s="134" t="inlineStr">
        <is>
          <t>شنبه</t>
        </is>
      </c>
      <c r="J3715" s="134" t="inlineStr">
        <is>
          <t>خیر</t>
        </is>
      </c>
    </row>
    <row r="3716">
      <c r="A3716" s="173" t="n">
        <v>48637</v>
      </c>
      <c r="B3716" s="174" t="n">
        <v>48637</v>
      </c>
      <c r="C3716" s="174" t="n">
        <v>1411</v>
      </c>
      <c r="D3716" s="174" t="n">
        <v>12</v>
      </c>
      <c r="E3716" s="175" t="inlineStr">
        <is>
          <t>1411/12/09</t>
        </is>
      </c>
      <c r="F3716" s="128" t="inlineStr">
        <is>
          <t>1411/12</t>
        </is>
      </c>
      <c r="G3716" s="58" t="inlineStr">
        <is>
          <t>اسفند</t>
        </is>
      </c>
      <c r="H3716" s="128" t="inlineStr">
        <is>
          <t>زمستان</t>
        </is>
      </c>
      <c r="I3716" s="128" t="inlineStr">
        <is>
          <t>یکشنبه</t>
        </is>
      </c>
      <c r="J3716" s="128" t="inlineStr">
        <is>
          <t>خیر</t>
        </is>
      </c>
    </row>
    <row r="3717">
      <c r="A3717" s="176" t="n">
        <v>48638</v>
      </c>
      <c r="B3717" s="177" t="n">
        <v>48638</v>
      </c>
      <c r="C3717" s="177" t="n">
        <v>1411</v>
      </c>
      <c r="D3717" s="177" t="n">
        <v>12</v>
      </c>
      <c r="E3717" s="178" t="inlineStr">
        <is>
          <t>1411/12/10</t>
        </is>
      </c>
      <c r="F3717" s="134" t="inlineStr">
        <is>
          <t>1411/12</t>
        </is>
      </c>
      <c r="G3717" s="61" t="inlineStr">
        <is>
          <t>اسفند</t>
        </is>
      </c>
      <c r="H3717" s="134" t="inlineStr">
        <is>
          <t>زمستان</t>
        </is>
      </c>
      <c r="I3717" s="134" t="inlineStr">
        <is>
          <t>دوشنبه</t>
        </is>
      </c>
      <c r="J3717" s="134" t="inlineStr">
        <is>
          <t>بله</t>
        </is>
      </c>
    </row>
    <row r="3718">
      <c r="A3718" s="173" t="n">
        <v>48639</v>
      </c>
      <c r="B3718" s="174" t="n">
        <v>48639</v>
      </c>
      <c r="C3718" s="174" t="n">
        <v>1411</v>
      </c>
      <c r="D3718" s="174" t="n">
        <v>12</v>
      </c>
      <c r="E3718" s="175" t="inlineStr">
        <is>
          <t>1411/12/11</t>
        </is>
      </c>
      <c r="F3718" s="128" t="inlineStr">
        <is>
          <t>1411/12</t>
        </is>
      </c>
      <c r="G3718" s="58" t="inlineStr">
        <is>
          <t>اسفند</t>
        </is>
      </c>
      <c r="H3718" s="128" t="inlineStr">
        <is>
          <t>زمستان</t>
        </is>
      </c>
      <c r="I3718" s="128" t="inlineStr">
        <is>
          <t>سه‌شنبه</t>
        </is>
      </c>
      <c r="J3718" s="128" t="inlineStr">
        <is>
          <t>بله</t>
        </is>
      </c>
    </row>
    <row r="3719">
      <c r="A3719" s="176" t="n">
        <v>48640</v>
      </c>
      <c r="B3719" s="177" t="n">
        <v>48640</v>
      </c>
      <c r="C3719" s="177" t="n">
        <v>1411</v>
      </c>
      <c r="D3719" s="177" t="n">
        <v>12</v>
      </c>
      <c r="E3719" s="178" t="inlineStr">
        <is>
          <t>1411/12/12</t>
        </is>
      </c>
      <c r="F3719" s="134" t="inlineStr">
        <is>
          <t>1411/12</t>
        </is>
      </c>
      <c r="G3719" s="61" t="inlineStr">
        <is>
          <t>اسفند</t>
        </is>
      </c>
      <c r="H3719" s="134" t="inlineStr">
        <is>
          <t>زمستان</t>
        </is>
      </c>
      <c r="I3719" s="134" t="inlineStr">
        <is>
          <t>چهارشنبه</t>
        </is>
      </c>
      <c r="J3719" s="134" t="inlineStr">
        <is>
          <t>بله</t>
        </is>
      </c>
    </row>
    <row r="3720">
      <c r="A3720" s="173" t="n">
        <v>48641</v>
      </c>
      <c r="B3720" s="174" t="n">
        <v>48641</v>
      </c>
      <c r="C3720" s="174" t="n">
        <v>1411</v>
      </c>
      <c r="D3720" s="174" t="n">
        <v>12</v>
      </c>
      <c r="E3720" s="175" t="inlineStr">
        <is>
          <t>1411/12/13</t>
        </is>
      </c>
      <c r="F3720" s="128" t="inlineStr">
        <is>
          <t>1411/12</t>
        </is>
      </c>
      <c r="G3720" s="58" t="inlineStr">
        <is>
          <t>اسفند</t>
        </is>
      </c>
      <c r="H3720" s="128" t="inlineStr">
        <is>
          <t>زمستان</t>
        </is>
      </c>
      <c r="I3720" s="128" t="inlineStr">
        <is>
          <t>پنجشنبه</t>
        </is>
      </c>
      <c r="J3720" s="128" t="inlineStr">
        <is>
          <t>بله</t>
        </is>
      </c>
    </row>
    <row r="3721">
      <c r="A3721" s="176" t="n">
        <v>48642</v>
      </c>
      <c r="B3721" s="177" t="n">
        <v>48642</v>
      </c>
      <c r="C3721" s="177" t="n">
        <v>1411</v>
      </c>
      <c r="D3721" s="177" t="n">
        <v>12</v>
      </c>
      <c r="E3721" s="178" t="inlineStr">
        <is>
          <t>1411/12/14</t>
        </is>
      </c>
      <c r="F3721" s="134" t="inlineStr">
        <is>
          <t>1411/12</t>
        </is>
      </c>
      <c r="G3721" s="61" t="inlineStr">
        <is>
          <t>اسفند</t>
        </is>
      </c>
      <c r="H3721" s="134" t="inlineStr">
        <is>
          <t>زمستان</t>
        </is>
      </c>
      <c r="I3721" s="134" t="inlineStr">
        <is>
          <t>جمعه</t>
        </is>
      </c>
      <c r="J3721" s="134" t="inlineStr">
        <is>
          <t>بله</t>
        </is>
      </c>
    </row>
    <row r="3722">
      <c r="A3722" s="173" t="n">
        <v>48643</v>
      </c>
      <c r="B3722" s="174" t="n">
        <v>48643</v>
      </c>
      <c r="C3722" s="174" t="n">
        <v>1411</v>
      </c>
      <c r="D3722" s="174" t="n">
        <v>12</v>
      </c>
      <c r="E3722" s="175" t="inlineStr">
        <is>
          <t>1411/12/15</t>
        </is>
      </c>
      <c r="F3722" s="128" t="inlineStr">
        <is>
          <t>1411/12</t>
        </is>
      </c>
      <c r="G3722" s="58" t="inlineStr">
        <is>
          <t>اسفند</t>
        </is>
      </c>
      <c r="H3722" s="128" t="inlineStr">
        <is>
          <t>زمستان</t>
        </is>
      </c>
      <c r="I3722" s="128" t="inlineStr">
        <is>
          <t>شنبه</t>
        </is>
      </c>
      <c r="J3722" s="128" t="inlineStr">
        <is>
          <t>خیر</t>
        </is>
      </c>
    </row>
    <row r="3723">
      <c r="A3723" s="176" t="n">
        <v>48644</v>
      </c>
      <c r="B3723" s="177" t="n">
        <v>48644</v>
      </c>
      <c r="C3723" s="177" t="n">
        <v>1411</v>
      </c>
      <c r="D3723" s="177" t="n">
        <v>12</v>
      </c>
      <c r="E3723" s="178" t="inlineStr">
        <is>
          <t>1411/12/16</t>
        </is>
      </c>
      <c r="F3723" s="134" t="inlineStr">
        <is>
          <t>1411/12</t>
        </is>
      </c>
      <c r="G3723" s="61" t="inlineStr">
        <is>
          <t>اسفند</t>
        </is>
      </c>
      <c r="H3723" s="134" t="inlineStr">
        <is>
          <t>زمستان</t>
        </is>
      </c>
      <c r="I3723" s="134" t="inlineStr">
        <is>
          <t>یکشنبه</t>
        </is>
      </c>
      <c r="J3723" s="134" t="inlineStr">
        <is>
          <t>خیر</t>
        </is>
      </c>
    </row>
    <row r="3724">
      <c r="A3724" s="173" t="n">
        <v>48645</v>
      </c>
      <c r="B3724" s="174" t="n">
        <v>48645</v>
      </c>
      <c r="C3724" s="174" t="n">
        <v>1411</v>
      </c>
      <c r="D3724" s="174" t="n">
        <v>12</v>
      </c>
      <c r="E3724" s="175" t="inlineStr">
        <is>
          <t>1411/12/17</t>
        </is>
      </c>
      <c r="F3724" s="128" t="inlineStr">
        <is>
          <t>1411/12</t>
        </is>
      </c>
      <c r="G3724" s="58" t="inlineStr">
        <is>
          <t>اسفند</t>
        </is>
      </c>
      <c r="H3724" s="128" t="inlineStr">
        <is>
          <t>زمستان</t>
        </is>
      </c>
      <c r="I3724" s="128" t="inlineStr">
        <is>
          <t>دوشنبه</t>
        </is>
      </c>
      <c r="J3724" s="128" t="inlineStr">
        <is>
          <t>بله</t>
        </is>
      </c>
    </row>
    <row r="3725">
      <c r="A3725" s="176" t="n">
        <v>48646</v>
      </c>
      <c r="B3725" s="177" t="n">
        <v>48646</v>
      </c>
      <c r="C3725" s="177" t="n">
        <v>1411</v>
      </c>
      <c r="D3725" s="177" t="n">
        <v>12</v>
      </c>
      <c r="E3725" s="178" t="inlineStr">
        <is>
          <t>1411/12/18</t>
        </is>
      </c>
      <c r="F3725" s="134" t="inlineStr">
        <is>
          <t>1411/12</t>
        </is>
      </c>
      <c r="G3725" s="61" t="inlineStr">
        <is>
          <t>اسفند</t>
        </is>
      </c>
      <c r="H3725" s="134" t="inlineStr">
        <is>
          <t>زمستان</t>
        </is>
      </c>
      <c r="I3725" s="134" t="inlineStr">
        <is>
          <t>سه‌شنبه</t>
        </is>
      </c>
      <c r="J3725" s="134" t="inlineStr">
        <is>
          <t>بله</t>
        </is>
      </c>
    </row>
    <row r="3726">
      <c r="A3726" s="173" t="n">
        <v>48647</v>
      </c>
      <c r="B3726" s="174" t="n">
        <v>48647</v>
      </c>
      <c r="C3726" s="174" t="n">
        <v>1411</v>
      </c>
      <c r="D3726" s="174" t="n">
        <v>12</v>
      </c>
      <c r="E3726" s="175" t="inlineStr">
        <is>
          <t>1411/12/19</t>
        </is>
      </c>
      <c r="F3726" s="128" t="inlineStr">
        <is>
          <t>1411/12</t>
        </is>
      </c>
      <c r="G3726" s="58" t="inlineStr">
        <is>
          <t>اسفند</t>
        </is>
      </c>
      <c r="H3726" s="128" t="inlineStr">
        <is>
          <t>زمستان</t>
        </is>
      </c>
      <c r="I3726" s="128" t="inlineStr">
        <is>
          <t>چهارشنبه</t>
        </is>
      </c>
      <c r="J3726" s="128" t="inlineStr">
        <is>
          <t>بله</t>
        </is>
      </c>
    </row>
    <row r="3727">
      <c r="A3727" s="176" t="n">
        <v>48648</v>
      </c>
      <c r="B3727" s="177" t="n">
        <v>48648</v>
      </c>
      <c r="C3727" s="177" t="n">
        <v>1411</v>
      </c>
      <c r="D3727" s="177" t="n">
        <v>12</v>
      </c>
      <c r="E3727" s="178" t="inlineStr">
        <is>
          <t>1411/12/20</t>
        </is>
      </c>
      <c r="F3727" s="134" t="inlineStr">
        <is>
          <t>1411/12</t>
        </is>
      </c>
      <c r="G3727" s="61" t="inlineStr">
        <is>
          <t>اسفند</t>
        </is>
      </c>
      <c r="H3727" s="134" t="inlineStr">
        <is>
          <t>زمستان</t>
        </is>
      </c>
      <c r="I3727" s="134" t="inlineStr">
        <is>
          <t>پنجشنبه</t>
        </is>
      </c>
      <c r="J3727" s="134" t="inlineStr">
        <is>
          <t>بله</t>
        </is>
      </c>
    </row>
    <row r="3728">
      <c r="A3728" s="173" t="n">
        <v>48649</v>
      </c>
      <c r="B3728" s="174" t="n">
        <v>48649</v>
      </c>
      <c r="C3728" s="174" t="n">
        <v>1411</v>
      </c>
      <c r="D3728" s="174" t="n">
        <v>12</v>
      </c>
      <c r="E3728" s="175" t="inlineStr">
        <is>
          <t>1411/12/21</t>
        </is>
      </c>
      <c r="F3728" s="128" t="inlineStr">
        <is>
          <t>1411/12</t>
        </is>
      </c>
      <c r="G3728" s="58" t="inlineStr">
        <is>
          <t>اسفند</t>
        </is>
      </c>
      <c r="H3728" s="128" t="inlineStr">
        <is>
          <t>زمستان</t>
        </is>
      </c>
      <c r="I3728" s="128" t="inlineStr">
        <is>
          <t>جمعه</t>
        </is>
      </c>
      <c r="J3728" s="128" t="inlineStr">
        <is>
          <t>بله</t>
        </is>
      </c>
    </row>
    <row r="3729">
      <c r="A3729" s="176" t="n">
        <v>48650</v>
      </c>
      <c r="B3729" s="177" t="n">
        <v>48650</v>
      </c>
      <c r="C3729" s="177" t="n">
        <v>1411</v>
      </c>
      <c r="D3729" s="177" t="n">
        <v>12</v>
      </c>
      <c r="E3729" s="178" t="inlineStr">
        <is>
          <t>1411/12/22</t>
        </is>
      </c>
      <c r="F3729" s="134" t="inlineStr">
        <is>
          <t>1411/12</t>
        </is>
      </c>
      <c r="G3729" s="61" t="inlineStr">
        <is>
          <t>اسفند</t>
        </is>
      </c>
      <c r="H3729" s="134" t="inlineStr">
        <is>
          <t>زمستان</t>
        </is>
      </c>
      <c r="I3729" s="134" t="inlineStr">
        <is>
          <t>شنبه</t>
        </is>
      </c>
      <c r="J3729" s="134" t="inlineStr">
        <is>
          <t>خیر</t>
        </is>
      </c>
    </row>
    <row r="3730">
      <c r="A3730" s="173" t="n">
        <v>48651</v>
      </c>
      <c r="B3730" s="174" t="n">
        <v>48651</v>
      </c>
      <c r="C3730" s="174" t="n">
        <v>1411</v>
      </c>
      <c r="D3730" s="174" t="n">
        <v>12</v>
      </c>
      <c r="E3730" s="175" t="inlineStr">
        <is>
          <t>1411/12/23</t>
        </is>
      </c>
      <c r="F3730" s="128" t="inlineStr">
        <is>
          <t>1411/12</t>
        </is>
      </c>
      <c r="G3730" s="58" t="inlineStr">
        <is>
          <t>اسفند</t>
        </is>
      </c>
      <c r="H3730" s="128" t="inlineStr">
        <is>
          <t>زمستان</t>
        </is>
      </c>
      <c r="I3730" s="128" t="inlineStr">
        <is>
          <t>یکشنبه</t>
        </is>
      </c>
      <c r="J3730" s="128" t="inlineStr">
        <is>
          <t>خیر</t>
        </is>
      </c>
    </row>
    <row r="3731">
      <c r="A3731" s="176" t="n">
        <v>48652</v>
      </c>
      <c r="B3731" s="177" t="n">
        <v>48652</v>
      </c>
      <c r="C3731" s="177" t="n">
        <v>1411</v>
      </c>
      <c r="D3731" s="177" t="n">
        <v>12</v>
      </c>
      <c r="E3731" s="178" t="inlineStr">
        <is>
          <t>1411/12/24</t>
        </is>
      </c>
      <c r="F3731" s="134" t="inlineStr">
        <is>
          <t>1411/12</t>
        </is>
      </c>
      <c r="G3731" s="61" t="inlineStr">
        <is>
          <t>اسفند</t>
        </is>
      </c>
      <c r="H3731" s="134" t="inlineStr">
        <is>
          <t>زمستان</t>
        </is>
      </c>
      <c r="I3731" s="134" t="inlineStr">
        <is>
          <t>دوشنبه</t>
        </is>
      </c>
      <c r="J3731" s="134" t="inlineStr">
        <is>
          <t>بله</t>
        </is>
      </c>
    </row>
    <row r="3732">
      <c r="A3732" s="173" t="n">
        <v>48653</v>
      </c>
      <c r="B3732" s="174" t="n">
        <v>48653</v>
      </c>
      <c r="C3732" s="174" t="n">
        <v>1411</v>
      </c>
      <c r="D3732" s="174" t="n">
        <v>12</v>
      </c>
      <c r="E3732" s="175" t="inlineStr">
        <is>
          <t>1411/12/25</t>
        </is>
      </c>
      <c r="F3732" s="128" t="inlineStr">
        <is>
          <t>1411/12</t>
        </is>
      </c>
      <c r="G3732" s="58" t="inlineStr">
        <is>
          <t>اسفند</t>
        </is>
      </c>
      <c r="H3732" s="128" t="inlineStr">
        <is>
          <t>زمستان</t>
        </is>
      </c>
      <c r="I3732" s="128" t="inlineStr">
        <is>
          <t>سه‌شنبه</t>
        </is>
      </c>
      <c r="J3732" s="128" t="inlineStr">
        <is>
          <t>بله</t>
        </is>
      </c>
    </row>
    <row r="3733">
      <c r="A3733" s="176" t="n">
        <v>48654</v>
      </c>
      <c r="B3733" s="177" t="n">
        <v>48654</v>
      </c>
      <c r="C3733" s="177" t="n">
        <v>1411</v>
      </c>
      <c r="D3733" s="177" t="n">
        <v>12</v>
      </c>
      <c r="E3733" s="178" t="inlineStr">
        <is>
          <t>1411/12/26</t>
        </is>
      </c>
      <c r="F3733" s="134" t="inlineStr">
        <is>
          <t>1411/12</t>
        </is>
      </c>
      <c r="G3733" s="61" t="inlineStr">
        <is>
          <t>اسفند</t>
        </is>
      </c>
      <c r="H3733" s="134" t="inlineStr">
        <is>
          <t>زمستان</t>
        </is>
      </c>
      <c r="I3733" s="134" t="inlineStr">
        <is>
          <t>چهارشنبه</t>
        </is>
      </c>
      <c r="J3733" s="134" t="inlineStr">
        <is>
          <t>بله</t>
        </is>
      </c>
    </row>
    <row r="3734">
      <c r="A3734" s="173" t="n">
        <v>48655</v>
      </c>
      <c r="B3734" s="174" t="n">
        <v>48655</v>
      </c>
      <c r="C3734" s="174" t="n">
        <v>1411</v>
      </c>
      <c r="D3734" s="174" t="n">
        <v>12</v>
      </c>
      <c r="E3734" s="175" t="inlineStr">
        <is>
          <t>1411/12/27</t>
        </is>
      </c>
      <c r="F3734" s="128" t="inlineStr">
        <is>
          <t>1411/12</t>
        </is>
      </c>
      <c r="G3734" s="58" t="inlineStr">
        <is>
          <t>اسفند</t>
        </is>
      </c>
      <c r="H3734" s="128" t="inlineStr">
        <is>
          <t>زمستان</t>
        </is>
      </c>
      <c r="I3734" s="128" t="inlineStr">
        <is>
          <t>پنجشنبه</t>
        </is>
      </c>
      <c r="J3734" s="128" t="inlineStr">
        <is>
          <t>بله</t>
        </is>
      </c>
    </row>
    <row r="3735">
      <c r="A3735" s="176" t="n">
        <v>48656</v>
      </c>
      <c r="B3735" s="177" t="n">
        <v>48656</v>
      </c>
      <c r="C3735" s="177" t="n">
        <v>1411</v>
      </c>
      <c r="D3735" s="177" t="n">
        <v>12</v>
      </c>
      <c r="E3735" s="178" t="inlineStr">
        <is>
          <t>1411/12/28</t>
        </is>
      </c>
      <c r="F3735" s="134" t="inlineStr">
        <is>
          <t>1411/12</t>
        </is>
      </c>
      <c r="G3735" s="61" t="inlineStr">
        <is>
          <t>اسفند</t>
        </is>
      </c>
      <c r="H3735" s="134" t="inlineStr">
        <is>
          <t>زمستان</t>
        </is>
      </c>
      <c r="I3735" s="134" t="inlineStr">
        <is>
          <t>جمعه</t>
        </is>
      </c>
      <c r="J3735" s="134" t="inlineStr">
        <is>
          <t>بله</t>
        </is>
      </c>
    </row>
    <row r="3736">
      <c r="A3736" s="173" t="n">
        <v>48657</v>
      </c>
      <c r="B3736" s="174" t="n">
        <v>48657</v>
      </c>
      <c r="C3736" s="174" t="n">
        <v>1411</v>
      </c>
      <c r="D3736" s="174" t="n">
        <v>12</v>
      </c>
      <c r="E3736" s="175" t="inlineStr">
        <is>
          <t>1411/12/29</t>
        </is>
      </c>
      <c r="F3736" s="128" t="inlineStr">
        <is>
          <t>1411/12</t>
        </is>
      </c>
      <c r="G3736" s="58" t="inlineStr">
        <is>
          <t>اسفند</t>
        </is>
      </c>
      <c r="H3736" s="128" t="inlineStr">
        <is>
          <t>زمستان</t>
        </is>
      </c>
      <c r="I3736" s="128" t="inlineStr">
        <is>
          <t>شنبه</t>
        </is>
      </c>
      <c r="J3736" s="128" t="inlineStr">
        <is>
          <t>خیر</t>
        </is>
      </c>
    </row>
    <row r="3737">
      <c r="A3737" s="176" t="n">
        <v>48658</v>
      </c>
      <c r="B3737" s="177" t="n">
        <v>48658</v>
      </c>
      <c r="C3737" s="177" t="n">
        <v>1412</v>
      </c>
      <c r="D3737" s="177" t="n">
        <v>1</v>
      </c>
      <c r="E3737" s="178" t="inlineStr">
        <is>
          <t>1412/01/01</t>
        </is>
      </c>
      <c r="F3737" s="134" t="inlineStr">
        <is>
          <t>1412/01</t>
        </is>
      </c>
      <c r="G3737" s="61" t="inlineStr">
        <is>
          <t>فروردین</t>
        </is>
      </c>
      <c r="H3737" s="134" t="inlineStr">
        <is>
          <t>بهار</t>
        </is>
      </c>
      <c r="I3737" s="134" t="inlineStr">
        <is>
          <t>یکشنبه</t>
        </is>
      </c>
      <c r="J3737" s="134" t="inlineStr">
        <is>
          <t>خیر</t>
        </is>
      </c>
    </row>
    <row r="3738">
      <c r="A3738" s="173" t="n">
        <v>48659</v>
      </c>
      <c r="B3738" s="174" t="n">
        <v>48659</v>
      </c>
      <c r="C3738" s="174" t="n">
        <v>1412</v>
      </c>
      <c r="D3738" s="174" t="n">
        <v>1</v>
      </c>
      <c r="E3738" s="175" t="inlineStr">
        <is>
          <t>1412/01/02</t>
        </is>
      </c>
      <c r="F3738" s="128" t="inlineStr">
        <is>
          <t>1412/01</t>
        </is>
      </c>
      <c r="G3738" s="58" t="inlineStr">
        <is>
          <t>فروردین</t>
        </is>
      </c>
      <c r="H3738" s="128" t="inlineStr">
        <is>
          <t>بهار</t>
        </is>
      </c>
      <c r="I3738" s="128" t="inlineStr">
        <is>
          <t>دوشنبه</t>
        </is>
      </c>
      <c r="J3738" s="128" t="inlineStr">
        <is>
          <t>بله</t>
        </is>
      </c>
    </row>
    <row r="3739">
      <c r="A3739" s="176" t="n">
        <v>48660</v>
      </c>
      <c r="B3739" s="177" t="n">
        <v>48660</v>
      </c>
      <c r="C3739" s="177" t="n">
        <v>1412</v>
      </c>
      <c r="D3739" s="177" t="n">
        <v>1</v>
      </c>
      <c r="E3739" s="178" t="inlineStr">
        <is>
          <t>1412/01/03</t>
        </is>
      </c>
      <c r="F3739" s="134" t="inlineStr">
        <is>
          <t>1412/01</t>
        </is>
      </c>
      <c r="G3739" s="61" t="inlineStr">
        <is>
          <t>فروردین</t>
        </is>
      </c>
      <c r="H3739" s="134" t="inlineStr">
        <is>
          <t>بهار</t>
        </is>
      </c>
      <c r="I3739" s="134" t="inlineStr">
        <is>
          <t>سه‌شنبه</t>
        </is>
      </c>
      <c r="J3739" s="134" t="inlineStr">
        <is>
          <t>بله</t>
        </is>
      </c>
    </row>
    <row r="3740">
      <c r="A3740" s="173" t="n">
        <v>48661</v>
      </c>
      <c r="B3740" s="174" t="n">
        <v>48661</v>
      </c>
      <c r="C3740" s="174" t="n">
        <v>1412</v>
      </c>
      <c r="D3740" s="174" t="n">
        <v>1</v>
      </c>
      <c r="E3740" s="175" t="inlineStr">
        <is>
          <t>1412/01/04</t>
        </is>
      </c>
      <c r="F3740" s="128" t="inlineStr">
        <is>
          <t>1412/01</t>
        </is>
      </c>
      <c r="G3740" s="58" t="inlineStr">
        <is>
          <t>فروردین</t>
        </is>
      </c>
      <c r="H3740" s="128" t="inlineStr">
        <is>
          <t>بهار</t>
        </is>
      </c>
      <c r="I3740" s="128" t="inlineStr">
        <is>
          <t>چهارشنبه</t>
        </is>
      </c>
      <c r="J3740" s="128" t="inlineStr">
        <is>
          <t>بله</t>
        </is>
      </c>
    </row>
    <row r="3741">
      <c r="A3741" s="176" t="n">
        <v>48662</v>
      </c>
      <c r="B3741" s="177" t="n">
        <v>48662</v>
      </c>
      <c r="C3741" s="177" t="n">
        <v>1412</v>
      </c>
      <c r="D3741" s="177" t="n">
        <v>1</v>
      </c>
      <c r="E3741" s="178" t="inlineStr">
        <is>
          <t>1412/01/05</t>
        </is>
      </c>
      <c r="F3741" s="134" t="inlineStr">
        <is>
          <t>1412/01</t>
        </is>
      </c>
      <c r="G3741" s="61" t="inlineStr">
        <is>
          <t>فروردین</t>
        </is>
      </c>
      <c r="H3741" s="134" t="inlineStr">
        <is>
          <t>بهار</t>
        </is>
      </c>
      <c r="I3741" s="134" t="inlineStr">
        <is>
          <t>پنجشنبه</t>
        </is>
      </c>
      <c r="J3741" s="134" t="inlineStr">
        <is>
          <t>بله</t>
        </is>
      </c>
    </row>
    <row r="3742">
      <c r="A3742" s="173" t="n">
        <v>48663</v>
      </c>
      <c r="B3742" s="174" t="n">
        <v>48663</v>
      </c>
      <c r="C3742" s="174" t="n">
        <v>1412</v>
      </c>
      <c r="D3742" s="174" t="n">
        <v>1</v>
      </c>
      <c r="E3742" s="175" t="inlineStr">
        <is>
          <t>1412/01/06</t>
        </is>
      </c>
      <c r="F3742" s="128" t="inlineStr">
        <is>
          <t>1412/01</t>
        </is>
      </c>
      <c r="G3742" s="58" t="inlineStr">
        <is>
          <t>فروردین</t>
        </is>
      </c>
      <c r="H3742" s="128" t="inlineStr">
        <is>
          <t>بهار</t>
        </is>
      </c>
      <c r="I3742" s="128" t="inlineStr">
        <is>
          <t>جمعه</t>
        </is>
      </c>
      <c r="J3742" s="128" t="inlineStr">
        <is>
          <t>بله</t>
        </is>
      </c>
    </row>
    <row r="3743">
      <c r="A3743" s="176" t="n">
        <v>48664</v>
      </c>
      <c r="B3743" s="177" t="n">
        <v>48664</v>
      </c>
      <c r="C3743" s="177" t="n">
        <v>1412</v>
      </c>
      <c r="D3743" s="177" t="n">
        <v>1</v>
      </c>
      <c r="E3743" s="178" t="inlineStr">
        <is>
          <t>1412/01/07</t>
        </is>
      </c>
      <c r="F3743" s="134" t="inlineStr">
        <is>
          <t>1412/01</t>
        </is>
      </c>
      <c r="G3743" s="61" t="inlineStr">
        <is>
          <t>فروردین</t>
        </is>
      </c>
      <c r="H3743" s="134" t="inlineStr">
        <is>
          <t>بهار</t>
        </is>
      </c>
      <c r="I3743" s="134" t="inlineStr">
        <is>
          <t>شنبه</t>
        </is>
      </c>
      <c r="J3743" s="134" t="inlineStr">
        <is>
          <t>خیر</t>
        </is>
      </c>
    </row>
    <row r="3744">
      <c r="A3744" s="173" t="n">
        <v>48665</v>
      </c>
      <c r="B3744" s="174" t="n">
        <v>48665</v>
      </c>
      <c r="C3744" s="174" t="n">
        <v>1412</v>
      </c>
      <c r="D3744" s="174" t="n">
        <v>1</v>
      </c>
      <c r="E3744" s="175" t="inlineStr">
        <is>
          <t>1412/01/08</t>
        </is>
      </c>
      <c r="F3744" s="128" t="inlineStr">
        <is>
          <t>1412/01</t>
        </is>
      </c>
      <c r="G3744" s="58" t="inlineStr">
        <is>
          <t>فروردین</t>
        </is>
      </c>
      <c r="H3744" s="128" t="inlineStr">
        <is>
          <t>بهار</t>
        </is>
      </c>
      <c r="I3744" s="128" t="inlineStr">
        <is>
          <t>یکشنبه</t>
        </is>
      </c>
      <c r="J3744" s="128" t="inlineStr">
        <is>
          <t>خیر</t>
        </is>
      </c>
    </row>
    <row r="3745">
      <c r="A3745" s="176" t="n">
        <v>48666</v>
      </c>
      <c r="B3745" s="177" t="n">
        <v>48666</v>
      </c>
      <c r="C3745" s="177" t="n">
        <v>1412</v>
      </c>
      <c r="D3745" s="177" t="n">
        <v>1</v>
      </c>
      <c r="E3745" s="178" t="inlineStr">
        <is>
          <t>1412/01/09</t>
        </is>
      </c>
      <c r="F3745" s="134" t="inlineStr">
        <is>
          <t>1412/01</t>
        </is>
      </c>
      <c r="G3745" s="61" t="inlineStr">
        <is>
          <t>فروردین</t>
        </is>
      </c>
      <c r="H3745" s="134" t="inlineStr">
        <is>
          <t>بهار</t>
        </is>
      </c>
      <c r="I3745" s="134" t="inlineStr">
        <is>
          <t>دوشنبه</t>
        </is>
      </c>
      <c r="J3745" s="134" t="inlineStr">
        <is>
          <t>بله</t>
        </is>
      </c>
    </row>
    <row r="3746">
      <c r="A3746" s="173" t="n">
        <v>48667</v>
      </c>
      <c r="B3746" s="174" t="n">
        <v>48667</v>
      </c>
      <c r="C3746" s="174" t="n">
        <v>1412</v>
      </c>
      <c r="D3746" s="174" t="n">
        <v>1</v>
      </c>
      <c r="E3746" s="175" t="inlineStr">
        <is>
          <t>1412/01/10</t>
        </is>
      </c>
      <c r="F3746" s="128" t="inlineStr">
        <is>
          <t>1412/01</t>
        </is>
      </c>
      <c r="G3746" s="58" t="inlineStr">
        <is>
          <t>فروردین</t>
        </is>
      </c>
      <c r="H3746" s="128" t="inlineStr">
        <is>
          <t>بهار</t>
        </is>
      </c>
      <c r="I3746" s="128" t="inlineStr">
        <is>
          <t>سه‌شنبه</t>
        </is>
      </c>
      <c r="J3746" s="128" t="inlineStr">
        <is>
          <t>بله</t>
        </is>
      </c>
    </row>
    <row r="3747">
      <c r="A3747" s="176" t="n">
        <v>48668</v>
      </c>
      <c r="B3747" s="177" t="n">
        <v>48668</v>
      </c>
      <c r="C3747" s="177" t="n">
        <v>1412</v>
      </c>
      <c r="D3747" s="177" t="n">
        <v>1</v>
      </c>
      <c r="E3747" s="178" t="inlineStr">
        <is>
          <t>1412/01/11</t>
        </is>
      </c>
      <c r="F3747" s="134" t="inlineStr">
        <is>
          <t>1412/01</t>
        </is>
      </c>
      <c r="G3747" s="61" t="inlineStr">
        <is>
          <t>فروردین</t>
        </is>
      </c>
      <c r="H3747" s="134" t="inlineStr">
        <is>
          <t>بهار</t>
        </is>
      </c>
      <c r="I3747" s="134" t="inlineStr">
        <is>
          <t>چهارشنبه</t>
        </is>
      </c>
      <c r="J3747" s="134" t="inlineStr">
        <is>
          <t>بله</t>
        </is>
      </c>
    </row>
    <row r="3748">
      <c r="A3748" s="173" t="n">
        <v>48669</v>
      </c>
      <c r="B3748" s="174" t="n">
        <v>48669</v>
      </c>
      <c r="C3748" s="174" t="n">
        <v>1412</v>
      </c>
      <c r="D3748" s="174" t="n">
        <v>1</v>
      </c>
      <c r="E3748" s="175" t="inlineStr">
        <is>
          <t>1412/01/12</t>
        </is>
      </c>
      <c r="F3748" s="128" t="inlineStr">
        <is>
          <t>1412/01</t>
        </is>
      </c>
      <c r="G3748" s="58" t="inlineStr">
        <is>
          <t>فروردین</t>
        </is>
      </c>
      <c r="H3748" s="128" t="inlineStr">
        <is>
          <t>بهار</t>
        </is>
      </c>
      <c r="I3748" s="128" t="inlineStr">
        <is>
          <t>پنجشنبه</t>
        </is>
      </c>
      <c r="J3748" s="128" t="inlineStr">
        <is>
          <t>بله</t>
        </is>
      </c>
    </row>
    <row r="3749">
      <c r="A3749" s="176" t="n">
        <v>48670</v>
      </c>
      <c r="B3749" s="177" t="n">
        <v>48670</v>
      </c>
      <c r="C3749" s="177" t="n">
        <v>1412</v>
      </c>
      <c r="D3749" s="177" t="n">
        <v>1</v>
      </c>
      <c r="E3749" s="178" t="inlineStr">
        <is>
          <t>1412/01/13</t>
        </is>
      </c>
      <c r="F3749" s="134" t="inlineStr">
        <is>
          <t>1412/01</t>
        </is>
      </c>
      <c r="G3749" s="61" t="inlineStr">
        <is>
          <t>فروردین</t>
        </is>
      </c>
      <c r="H3749" s="134" t="inlineStr">
        <is>
          <t>بهار</t>
        </is>
      </c>
      <c r="I3749" s="134" t="inlineStr">
        <is>
          <t>جمعه</t>
        </is>
      </c>
      <c r="J3749" s="134" t="inlineStr">
        <is>
          <t>بله</t>
        </is>
      </c>
    </row>
    <row r="3750">
      <c r="A3750" s="173" t="n">
        <v>48671</v>
      </c>
      <c r="B3750" s="174" t="n">
        <v>48671</v>
      </c>
      <c r="C3750" s="174" t="n">
        <v>1412</v>
      </c>
      <c r="D3750" s="174" t="n">
        <v>1</v>
      </c>
      <c r="E3750" s="175" t="inlineStr">
        <is>
          <t>1412/01/14</t>
        </is>
      </c>
      <c r="F3750" s="128" t="inlineStr">
        <is>
          <t>1412/01</t>
        </is>
      </c>
      <c r="G3750" s="58" t="inlineStr">
        <is>
          <t>فروردین</t>
        </is>
      </c>
      <c r="H3750" s="128" t="inlineStr">
        <is>
          <t>بهار</t>
        </is>
      </c>
      <c r="I3750" s="128" t="inlineStr">
        <is>
          <t>شنبه</t>
        </is>
      </c>
      <c r="J3750" s="128" t="inlineStr">
        <is>
          <t>خیر</t>
        </is>
      </c>
    </row>
    <row r="3751">
      <c r="A3751" s="176" t="n">
        <v>48672</v>
      </c>
      <c r="B3751" s="177" t="n">
        <v>48672</v>
      </c>
      <c r="C3751" s="177" t="n">
        <v>1412</v>
      </c>
      <c r="D3751" s="177" t="n">
        <v>1</v>
      </c>
      <c r="E3751" s="178" t="inlineStr">
        <is>
          <t>1412/01/15</t>
        </is>
      </c>
      <c r="F3751" s="134" t="inlineStr">
        <is>
          <t>1412/01</t>
        </is>
      </c>
      <c r="G3751" s="61" t="inlineStr">
        <is>
          <t>فروردین</t>
        </is>
      </c>
      <c r="H3751" s="134" t="inlineStr">
        <is>
          <t>بهار</t>
        </is>
      </c>
      <c r="I3751" s="134" t="inlineStr">
        <is>
          <t>یکشنبه</t>
        </is>
      </c>
      <c r="J3751" s="134" t="inlineStr">
        <is>
          <t>خیر</t>
        </is>
      </c>
    </row>
    <row r="3752">
      <c r="A3752" s="173" t="n">
        <v>48673</v>
      </c>
      <c r="B3752" s="174" t="n">
        <v>48673</v>
      </c>
      <c r="C3752" s="174" t="n">
        <v>1412</v>
      </c>
      <c r="D3752" s="174" t="n">
        <v>1</v>
      </c>
      <c r="E3752" s="175" t="inlineStr">
        <is>
          <t>1412/01/16</t>
        </is>
      </c>
      <c r="F3752" s="128" t="inlineStr">
        <is>
          <t>1412/01</t>
        </is>
      </c>
      <c r="G3752" s="58" t="inlineStr">
        <is>
          <t>فروردین</t>
        </is>
      </c>
      <c r="H3752" s="128" t="inlineStr">
        <is>
          <t>بهار</t>
        </is>
      </c>
      <c r="I3752" s="128" t="inlineStr">
        <is>
          <t>دوشنبه</t>
        </is>
      </c>
      <c r="J3752" s="128" t="inlineStr">
        <is>
          <t>بله</t>
        </is>
      </c>
    </row>
    <row r="3753">
      <c r="A3753" s="176" t="n">
        <v>48674</v>
      </c>
      <c r="B3753" s="177" t="n">
        <v>48674</v>
      </c>
      <c r="C3753" s="177" t="n">
        <v>1412</v>
      </c>
      <c r="D3753" s="177" t="n">
        <v>1</v>
      </c>
      <c r="E3753" s="178" t="inlineStr">
        <is>
          <t>1412/01/17</t>
        </is>
      </c>
      <c r="F3753" s="134" t="inlineStr">
        <is>
          <t>1412/01</t>
        </is>
      </c>
      <c r="G3753" s="61" t="inlineStr">
        <is>
          <t>فروردین</t>
        </is>
      </c>
      <c r="H3753" s="134" t="inlineStr">
        <is>
          <t>بهار</t>
        </is>
      </c>
      <c r="I3753" s="134" t="inlineStr">
        <is>
          <t>سه‌شنبه</t>
        </is>
      </c>
      <c r="J3753" s="134" t="inlineStr">
        <is>
          <t>بله</t>
        </is>
      </c>
    </row>
    <row r="3754">
      <c r="A3754" s="173" t="n">
        <v>48675</v>
      </c>
      <c r="B3754" s="174" t="n">
        <v>48675</v>
      </c>
      <c r="C3754" s="174" t="n">
        <v>1412</v>
      </c>
      <c r="D3754" s="174" t="n">
        <v>1</v>
      </c>
      <c r="E3754" s="175" t="inlineStr">
        <is>
          <t>1412/01/18</t>
        </is>
      </c>
      <c r="F3754" s="128" t="inlineStr">
        <is>
          <t>1412/01</t>
        </is>
      </c>
      <c r="G3754" s="58" t="inlineStr">
        <is>
          <t>فروردین</t>
        </is>
      </c>
      <c r="H3754" s="128" t="inlineStr">
        <is>
          <t>بهار</t>
        </is>
      </c>
      <c r="I3754" s="128" t="inlineStr">
        <is>
          <t>چهارشنبه</t>
        </is>
      </c>
      <c r="J3754" s="128" t="inlineStr">
        <is>
          <t>بله</t>
        </is>
      </c>
    </row>
    <row r="3755">
      <c r="A3755" s="176" t="n">
        <v>48676</v>
      </c>
      <c r="B3755" s="177" t="n">
        <v>48676</v>
      </c>
      <c r="C3755" s="177" t="n">
        <v>1412</v>
      </c>
      <c r="D3755" s="177" t="n">
        <v>1</v>
      </c>
      <c r="E3755" s="178" t="inlineStr">
        <is>
          <t>1412/01/19</t>
        </is>
      </c>
      <c r="F3755" s="134" t="inlineStr">
        <is>
          <t>1412/01</t>
        </is>
      </c>
      <c r="G3755" s="61" t="inlineStr">
        <is>
          <t>فروردین</t>
        </is>
      </c>
      <c r="H3755" s="134" t="inlineStr">
        <is>
          <t>بهار</t>
        </is>
      </c>
      <c r="I3755" s="134" t="inlineStr">
        <is>
          <t>پنجشنبه</t>
        </is>
      </c>
      <c r="J3755" s="134" t="inlineStr">
        <is>
          <t>بله</t>
        </is>
      </c>
    </row>
    <row r="3756">
      <c r="A3756" s="173" t="n">
        <v>48677</v>
      </c>
      <c r="B3756" s="174" t="n">
        <v>48677</v>
      </c>
      <c r="C3756" s="174" t="n">
        <v>1412</v>
      </c>
      <c r="D3756" s="174" t="n">
        <v>1</v>
      </c>
      <c r="E3756" s="175" t="inlineStr">
        <is>
          <t>1412/01/20</t>
        </is>
      </c>
      <c r="F3756" s="128" t="inlineStr">
        <is>
          <t>1412/01</t>
        </is>
      </c>
      <c r="G3756" s="58" t="inlineStr">
        <is>
          <t>فروردین</t>
        </is>
      </c>
      <c r="H3756" s="128" t="inlineStr">
        <is>
          <t>بهار</t>
        </is>
      </c>
      <c r="I3756" s="128" t="inlineStr">
        <is>
          <t>جمعه</t>
        </is>
      </c>
      <c r="J3756" s="128" t="inlineStr">
        <is>
          <t>بله</t>
        </is>
      </c>
    </row>
    <row r="3757">
      <c r="A3757" s="176" t="n">
        <v>48678</v>
      </c>
      <c r="B3757" s="177" t="n">
        <v>48678</v>
      </c>
      <c r="C3757" s="177" t="n">
        <v>1412</v>
      </c>
      <c r="D3757" s="177" t="n">
        <v>1</v>
      </c>
      <c r="E3757" s="178" t="inlineStr">
        <is>
          <t>1412/01/21</t>
        </is>
      </c>
      <c r="F3757" s="134" t="inlineStr">
        <is>
          <t>1412/01</t>
        </is>
      </c>
      <c r="G3757" s="61" t="inlineStr">
        <is>
          <t>فروردین</t>
        </is>
      </c>
      <c r="H3757" s="134" t="inlineStr">
        <is>
          <t>بهار</t>
        </is>
      </c>
      <c r="I3757" s="134" t="inlineStr">
        <is>
          <t>شنبه</t>
        </is>
      </c>
      <c r="J3757" s="134" t="inlineStr">
        <is>
          <t>خیر</t>
        </is>
      </c>
    </row>
    <row r="3758">
      <c r="A3758" s="173" t="n">
        <v>48679</v>
      </c>
      <c r="B3758" s="174" t="n">
        <v>48679</v>
      </c>
      <c r="C3758" s="174" t="n">
        <v>1412</v>
      </c>
      <c r="D3758" s="174" t="n">
        <v>1</v>
      </c>
      <c r="E3758" s="175" t="inlineStr">
        <is>
          <t>1412/01/22</t>
        </is>
      </c>
      <c r="F3758" s="128" t="inlineStr">
        <is>
          <t>1412/01</t>
        </is>
      </c>
      <c r="G3758" s="58" t="inlineStr">
        <is>
          <t>فروردین</t>
        </is>
      </c>
      <c r="H3758" s="128" t="inlineStr">
        <is>
          <t>بهار</t>
        </is>
      </c>
      <c r="I3758" s="128" t="inlineStr">
        <is>
          <t>یکشنبه</t>
        </is>
      </c>
      <c r="J3758" s="128" t="inlineStr">
        <is>
          <t>خیر</t>
        </is>
      </c>
    </row>
    <row r="3759">
      <c r="A3759" s="176" t="n">
        <v>48680</v>
      </c>
      <c r="B3759" s="177" t="n">
        <v>48680</v>
      </c>
      <c r="C3759" s="177" t="n">
        <v>1412</v>
      </c>
      <c r="D3759" s="177" t="n">
        <v>1</v>
      </c>
      <c r="E3759" s="178" t="inlineStr">
        <is>
          <t>1412/01/23</t>
        </is>
      </c>
      <c r="F3759" s="134" t="inlineStr">
        <is>
          <t>1412/01</t>
        </is>
      </c>
      <c r="G3759" s="61" t="inlineStr">
        <is>
          <t>فروردین</t>
        </is>
      </c>
      <c r="H3759" s="134" t="inlineStr">
        <is>
          <t>بهار</t>
        </is>
      </c>
      <c r="I3759" s="134" t="inlineStr">
        <is>
          <t>دوشنبه</t>
        </is>
      </c>
      <c r="J3759" s="134" t="inlineStr">
        <is>
          <t>بله</t>
        </is>
      </c>
    </row>
    <row r="3760">
      <c r="A3760" s="173" t="n">
        <v>48681</v>
      </c>
      <c r="B3760" s="174" t="n">
        <v>48681</v>
      </c>
      <c r="C3760" s="174" t="n">
        <v>1412</v>
      </c>
      <c r="D3760" s="174" t="n">
        <v>1</v>
      </c>
      <c r="E3760" s="175" t="inlineStr">
        <is>
          <t>1412/01/24</t>
        </is>
      </c>
      <c r="F3760" s="128" t="inlineStr">
        <is>
          <t>1412/01</t>
        </is>
      </c>
      <c r="G3760" s="58" t="inlineStr">
        <is>
          <t>فروردین</t>
        </is>
      </c>
      <c r="H3760" s="128" t="inlineStr">
        <is>
          <t>بهار</t>
        </is>
      </c>
      <c r="I3760" s="128" t="inlineStr">
        <is>
          <t>سه‌شنبه</t>
        </is>
      </c>
      <c r="J3760" s="128" t="inlineStr">
        <is>
          <t>بله</t>
        </is>
      </c>
    </row>
    <row r="3761">
      <c r="A3761" s="176" t="n">
        <v>48682</v>
      </c>
      <c r="B3761" s="177" t="n">
        <v>48682</v>
      </c>
      <c r="C3761" s="177" t="n">
        <v>1412</v>
      </c>
      <c r="D3761" s="177" t="n">
        <v>1</v>
      </c>
      <c r="E3761" s="178" t="inlineStr">
        <is>
          <t>1412/01/25</t>
        </is>
      </c>
      <c r="F3761" s="134" t="inlineStr">
        <is>
          <t>1412/01</t>
        </is>
      </c>
      <c r="G3761" s="61" t="inlineStr">
        <is>
          <t>فروردین</t>
        </is>
      </c>
      <c r="H3761" s="134" t="inlineStr">
        <is>
          <t>بهار</t>
        </is>
      </c>
      <c r="I3761" s="134" t="inlineStr">
        <is>
          <t>چهارشنبه</t>
        </is>
      </c>
      <c r="J3761" s="134" t="inlineStr">
        <is>
          <t>بله</t>
        </is>
      </c>
    </row>
    <row r="3762">
      <c r="A3762" s="173" t="n">
        <v>48683</v>
      </c>
      <c r="B3762" s="174" t="n">
        <v>48683</v>
      </c>
      <c r="C3762" s="174" t="n">
        <v>1412</v>
      </c>
      <c r="D3762" s="174" t="n">
        <v>1</v>
      </c>
      <c r="E3762" s="175" t="inlineStr">
        <is>
          <t>1412/01/26</t>
        </is>
      </c>
      <c r="F3762" s="128" t="inlineStr">
        <is>
          <t>1412/01</t>
        </is>
      </c>
      <c r="G3762" s="58" t="inlineStr">
        <is>
          <t>فروردین</t>
        </is>
      </c>
      <c r="H3762" s="128" t="inlineStr">
        <is>
          <t>بهار</t>
        </is>
      </c>
      <c r="I3762" s="128" t="inlineStr">
        <is>
          <t>پنجشنبه</t>
        </is>
      </c>
      <c r="J3762" s="128" t="inlineStr">
        <is>
          <t>بله</t>
        </is>
      </c>
    </row>
    <row r="3763">
      <c r="A3763" s="176" t="n">
        <v>48684</v>
      </c>
      <c r="B3763" s="177" t="n">
        <v>48684</v>
      </c>
      <c r="C3763" s="177" t="n">
        <v>1412</v>
      </c>
      <c r="D3763" s="177" t="n">
        <v>1</v>
      </c>
      <c r="E3763" s="178" t="inlineStr">
        <is>
          <t>1412/01/27</t>
        </is>
      </c>
      <c r="F3763" s="134" t="inlineStr">
        <is>
          <t>1412/01</t>
        </is>
      </c>
      <c r="G3763" s="61" t="inlineStr">
        <is>
          <t>فروردین</t>
        </is>
      </c>
      <c r="H3763" s="134" t="inlineStr">
        <is>
          <t>بهار</t>
        </is>
      </c>
      <c r="I3763" s="134" t="inlineStr">
        <is>
          <t>جمعه</t>
        </is>
      </c>
      <c r="J3763" s="134" t="inlineStr">
        <is>
          <t>بله</t>
        </is>
      </c>
    </row>
    <row r="3764">
      <c r="A3764" s="173" t="n">
        <v>48685</v>
      </c>
      <c r="B3764" s="174" t="n">
        <v>48685</v>
      </c>
      <c r="C3764" s="174" t="n">
        <v>1412</v>
      </c>
      <c r="D3764" s="174" t="n">
        <v>1</v>
      </c>
      <c r="E3764" s="175" t="inlineStr">
        <is>
          <t>1412/01/28</t>
        </is>
      </c>
      <c r="F3764" s="128" t="inlineStr">
        <is>
          <t>1412/01</t>
        </is>
      </c>
      <c r="G3764" s="58" t="inlineStr">
        <is>
          <t>فروردین</t>
        </is>
      </c>
      <c r="H3764" s="128" t="inlineStr">
        <is>
          <t>بهار</t>
        </is>
      </c>
      <c r="I3764" s="128" t="inlineStr">
        <is>
          <t>شنبه</t>
        </is>
      </c>
      <c r="J3764" s="128" t="inlineStr">
        <is>
          <t>خیر</t>
        </is>
      </c>
    </row>
    <row r="3765">
      <c r="A3765" s="176" t="n">
        <v>48686</v>
      </c>
      <c r="B3765" s="177" t="n">
        <v>48686</v>
      </c>
      <c r="C3765" s="177" t="n">
        <v>1412</v>
      </c>
      <c r="D3765" s="177" t="n">
        <v>1</v>
      </c>
      <c r="E3765" s="178" t="inlineStr">
        <is>
          <t>1412/01/29</t>
        </is>
      </c>
      <c r="F3765" s="134" t="inlineStr">
        <is>
          <t>1412/01</t>
        </is>
      </c>
      <c r="G3765" s="61" t="inlineStr">
        <is>
          <t>فروردین</t>
        </is>
      </c>
      <c r="H3765" s="134" t="inlineStr">
        <is>
          <t>بهار</t>
        </is>
      </c>
      <c r="I3765" s="134" t="inlineStr">
        <is>
          <t>یکشنبه</t>
        </is>
      </c>
      <c r="J3765" s="134" t="inlineStr">
        <is>
          <t>خیر</t>
        </is>
      </c>
    </row>
    <row r="3766">
      <c r="A3766" s="173" t="n">
        <v>48687</v>
      </c>
      <c r="B3766" s="174" t="n">
        <v>48687</v>
      </c>
      <c r="C3766" s="174" t="n">
        <v>1412</v>
      </c>
      <c r="D3766" s="174" t="n">
        <v>1</v>
      </c>
      <c r="E3766" s="175" t="inlineStr">
        <is>
          <t>1412/01/30</t>
        </is>
      </c>
      <c r="F3766" s="128" t="inlineStr">
        <is>
          <t>1412/01</t>
        </is>
      </c>
      <c r="G3766" s="58" t="inlineStr">
        <is>
          <t>فروردین</t>
        </is>
      </c>
      <c r="H3766" s="128" t="inlineStr">
        <is>
          <t>بهار</t>
        </is>
      </c>
      <c r="I3766" s="128" t="inlineStr">
        <is>
          <t>دوشنبه</t>
        </is>
      </c>
      <c r="J3766" s="128" t="inlineStr">
        <is>
          <t>بله</t>
        </is>
      </c>
    </row>
    <row r="3767">
      <c r="A3767" s="176" t="n">
        <v>48688</v>
      </c>
      <c r="B3767" s="177" t="n">
        <v>48688</v>
      </c>
      <c r="C3767" s="177" t="n">
        <v>1412</v>
      </c>
      <c r="D3767" s="177" t="n">
        <v>1</v>
      </c>
      <c r="E3767" s="178" t="inlineStr">
        <is>
          <t>1412/01/31</t>
        </is>
      </c>
      <c r="F3767" s="134" t="inlineStr">
        <is>
          <t>1412/01</t>
        </is>
      </c>
      <c r="G3767" s="61" t="inlineStr">
        <is>
          <t>فروردین</t>
        </is>
      </c>
      <c r="H3767" s="134" t="inlineStr">
        <is>
          <t>بهار</t>
        </is>
      </c>
      <c r="I3767" s="134" t="inlineStr">
        <is>
          <t>سه‌شنبه</t>
        </is>
      </c>
      <c r="J3767" s="134" t="inlineStr">
        <is>
          <t>بله</t>
        </is>
      </c>
    </row>
    <row r="3768">
      <c r="A3768" s="173" t="n">
        <v>48689</v>
      </c>
      <c r="B3768" s="174" t="n">
        <v>48689</v>
      </c>
      <c r="C3768" s="174" t="n">
        <v>1412</v>
      </c>
      <c r="D3768" s="174" t="n">
        <v>2</v>
      </c>
      <c r="E3768" s="175" t="inlineStr">
        <is>
          <t>1412/02/01</t>
        </is>
      </c>
      <c r="F3768" s="128" t="inlineStr">
        <is>
          <t>1412/02</t>
        </is>
      </c>
      <c r="G3768" s="58" t="inlineStr">
        <is>
          <t>اردیبهشت</t>
        </is>
      </c>
      <c r="H3768" s="128" t="inlineStr">
        <is>
          <t>بهار</t>
        </is>
      </c>
      <c r="I3768" s="128" t="inlineStr">
        <is>
          <t>چهارشنبه</t>
        </is>
      </c>
      <c r="J3768" s="128" t="inlineStr">
        <is>
          <t>بله</t>
        </is>
      </c>
    </row>
    <row r="3769">
      <c r="A3769" s="176" t="n">
        <v>48690</v>
      </c>
      <c r="B3769" s="177" t="n">
        <v>48690</v>
      </c>
      <c r="C3769" s="177" t="n">
        <v>1412</v>
      </c>
      <c r="D3769" s="177" t="n">
        <v>2</v>
      </c>
      <c r="E3769" s="178" t="inlineStr">
        <is>
          <t>1412/02/02</t>
        </is>
      </c>
      <c r="F3769" s="134" t="inlineStr">
        <is>
          <t>1412/02</t>
        </is>
      </c>
      <c r="G3769" s="61" t="inlineStr">
        <is>
          <t>اردیبهشت</t>
        </is>
      </c>
      <c r="H3769" s="134" t="inlineStr">
        <is>
          <t>بهار</t>
        </is>
      </c>
      <c r="I3769" s="134" t="inlineStr">
        <is>
          <t>پنجشنبه</t>
        </is>
      </c>
      <c r="J3769" s="134" t="inlineStr">
        <is>
          <t>بله</t>
        </is>
      </c>
    </row>
    <row r="3770">
      <c r="A3770" s="173" t="n">
        <v>48691</v>
      </c>
      <c r="B3770" s="174" t="n">
        <v>48691</v>
      </c>
      <c r="C3770" s="174" t="n">
        <v>1412</v>
      </c>
      <c r="D3770" s="174" t="n">
        <v>2</v>
      </c>
      <c r="E3770" s="175" t="inlineStr">
        <is>
          <t>1412/02/03</t>
        </is>
      </c>
      <c r="F3770" s="128" t="inlineStr">
        <is>
          <t>1412/02</t>
        </is>
      </c>
      <c r="G3770" s="58" t="inlineStr">
        <is>
          <t>اردیبهشت</t>
        </is>
      </c>
      <c r="H3770" s="128" t="inlineStr">
        <is>
          <t>بهار</t>
        </is>
      </c>
      <c r="I3770" s="128" t="inlineStr">
        <is>
          <t>جمعه</t>
        </is>
      </c>
      <c r="J3770" s="128" t="inlineStr">
        <is>
          <t>بله</t>
        </is>
      </c>
    </row>
    <row r="3771">
      <c r="A3771" s="176" t="n">
        <v>48692</v>
      </c>
      <c r="B3771" s="177" t="n">
        <v>48692</v>
      </c>
      <c r="C3771" s="177" t="n">
        <v>1412</v>
      </c>
      <c r="D3771" s="177" t="n">
        <v>2</v>
      </c>
      <c r="E3771" s="178" t="inlineStr">
        <is>
          <t>1412/02/04</t>
        </is>
      </c>
      <c r="F3771" s="134" t="inlineStr">
        <is>
          <t>1412/02</t>
        </is>
      </c>
      <c r="G3771" s="61" t="inlineStr">
        <is>
          <t>اردیبهشت</t>
        </is>
      </c>
      <c r="H3771" s="134" t="inlineStr">
        <is>
          <t>بهار</t>
        </is>
      </c>
      <c r="I3771" s="134" t="inlineStr">
        <is>
          <t>شنبه</t>
        </is>
      </c>
      <c r="J3771" s="134" t="inlineStr">
        <is>
          <t>خیر</t>
        </is>
      </c>
    </row>
    <row r="3772">
      <c r="A3772" s="173" t="n">
        <v>48693</v>
      </c>
      <c r="B3772" s="174" t="n">
        <v>48693</v>
      </c>
      <c r="C3772" s="174" t="n">
        <v>1412</v>
      </c>
      <c r="D3772" s="174" t="n">
        <v>2</v>
      </c>
      <c r="E3772" s="175" t="inlineStr">
        <is>
          <t>1412/02/05</t>
        </is>
      </c>
      <c r="F3772" s="128" t="inlineStr">
        <is>
          <t>1412/02</t>
        </is>
      </c>
      <c r="G3772" s="58" t="inlineStr">
        <is>
          <t>اردیبهشت</t>
        </is>
      </c>
      <c r="H3772" s="128" t="inlineStr">
        <is>
          <t>بهار</t>
        </is>
      </c>
      <c r="I3772" s="128" t="inlineStr">
        <is>
          <t>یکشنبه</t>
        </is>
      </c>
      <c r="J3772" s="128" t="inlineStr">
        <is>
          <t>خیر</t>
        </is>
      </c>
    </row>
    <row r="3773">
      <c r="A3773" s="176" t="n">
        <v>48694</v>
      </c>
      <c r="B3773" s="177" t="n">
        <v>48694</v>
      </c>
      <c r="C3773" s="177" t="n">
        <v>1412</v>
      </c>
      <c r="D3773" s="177" t="n">
        <v>2</v>
      </c>
      <c r="E3773" s="178" t="inlineStr">
        <is>
          <t>1412/02/06</t>
        </is>
      </c>
      <c r="F3773" s="134" t="inlineStr">
        <is>
          <t>1412/02</t>
        </is>
      </c>
      <c r="G3773" s="61" t="inlineStr">
        <is>
          <t>اردیبهشت</t>
        </is>
      </c>
      <c r="H3773" s="134" t="inlineStr">
        <is>
          <t>بهار</t>
        </is>
      </c>
      <c r="I3773" s="134" t="inlineStr">
        <is>
          <t>دوشنبه</t>
        </is>
      </c>
      <c r="J3773" s="134" t="inlineStr">
        <is>
          <t>بله</t>
        </is>
      </c>
    </row>
    <row r="3774">
      <c r="A3774" s="173" t="n">
        <v>48695</v>
      </c>
      <c r="B3774" s="174" t="n">
        <v>48695</v>
      </c>
      <c r="C3774" s="174" t="n">
        <v>1412</v>
      </c>
      <c r="D3774" s="174" t="n">
        <v>2</v>
      </c>
      <c r="E3774" s="175" t="inlineStr">
        <is>
          <t>1412/02/07</t>
        </is>
      </c>
      <c r="F3774" s="128" t="inlineStr">
        <is>
          <t>1412/02</t>
        </is>
      </c>
      <c r="G3774" s="58" t="inlineStr">
        <is>
          <t>اردیبهشت</t>
        </is>
      </c>
      <c r="H3774" s="128" t="inlineStr">
        <is>
          <t>بهار</t>
        </is>
      </c>
      <c r="I3774" s="128" t="inlineStr">
        <is>
          <t>سه‌شنبه</t>
        </is>
      </c>
      <c r="J3774" s="128" t="inlineStr">
        <is>
          <t>بله</t>
        </is>
      </c>
    </row>
    <row r="3775">
      <c r="A3775" s="176" t="n">
        <v>48696</v>
      </c>
      <c r="B3775" s="177" t="n">
        <v>48696</v>
      </c>
      <c r="C3775" s="177" t="n">
        <v>1412</v>
      </c>
      <c r="D3775" s="177" t="n">
        <v>2</v>
      </c>
      <c r="E3775" s="178" t="inlineStr">
        <is>
          <t>1412/02/08</t>
        </is>
      </c>
      <c r="F3775" s="134" t="inlineStr">
        <is>
          <t>1412/02</t>
        </is>
      </c>
      <c r="G3775" s="61" t="inlineStr">
        <is>
          <t>اردیبهشت</t>
        </is>
      </c>
      <c r="H3775" s="134" t="inlineStr">
        <is>
          <t>بهار</t>
        </is>
      </c>
      <c r="I3775" s="134" t="inlineStr">
        <is>
          <t>چهارشنبه</t>
        </is>
      </c>
      <c r="J3775" s="134" t="inlineStr">
        <is>
          <t>بله</t>
        </is>
      </c>
    </row>
    <row r="3776">
      <c r="A3776" s="173" t="n">
        <v>48697</v>
      </c>
      <c r="B3776" s="174" t="n">
        <v>48697</v>
      </c>
      <c r="C3776" s="174" t="n">
        <v>1412</v>
      </c>
      <c r="D3776" s="174" t="n">
        <v>2</v>
      </c>
      <c r="E3776" s="175" t="inlineStr">
        <is>
          <t>1412/02/09</t>
        </is>
      </c>
      <c r="F3776" s="128" t="inlineStr">
        <is>
          <t>1412/02</t>
        </is>
      </c>
      <c r="G3776" s="58" t="inlineStr">
        <is>
          <t>اردیبهشت</t>
        </is>
      </c>
      <c r="H3776" s="128" t="inlineStr">
        <is>
          <t>بهار</t>
        </is>
      </c>
      <c r="I3776" s="128" t="inlineStr">
        <is>
          <t>پنجشنبه</t>
        </is>
      </c>
      <c r="J3776" s="128" t="inlineStr">
        <is>
          <t>بله</t>
        </is>
      </c>
    </row>
    <row r="3777">
      <c r="A3777" s="176" t="n">
        <v>48698</v>
      </c>
      <c r="B3777" s="177" t="n">
        <v>48698</v>
      </c>
      <c r="C3777" s="177" t="n">
        <v>1412</v>
      </c>
      <c r="D3777" s="177" t="n">
        <v>2</v>
      </c>
      <c r="E3777" s="178" t="inlineStr">
        <is>
          <t>1412/02/10</t>
        </is>
      </c>
      <c r="F3777" s="134" t="inlineStr">
        <is>
          <t>1412/02</t>
        </is>
      </c>
      <c r="G3777" s="61" t="inlineStr">
        <is>
          <t>اردیبهشت</t>
        </is>
      </c>
      <c r="H3777" s="134" t="inlineStr">
        <is>
          <t>بهار</t>
        </is>
      </c>
      <c r="I3777" s="134" t="inlineStr">
        <is>
          <t>جمعه</t>
        </is>
      </c>
      <c r="J3777" s="134" t="inlineStr">
        <is>
          <t>بله</t>
        </is>
      </c>
    </row>
    <row r="3778">
      <c r="A3778" s="173" t="n">
        <v>48699</v>
      </c>
      <c r="B3778" s="174" t="n">
        <v>48699</v>
      </c>
      <c r="C3778" s="174" t="n">
        <v>1412</v>
      </c>
      <c r="D3778" s="174" t="n">
        <v>2</v>
      </c>
      <c r="E3778" s="175" t="inlineStr">
        <is>
          <t>1412/02/11</t>
        </is>
      </c>
      <c r="F3778" s="128" t="inlineStr">
        <is>
          <t>1412/02</t>
        </is>
      </c>
      <c r="G3778" s="58" t="inlineStr">
        <is>
          <t>اردیبهشت</t>
        </is>
      </c>
      <c r="H3778" s="128" t="inlineStr">
        <is>
          <t>بهار</t>
        </is>
      </c>
      <c r="I3778" s="128" t="inlineStr">
        <is>
          <t>شنبه</t>
        </is>
      </c>
      <c r="J3778" s="128" t="inlineStr">
        <is>
          <t>خیر</t>
        </is>
      </c>
    </row>
    <row r="3779">
      <c r="A3779" s="176" t="n">
        <v>48700</v>
      </c>
      <c r="B3779" s="177" t="n">
        <v>48700</v>
      </c>
      <c r="C3779" s="177" t="n">
        <v>1412</v>
      </c>
      <c r="D3779" s="177" t="n">
        <v>2</v>
      </c>
      <c r="E3779" s="178" t="inlineStr">
        <is>
          <t>1412/02/12</t>
        </is>
      </c>
      <c r="F3779" s="134" t="inlineStr">
        <is>
          <t>1412/02</t>
        </is>
      </c>
      <c r="G3779" s="61" t="inlineStr">
        <is>
          <t>اردیبهشت</t>
        </is>
      </c>
      <c r="H3779" s="134" t="inlineStr">
        <is>
          <t>بهار</t>
        </is>
      </c>
      <c r="I3779" s="134" t="inlineStr">
        <is>
          <t>یکشنبه</t>
        </is>
      </c>
      <c r="J3779" s="134" t="inlineStr">
        <is>
          <t>خیر</t>
        </is>
      </c>
    </row>
    <row r="3780">
      <c r="A3780" s="173" t="n">
        <v>48701</v>
      </c>
      <c r="B3780" s="174" t="n">
        <v>48701</v>
      </c>
      <c r="C3780" s="174" t="n">
        <v>1412</v>
      </c>
      <c r="D3780" s="174" t="n">
        <v>2</v>
      </c>
      <c r="E3780" s="175" t="inlineStr">
        <is>
          <t>1412/02/13</t>
        </is>
      </c>
      <c r="F3780" s="128" t="inlineStr">
        <is>
          <t>1412/02</t>
        </is>
      </c>
      <c r="G3780" s="58" t="inlineStr">
        <is>
          <t>اردیبهشت</t>
        </is>
      </c>
      <c r="H3780" s="128" t="inlineStr">
        <is>
          <t>بهار</t>
        </is>
      </c>
      <c r="I3780" s="128" t="inlineStr">
        <is>
          <t>دوشنبه</t>
        </is>
      </c>
      <c r="J3780" s="128" t="inlineStr">
        <is>
          <t>بله</t>
        </is>
      </c>
    </row>
    <row r="3781">
      <c r="A3781" s="176" t="n">
        <v>48702</v>
      </c>
      <c r="B3781" s="177" t="n">
        <v>48702</v>
      </c>
      <c r="C3781" s="177" t="n">
        <v>1412</v>
      </c>
      <c r="D3781" s="177" t="n">
        <v>2</v>
      </c>
      <c r="E3781" s="178" t="inlineStr">
        <is>
          <t>1412/02/14</t>
        </is>
      </c>
      <c r="F3781" s="134" t="inlineStr">
        <is>
          <t>1412/02</t>
        </is>
      </c>
      <c r="G3781" s="61" t="inlineStr">
        <is>
          <t>اردیبهشت</t>
        </is>
      </c>
      <c r="H3781" s="134" t="inlineStr">
        <is>
          <t>بهار</t>
        </is>
      </c>
      <c r="I3781" s="134" t="inlineStr">
        <is>
          <t>سه‌شنبه</t>
        </is>
      </c>
      <c r="J3781" s="134" t="inlineStr">
        <is>
          <t>بله</t>
        </is>
      </c>
    </row>
    <row r="3782">
      <c r="A3782" s="173" t="n">
        <v>48703</v>
      </c>
      <c r="B3782" s="174" t="n">
        <v>48703</v>
      </c>
      <c r="C3782" s="174" t="n">
        <v>1412</v>
      </c>
      <c r="D3782" s="174" t="n">
        <v>2</v>
      </c>
      <c r="E3782" s="175" t="inlineStr">
        <is>
          <t>1412/02/15</t>
        </is>
      </c>
      <c r="F3782" s="128" t="inlineStr">
        <is>
          <t>1412/02</t>
        </is>
      </c>
      <c r="G3782" s="58" t="inlineStr">
        <is>
          <t>اردیبهشت</t>
        </is>
      </c>
      <c r="H3782" s="128" t="inlineStr">
        <is>
          <t>بهار</t>
        </is>
      </c>
      <c r="I3782" s="128" t="inlineStr">
        <is>
          <t>چهارشنبه</t>
        </is>
      </c>
      <c r="J3782" s="128" t="inlineStr">
        <is>
          <t>بله</t>
        </is>
      </c>
    </row>
    <row r="3783">
      <c r="A3783" s="176" t="n">
        <v>48704</v>
      </c>
      <c r="B3783" s="177" t="n">
        <v>48704</v>
      </c>
      <c r="C3783" s="177" t="n">
        <v>1412</v>
      </c>
      <c r="D3783" s="177" t="n">
        <v>2</v>
      </c>
      <c r="E3783" s="178" t="inlineStr">
        <is>
          <t>1412/02/16</t>
        </is>
      </c>
      <c r="F3783" s="134" t="inlineStr">
        <is>
          <t>1412/02</t>
        </is>
      </c>
      <c r="G3783" s="61" t="inlineStr">
        <is>
          <t>اردیبهشت</t>
        </is>
      </c>
      <c r="H3783" s="134" t="inlineStr">
        <is>
          <t>بهار</t>
        </is>
      </c>
      <c r="I3783" s="134" t="inlineStr">
        <is>
          <t>پنجشنبه</t>
        </is>
      </c>
      <c r="J3783" s="134" t="inlineStr">
        <is>
          <t>بله</t>
        </is>
      </c>
    </row>
    <row r="3784">
      <c r="A3784" s="173" t="n">
        <v>48705</v>
      </c>
      <c r="B3784" s="174" t="n">
        <v>48705</v>
      </c>
      <c r="C3784" s="174" t="n">
        <v>1412</v>
      </c>
      <c r="D3784" s="174" t="n">
        <v>2</v>
      </c>
      <c r="E3784" s="175" t="inlineStr">
        <is>
          <t>1412/02/17</t>
        </is>
      </c>
      <c r="F3784" s="128" t="inlineStr">
        <is>
          <t>1412/02</t>
        </is>
      </c>
      <c r="G3784" s="58" t="inlineStr">
        <is>
          <t>اردیبهشت</t>
        </is>
      </c>
      <c r="H3784" s="128" t="inlineStr">
        <is>
          <t>بهار</t>
        </is>
      </c>
      <c r="I3784" s="128" t="inlineStr">
        <is>
          <t>جمعه</t>
        </is>
      </c>
      <c r="J3784" s="128" t="inlineStr">
        <is>
          <t>بله</t>
        </is>
      </c>
    </row>
    <row r="3785">
      <c r="A3785" s="176" t="n">
        <v>48706</v>
      </c>
      <c r="B3785" s="177" t="n">
        <v>48706</v>
      </c>
      <c r="C3785" s="177" t="n">
        <v>1412</v>
      </c>
      <c r="D3785" s="177" t="n">
        <v>2</v>
      </c>
      <c r="E3785" s="178" t="inlineStr">
        <is>
          <t>1412/02/18</t>
        </is>
      </c>
      <c r="F3785" s="134" t="inlineStr">
        <is>
          <t>1412/02</t>
        </is>
      </c>
      <c r="G3785" s="61" t="inlineStr">
        <is>
          <t>اردیبهشت</t>
        </is>
      </c>
      <c r="H3785" s="134" t="inlineStr">
        <is>
          <t>بهار</t>
        </is>
      </c>
      <c r="I3785" s="134" t="inlineStr">
        <is>
          <t>شنبه</t>
        </is>
      </c>
      <c r="J3785" s="134" t="inlineStr">
        <is>
          <t>خیر</t>
        </is>
      </c>
    </row>
    <row r="3786">
      <c r="A3786" s="173" t="n">
        <v>48707</v>
      </c>
      <c r="B3786" s="174" t="n">
        <v>48707</v>
      </c>
      <c r="C3786" s="174" t="n">
        <v>1412</v>
      </c>
      <c r="D3786" s="174" t="n">
        <v>2</v>
      </c>
      <c r="E3786" s="175" t="inlineStr">
        <is>
          <t>1412/02/19</t>
        </is>
      </c>
      <c r="F3786" s="128" t="inlineStr">
        <is>
          <t>1412/02</t>
        </is>
      </c>
      <c r="G3786" s="58" t="inlineStr">
        <is>
          <t>اردیبهشت</t>
        </is>
      </c>
      <c r="H3786" s="128" t="inlineStr">
        <is>
          <t>بهار</t>
        </is>
      </c>
      <c r="I3786" s="128" t="inlineStr">
        <is>
          <t>یکشنبه</t>
        </is>
      </c>
      <c r="J3786" s="128" t="inlineStr">
        <is>
          <t>خیر</t>
        </is>
      </c>
    </row>
    <row r="3787">
      <c r="A3787" s="176" t="n">
        <v>48708</v>
      </c>
      <c r="B3787" s="177" t="n">
        <v>48708</v>
      </c>
      <c r="C3787" s="177" t="n">
        <v>1412</v>
      </c>
      <c r="D3787" s="177" t="n">
        <v>2</v>
      </c>
      <c r="E3787" s="178" t="inlineStr">
        <is>
          <t>1412/02/20</t>
        </is>
      </c>
      <c r="F3787" s="134" t="inlineStr">
        <is>
          <t>1412/02</t>
        </is>
      </c>
      <c r="G3787" s="61" t="inlineStr">
        <is>
          <t>اردیبهشت</t>
        </is>
      </c>
      <c r="H3787" s="134" t="inlineStr">
        <is>
          <t>بهار</t>
        </is>
      </c>
      <c r="I3787" s="134" t="inlineStr">
        <is>
          <t>دوشنبه</t>
        </is>
      </c>
      <c r="J3787" s="134" t="inlineStr">
        <is>
          <t>بله</t>
        </is>
      </c>
    </row>
    <row r="3788">
      <c r="A3788" s="173" t="n">
        <v>48709</v>
      </c>
      <c r="B3788" s="174" t="n">
        <v>48709</v>
      </c>
      <c r="C3788" s="174" t="n">
        <v>1412</v>
      </c>
      <c r="D3788" s="174" t="n">
        <v>2</v>
      </c>
      <c r="E3788" s="175" t="inlineStr">
        <is>
          <t>1412/02/21</t>
        </is>
      </c>
      <c r="F3788" s="128" t="inlineStr">
        <is>
          <t>1412/02</t>
        </is>
      </c>
      <c r="G3788" s="58" t="inlineStr">
        <is>
          <t>اردیبهشت</t>
        </is>
      </c>
      <c r="H3788" s="128" t="inlineStr">
        <is>
          <t>بهار</t>
        </is>
      </c>
      <c r="I3788" s="128" t="inlineStr">
        <is>
          <t>سه‌شنبه</t>
        </is>
      </c>
      <c r="J3788" s="128" t="inlineStr">
        <is>
          <t>بله</t>
        </is>
      </c>
    </row>
    <row r="3789">
      <c r="A3789" s="176" t="n">
        <v>48710</v>
      </c>
      <c r="B3789" s="177" t="n">
        <v>48710</v>
      </c>
      <c r="C3789" s="177" t="n">
        <v>1412</v>
      </c>
      <c r="D3789" s="177" t="n">
        <v>2</v>
      </c>
      <c r="E3789" s="178" t="inlineStr">
        <is>
          <t>1412/02/22</t>
        </is>
      </c>
      <c r="F3789" s="134" t="inlineStr">
        <is>
          <t>1412/02</t>
        </is>
      </c>
      <c r="G3789" s="61" t="inlineStr">
        <is>
          <t>اردیبهشت</t>
        </is>
      </c>
      <c r="H3789" s="134" t="inlineStr">
        <is>
          <t>بهار</t>
        </is>
      </c>
      <c r="I3789" s="134" t="inlineStr">
        <is>
          <t>چهارشنبه</t>
        </is>
      </c>
      <c r="J3789" s="134" t="inlineStr">
        <is>
          <t>بله</t>
        </is>
      </c>
    </row>
    <row r="3790">
      <c r="A3790" s="173" t="n">
        <v>48711</v>
      </c>
      <c r="B3790" s="174" t="n">
        <v>48711</v>
      </c>
      <c r="C3790" s="174" t="n">
        <v>1412</v>
      </c>
      <c r="D3790" s="174" t="n">
        <v>2</v>
      </c>
      <c r="E3790" s="175" t="inlineStr">
        <is>
          <t>1412/02/23</t>
        </is>
      </c>
      <c r="F3790" s="128" t="inlineStr">
        <is>
          <t>1412/02</t>
        </is>
      </c>
      <c r="G3790" s="58" t="inlineStr">
        <is>
          <t>اردیبهشت</t>
        </is>
      </c>
      <c r="H3790" s="128" t="inlineStr">
        <is>
          <t>بهار</t>
        </is>
      </c>
      <c r="I3790" s="128" t="inlineStr">
        <is>
          <t>پنجشنبه</t>
        </is>
      </c>
      <c r="J3790" s="128" t="inlineStr">
        <is>
          <t>بله</t>
        </is>
      </c>
    </row>
    <row r="3791">
      <c r="A3791" s="176" t="n">
        <v>48712</v>
      </c>
      <c r="B3791" s="177" t="n">
        <v>48712</v>
      </c>
      <c r="C3791" s="177" t="n">
        <v>1412</v>
      </c>
      <c r="D3791" s="177" t="n">
        <v>2</v>
      </c>
      <c r="E3791" s="178" t="inlineStr">
        <is>
          <t>1412/02/24</t>
        </is>
      </c>
      <c r="F3791" s="134" t="inlineStr">
        <is>
          <t>1412/02</t>
        </is>
      </c>
      <c r="G3791" s="61" t="inlineStr">
        <is>
          <t>اردیبهشت</t>
        </is>
      </c>
      <c r="H3791" s="134" t="inlineStr">
        <is>
          <t>بهار</t>
        </is>
      </c>
      <c r="I3791" s="134" t="inlineStr">
        <is>
          <t>جمعه</t>
        </is>
      </c>
      <c r="J3791" s="134" t="inlineStr">
        <is>
          <t>بله</t>
        </is>
      </c>
    </row>
    <row r="3792">
      <c r="A3792" s="173" t="n">
        <v>48713</v>
      </c>
      <c r="B3792" s="174" t="n">
        <v>48713</v>
      </c>
      <c r="C3792" s="174" t="n">
        <v>1412</v>
      </c>
      <c r="D3792" s="174" t="n">
        <v>2</v>
      </c>
      <c r="E3792" s="175" t="inlineStr">
        <is>
          <t>1412/02/25</t>
        </is>
      </c>
      <c r="F3792" s="128" t="inlineStr">
        <is>
          <t>1412/02</t>
        </is>
      </c>
      <c r="G3792" s="58" t="inlineStr">
        <is>
          <t>اردیبهشت</t>
        </is>
      </c>
      <c r="H3792" s="128" t="inlineStr">
        <is>
          <t>بهار</t>
        </is>
      </c>
      <c r="I3792" s="128" t="inlineStr">
        <is>
          <t>شنبه</t>
        </is>
      </c>
      <c r="J3792" s="128" t="inlineStr">
        <is>
          <t>خیر</t>
        </is>
      </c>
    </row>
    <row r="3793">
      <c r="A3793" s="176" t="n">
        <v>48714</v>
      </c>
      <c r="B3793" s="177" t="n">
        <v>48714</v>
      </c>
      <c r="C3793" s="177" t="n">
        <v>1412</v>
      </c>
      <c r="D3793" s="177" t="n">
        <v>2</v>
      </c>
      <c r="E3793" s="178" t="inlineStr">
        <is>
          <t>1412/02/26</t>
        </is>
      </c>
      <c r="F3793" s="134" t="inlineStr">
        <is>
          <t>1412/02</t>
        </is>
      </c>
      <c r="G3793" s="61" t="inlineStr">
        <is>
          <t>اردیبهشت</t>
        </is>
      </c>
      <c r="H3793" s="134" t="inlineStr">
        <is>
          <t>بهار</t>
        </is>
      </c>
      <c r="I3793" s="134" t="inlineStr">
        <is>
          <t>یکشنبه</t>
        </is>
      </c>
      <c r="J3793" s="134" t="inlineStr">
        <is>
          <t>خیر</t>
        </is>
      </c>
    </row>
    <row r="3794">
      <c r="A3794" s="173" t="n">
        <v>48715</v>
      </c>
      <c r="B3794" s="174" t="n">
        <v>48715</v>
      </c>
      <c r="C3794" s="174" t="n">
        <v>1412</v>
      </c>
      <c r="D3794" s="174" t="n">
        <v>2</v>
      </c>
      <c r="E3794" s="175" t="inlineStr">
        <is>
          <t>1412/02/27</t>
        </is>
      </c>
      <c r="F3794" s="128" t="inlineStr">
        <is>
          <t>1412/02</t>
        </is>
      </c>
      <c r="G3794" s="58" t="inlineStr">
        <is>
          <t>اردیبهشت</t>
        </is>
      </c>
      <c r="H3794" s="128" t="inlineStr">
        <is>
          <t>بهار</t>
        </is>
      </c>
      <c r="I3794" s="128" t="inlineStr">
        <is>
          <t>دوشنبه</t>
        </is>
      </c>
      <c r="J3794" s="128" t="inlineStr">
        <is>
          <t>بله</t>
        </is>
      </c>
    </row>
    <row r="3795">
      <c r="A3795" s="176" t="n">
        <v>48716</v>
      </c>
      <c r="B3795" s="177" t="n">
        <v>48716</v>
      </c>
      <c r="C3795" s="177" t="n">
        <v>1412</v>
      </c>
      <c r="D3795" s="177" t="n">
        <v>2</v>
      </c>
      <c r="E3795" s="178" t="inlineStr">
        <is>
          <t>1412/02/28</t>
        </is>
      </c>
      <c r="F3795" s="134" t="inlineStr">
        <is>
          <t>1412/02</t>
        </is>
      </c>
      <c r="G3795" s="61" t="inlineStr">
        <is>
          <t>اردیبهشت</t>
        </is>
      </c>
      <c r="H3795" s="134" t="inlineStr">
        <is>
          <t>بهار</t>
        </is>
      </c>
      <c r="I3795" s="134" t="inlineStr">
        <is>
          <t>سه‌شنبه</t>
        </is>
      </c>
      <c r="J3795" s="134" t="inlineStr">
        <is>
          <t>بله</t>
        </is>
      </c>
    </row>
    <row r="3796">
      <c r="A3796" s="173" t="n">
        <v>48717</v>
      </c>
      <c r="B3796" s="174" t="n">
        <v>48717</v>
      </c>
      <c r="C3796" s="174" t="n">
        <v>1412</v>
      </c>
      <c r="D3796" s="174" t="n">
        <v>2</v>
      </c>
      <c r="E3796" s="175" t="inlineStr">
        <is>
          <t>1412/02/29</t>
        </is>
      </c>
      <c r="F3796" s="128" t="inlineStr">
        <is>
          <t>1412/02</t>
        </is>
      </c>
      <c r="G3796" s="58" t="inlineStr">
        <is>
          <t>اردیبهشت</t>
        </is>
      </c>
      <c r="H3796" s="128" t="inlineStr">
        <is>
          <t>بهار</t>
        </is>
      </c>
      <c r="I3796" s="128" t="inlineStr">
        <is>
          <t>چهارشنبه</t>
        </is>
      </c>
      <c r="J3796" s="128" t="inlineStr">
        <is>
          <t>بله</t>
        </is>
      </c>
    </row>
    <row r="3797">
      <c r="A3797" s="176" t="n">
        <v>48718</v>
      </c>
      <c r="B3797" s="177" t="n">
        <v>48718</v>
      </c>
      <c r="C3797" s="177" t="n">
        <v>1412</v>
      </c>
      <c r="D3797" s="177" t="n">
        <v>2</v>
      </c>
      <c r="E3797" s="178" t="inlineStr">
        <is>
          <t>1412/02/30</t>
        </is>
      </c>
      <c r="F3797" s="134" t="inlineStr">
        <is>
          <t>1412/02</t>
        </is>
      </c>
      <c r="G3797" s="61" t="inlineStr">
        <is>
          <t>اردیبهشت</t>
        </is>
      </c>
      <c r="H3797" s="134" t="inlineStr">
        <is>
          <t>بهار</t>
        </is>
      </c>
      <c r="I3797" s="134" t="inlineStr">
        <is>
          <t>پنجشنبه</t>
        </is>
      </c>
      <c r="J3797" s="134" t="inlineStr">
        <is>
          <t>بله</t>
        </is>
      </c>
    </row>
    <row r="3798">
      <c r="A3798" s="173" t="n">
        <v>48719</v>
      </c>
      <c r="B3798" s="174" t="n">
        <v>48719</v>
      </c>
      <c r="C3798" s="174" t="n">
        <v>1412</v>
      </c>
      <c r="D3798" s="174" t="n">
        <v>2</v>
      </c>
      <c r="E3798" s="175" t="inlineStr">
        <is>
          <t>1412/02/31</t>
        </is>
      </c>
      <c r="F3798" s="128" t="inlineStr">
        <is>
          <t>1412/02</t>
        </is>
      </c>
      <c r="G3798" s="58" t="inlineStr">
        <is>
          <t>اردیبهشت</t>
        </is>
      </c>
      <c r="H3798" s="128" t="inlineStr">
        <is>
          <t>بهار</t>
        </is>
      </c>
      <c r="I3798" s="128" t="inlineStr">
        <is>
          <t>جمعه</t>
        </is>
      </c>
      <c r="J3798" s="128" t="inlineStr">
        <is>
          <t>بله</t>
        </is>
      </c>
    </row>
    <row r="3799">
      <c r="A3799" s="176" t="n">
        <v>48720</v>
      </c>
      <c r="B3799" s="177" t="n">
        <v>48720</v>
      </c>
      <c r="C3799" s="177" t="n">
        <v>1412</v>
      </c>
      <c r="D3799" s="177" t="n">
        <v>3</v>
      </c>
      <c r="E3799" s="178" t="inlineStr">
        <is>
          <t>1412/03/01</t>
        </is>
      </c>
      <c r="F3799" s="134" t="inlineStr">
        <is>
          <t>1412/03</t>
        </is>
      </c>
      <c r="G3799" s="61" t="inlineStr">
        <is>
          <t>خرداد</t>
        </is>
      </c>
      <c r="H3799" s="134" t="inlineStr">
        <is>
          <t>بهار</t>
        </is>
      </c>
      <c r="I3799" s="134" t="inlineStr">
        <is>
          <t>شنبه</t>
        </is>
      </c>
      <c r="J3799" s="134" t="inlineStr">
        <is>
          <t>خیر</t>
        </is>
      </c>
    </row>
    <row r="3800">
      <c r="A3800" s="173" t="n">
        <v>48721</v>
      </c>
      <c r="B3800" s="174" t="n">
        <v>48721</v>
      </c>
      <c r="C3800" s="174" t="n">
        <v>1412</v>
      </c>
      <c r="D3800" s="174" t="n">
        <v>3</v>
      </c>
      <c r="E3800" s="175" t="inlineStr">
        <is>
          <t>1412/03/02</t>
        </is>
      </c>
      <c r="F3800" s="128" t="inlineStr">
        <is>
          <t>1412/03</t>
        </is>
      </c>
      <c r="G3800" s="58" t="inlineStr">
        <is>
          <t>خرداد</t>
        </is>
      </c>
      <c r="H3800" s="128" t="inlineStr">
        <is>
          <t>بهار</t>
        </is>
      </c>
      <c r="I3800" s="128" t="inlineStr">
        <is>
          <t>یکشنبه</t>
        </is>
      </c>
      <c r="J3800" s="128" t="inlineStr">
        <is>
          <t>خیر</t>
        </is>
      </c>
    </row>
    <row r="3801">
      <c r="A3801" s="176" t="n">
        <v>48722</v>
      </c>
      <c r="B3801" s="177" t="n">
        <v>48722</v>
      </c>
      <c r="C3801" s="177" t="n">
        <v>1412</v>
      </c>
      <c r="D3801" s="177" t="n">
        <v>3</v>
      </c>
      <c r="E3801" s="178" t="inlineStr">
        <is>
          <t>1412/03/03</t>
        </is>
      </c>
      <c r="F3801" s="134" t="inlineStr">
        <is>
          <t>1412/03</t>
        </is>
      </c>
      <c r="G3801" s="61" t="inlineStr">
        <is>
          <t>خرداد</t>
        </is>
      </c>
      <c r="H3801" s="134" t="inlineStr">
        <is>
          <t>بهار</t>
        </is>
      </c>
      <c r="I3801" s="134" t="inlineStr">
        <is>
          <t>دوشنبه</t>
        </is>
      </c>
      <c r="J3801" s="134" t="inlineStr">
        <is>
          <t>بله</t>
        </is>
      </c>
    </row>
    <row r="3802">
      <c r="A3802" s="173" t="n">
        <v>48723</v>
      </c>
      <c r="B3802" s="174" t="n">
        <v>48723</v>
      </c>
      <c r="C3802" s="174" t="n">
        <v>1412</v>
      </c>
      <c r="D3802" s="174" t="n">
        <v>3</v>
      </c>
      <c r="E3802" s="175" t="inlineStr">
        <is>
          <t>1412/03/04</t>
        </is>
      </c>
      <c r="F3802" s="128" t="inlineStr">
        <is>
          <t>1412/03</t>
        </is>
      </c>
      <c r="G3802" s="58" t="inlineStr">
        <is>
          <t>خرداد</t>
        </is>
      </c>
      <c r="H3802" s="128" t="inlineStr">
        <is>
          <t>بهار</t>
        </is>
      </c>
      <c r="I3802" s="128" t="inlineStr">
        <is>
          <t>سه‌شنبه</t>
        </is>
      </c>
      <c r="J3802" s="128" t="inlineStr">
        <is>
          <t>بله</t>
        </is>
      </c>
    </row>
    <row r="3803">
      <c r="A3803" s="176" t="n">
        <v>48724</v>
      </c>
      <c r="B3803" s="177" t="n">
        <v>48724</v>
      </c>
      <c r="C3803" s="177" t="n">
        <v>1412</v>
      </c>
      <c r="D3803" s="177" t="n">
        <v>3</v>
      </c>
      <c r="E3803" s="178" t="inlineStr">
        <is>
          <t>1412/03/05</t>
        </is>
      </c>
      <c r="F3803" s="134" t="inlineStr">
        <is>
          <t>1412/03</t>
        </is>
      </c>
      <c r="G3803" s="61" t="inlineStr">
        <is>
          <t>خرداد</t>
        </is>
      </c>
      <c r="H3803" s="134" t="inlineStr">
        <is>
          <t>بهار</t>
        </is>
      </c>
      <c r="I3803" s="134" t="inlineStr">
        <is>
          <t>چهارشنبه</t>
        </is>
      </c>
      <c r="J3803" s="134" t="inlineStr">
        <is>
          <t>بله</t>
        </is>
      </c>
    </row>
    <row r="3804">
      <c r="A3804" s="173" t="n">
        <v>48725</v>
      </c>
      <c r="B3804" s="174" t="n">
        <v>48725</v>
      </c>
      <c r="C3804" s="174" t="n">
        <v>1412</v>
      </c>
      <c r="D3804" s="174" t="n">
        <v>3</v>
      </c>
      <c r="E3804" s="175" t="inlineStr">
        <is>
          <t>1412/03/06</t>
        </is>
      </c>
      <c r="F3804" s="128" t="inlineStr">
        <is>
          <t>1412/03</t>
        </is>
      </c>
      <c r="G3804" s="58" t="inlineStr">
        <is>
          <t>خرداد</t>
        </is>
      </c>
      <c r="H3804" s="128" t="inlineStr">
        <is>
          <t>بهار</t>
        </is>
      </c>
      <c r="I3804" s="128" t="inlineStr">
        <is>
          <t>پنجشنبه</t>
        </is>
      </c>
      <c r="J3804" s="128" t="inlineStr">
        <is>
          <t>بله</t>
        </is>
      </c>
    </row>
    <row r="3805">
      <c r="A3805" s="176" t="n">
        <v>48726</v>
      </c>
      <c r="B3805" s="177" t="n">
        <v>48726</v>
      </c>
      <c r="C3805" s="177" t="n">
        <v>1412</v>
      </c>
      <c r="D3805" s="177" t="n">
        <v>3</v>
      </c>
      <c r="E3805" s="178" t="inlineStr">
        <is>
          <t>1412/03/07</t>
        </is>
      </c>
      <c r="F3805" s="134" t="inlineStr">
        <is>
          <t>1412/03</t>
        </is>
      </c>
      <c r="G3805" s="61" t="inlineStr">
        <is>
          <t>خرداد</t>
        </is>
      </c>
      <c r="H3805" s="134" t="inlineStr">
        <is>
          <t>بهار</t>
        </is>
      </c>
      <c r="I3805" s="134" t="inlineStr">
        <is>
          <t>جمعه</t>
        </is>
      </c>
      <c r="J3805" s="134" t="inlineStr">
        <is>
          <t>بله</t>
        </is>
      </c>
    </row>
    <row r="3806">
      <c r="A3806" s="173" t="n">
        <v>48727</v>
      </c>
      <c r="B3806" s="174" t="n">
        <v>48727</v>
      </c>
      <c r="C3806" s="174" t="n">
        <v>1412</v>
      </c>
      <c r="D3806" s="174" t="n">
        <v>3</v>
      </c>
      <c r="E3806" s="175" t="inlineStr">
        <is>
          <t>1412/03/08</t>
        </is>
      </c>
      <c r="F3806" s="128" t="inlineStr">
        <is>
          <t>1412/03</t>
        </is>
      </c>
      <c r="G3806" s="58" t="inlineStr">
        <is>
          <t>خرداد</t>
        </is>
      </c>
      <c r="H3806" s="128" t="inlineStr">
        <is>
          <t>بهار</t>
        </is>
      </c>
      <c r="I3806" s="128" t="inlineStr">
        <is>
          <t>شنبه</t>
        </is>
      </c>
      <c r="J3806" s="128" t="inlineStr">
        <is>
          <t>خیر</t>
        </is>
      </c>
    </row>
    <row r="3807">
      <c r="A3807" s="176" t="n">
        <v>48728</v>
      </c>
      <c r="B3807" s="177" t="n">
        <v>48728</v>
      </c>
      <c r="C3807" s="177" t="n">
        <v>1412</v>
      </c>
      <c r="D3807" s="177" t="n">
        <v>3</v>
      </c>
      <c r="E3807" s="178" t="inlineStr">
        <is>
          <t>1412/03/09</t>
        </is>
      </c>
      <c r="F3807" s="134" t="inlineStr">
        <is>
          <t>1412/03</t>
        </is>
      </c>
      <c r="G3807" s="61" t="inlineStr">
        <is>
          <t>خرداد</t>
        </is>
      </c>
      <c r="H3807" s="134" t="inlineStr">
        <is>
          <t>بهار</t>
        </is>
      </c>
      <c r="I3807" s="134" t="inlineStr">
        <is>
          <t>یکشنبه</t>
        </is>
      </c>
      <c r="J3807" s="134" t="inlineStr">
        <is>
          <t>خیر</t>
        </is>
      </c>
    </row>
    <row r="3808">
      <c r="A3808" s="173" t="n">
        <v>48729</v>
      </c>
      <c r="B3808" s="174" t="n">
        <v>48729</v>
      </c>
      <c r="C3808" s="174" t="n">
        <v>1412</v>
      </c>
      <c r="D3808" s="174" t="n">
        <v>3</v>
      </c>
      <c r="E3808" s="175" t="inlineStr">
        <is>
          <t>1412/03/10</t>
        </is>
      </c>
      <c r="F3808" s="128" t="inlineStr">
        <is>
          <t>1412/03</t>
        </is>
      </c>
      <c r="G3808" s="58" t="inlineStr">
        <is>
          <t>خرداد</t>
        </is>
      </c>
      <c r="H3808" s="128" t="inlineStr">
        <is>
          <t>بهار</t>
        </is>
      </c>
      <c r="I3808" s="128" t="inlineStr">
        <is>
          <t>دوشنبه</t>
        </is>
      </c>
      <c r="J3808" s="128" t="inlineStr">
        <is>
          <t>بله</t>
        </is>
      </c>
    </row>
    <row r="3809">
      <c r="A3809" s="176" t="n">
        <v>48730</v>
      </c>
      <c r="B3809" s="177" t="n">
        <v>48730</v>
      </c>
      <c r="C3809" s="177" t="n">
        <v>1412</v>
      </c>
      <c r="D3809" s="177" t="n">
        <v>3</v>
      </c>
      <c r="E3809" s="178" t="inlineStr">
        <is>
          <t>1412/03/11</t>
        </is>
      </c>
      <c r="F3809" s="134" t="inlineStr">
        <is>
          <t>1412/03</t>
        </is>
      </c>
      <c r="G3809" s="61" t="inlineStr">
        <is>
          <t>خرداد</t>
        </is>
      </c>
      <c r="H3809" s="134" t="inlineStr">
        <is>
          <t>بهار</t>
        </is>
      </c>
      <c r="I3809" s="134" t="inlineStr">
        <is>
          <t>سه‌شنبه</t>
        </is>
      </c>
      <c r="J3809" s="134" t="inlineStr">
        <is>
          <t>بله</t>
        </is>
      </c>
    </row>
    <row r="3810">
      <c r="A3810" s="173" t="n">
        <v>48731</v>
      </c>
      <c r="B3810" s="174" t="n">
        <v>48731</v>
      </c>
      <c r="C3810" s="174" t="n">
        <v>1412</v>
      </c>
      <c r="D3810" s="174" t="n">
        <v>3</v>
      </c>
      <c r="E3810" s="175" t="inlineStr">
        <is>
          <t>1412/03/12</t>
        </is>
      </c>
      <c r="F3810" s="128" t="inlineStr">
        <is>
          <t>1412/03</t>
        </is>
      </c>
      <c r="G3810" s="58" t="inlineStr">
        <is>
          <t>خرداد</t>
        </is>
      </c>
      <c r="H3810" s="128" t="inlineStr">
        <is>
          <t>بهار</t>
        </is>
      </c>
      <c r="I3810" s="128" t="inlineStr">
        <is>
          <t>چهارشنبه</t>
        </is>
      </c>
      <c r="J3810" s="128" t="inlineStr">
        <is>
          <t>بله</t>
        </is>
      </c>
    </row>
    <row r="3811">
      <c r="A3811" s="176" t="n">
        <v>48732</v>
      </c>
      <c r="B3811" s="177" t="n">
        <v>48732</v>
      </c>
      <c r="C3811" s="177" t="n">
        <v>1412</v>
      </c>
      <c r="D3811" s="177" t="n">
        <v>3</v>
      </c>
      <c r="E3811" s="178" t="inlineStr">
        <is>
          <t>1412/03/13</t>
        </is>
      </c>
      <c r="F3811" s="134" t="inlineStr">
        <is>
          <t>1412/03</t>
        </is>
      </c>
      <c r="G3811" s="61" t="inlineStr">
        <is>
          <t>خرداد</t>
        </is>
      </c>
      <c r="H3811" s="134" t="inlineStr">
        <is>
          <t>بهار</t>
        </is>
      </c>
      <c r="I3811" s="134" t="inlineStr">
        <is>
          <t>پنجشنبه</t>
        </is>
      </c>
      <c r="J3811" s="134" t="inlineStr">
        <is>
          <t>بله</t>
        </is>
      </c>
    </row>
    <row r="3812">
      <c r="A3812" s="173" t="n">
        <v>48733</v>
      </c>
      <c r="B3812" s="174" t="n">
        <v>48733</v>
      </c>
      <c r="C3812" s="174" t="n">
        <v>1412</v>
      </c>
      <c r="D3812" s="174" t="n">
        <v>3</v>
      </c>
      <c r="E3812" s="175" t="inlineStr">
        <is>
          <t>1412/03/14</t>
        </is>
      </c>
      <c r="F3812" s="128" t="inlineStr">
        <is>
          <t>1412/03</t>
        </is>
      </c>
      <c r="G3812" s="58" t="inlineStr">
        <is>
          <t>خرداد</t>
        </is>
      </c>
      <c r="H3812" s="128" t="inlineStr">
        <is>
          <t>بهار</t>
        </is>
      </c>
      <c r="I3812" s="128" t="inlineStr">
        <is>
          <t>جمعه</t>
        </is>
      </c>
      <c r="J3812" s="128" t="inlineStr">
        <is>
          <t>بله</t>
        </is>
      </c>
    </row>
    <row r="3813">
      <c r="A3813" s="176" t="n">
        <v>48734</v>
      </c>
      <c r="B3813" s="177" t="n">
        <v>48734</v>
      </c>
      <c r="C3813" s="177" t="n">
        <v>1412</v>
      </c>
      <c r="D3813" s="177" t="n">
        <v>3</v>
      </c>
      <c r="E3813" s="178" t="inlineStr">
        <is>
          <t>1412/03/15</t>
        </is>
      </c>
      <c r="F3813" s="134" t="inlineStr">
        <is>
          <t>1412/03</t>
        </is>
      </c>
      <c r="G3813" s="61" t="inlineStr">
        <is>
          <t>خرداد</t>
        </is>
      </c>
      <c r="H3813" s="134" t="inlineStr">
        <is>
          <t>بهار</t>
        </is>
      </c>
      <c r="I3813" s="134" t="inlineStr">
        <is>
          <t>شنبه</t>
        </is>
      </c>
      <c r="J3813" s="134" t="inlineStr">
        <is>
          <t>خیر</t>
        </is>
      </c>
    </row>
    <row r="3814">
      <c r="A3814" s="173" t="n">
        <v>48735</v>
      </c>
      <c r="B3814" s="174" t="n">
        <v>48735</v>
      </c>
      <c r="C3814" s="174" t="n">
        <v>1412</v>
      </c>
      <c r="D3814" s="174" t="n">
        <v>3</v>
      </c>
      <c r="E3814" s="175" t="inlineStr">
        <is>
          <t>1412/03/16</t>
        </is>
      </c>
      <c r="F3814" s="128" t="inlineStr">
        <is>
          <t>1412/03</t>
        </is>
      </c>
      <c r="G3814" s="58" t="inlineStr">
        <is>
          <t>خرداد</t>
        </is>
      </c>
      <c r="H3814" s="128" t="inlineStr">
        <is>
          <t>بهار</t>
        </is>
      </c>
      <c r="I3814" s="128" t="inlineStr">
        <is>
          <t>یکشنبه</t>
        </is>
      </c>
      <c r="J3814" s="128" t="inlineStr">
        <is>
          <t>خیر</t>
        </is>
      </c>
    </row>
    <row r="3815">
      <c r="A3815" s="176" t="n">
        <v>48736</v>
      </c>
      <c r="B3815" s="177" t="n">
        <v>48736</v>
      </c>
      <c r="C3815" s="177" t="n">
        <v>1412</v>
      </c>
      <c r="D3815" s="177" t="n">
        <v>3</v>
      </c>
      <c r="E3815" s="178" t="inlineStr">
        <is>
          <t>1412/03/17</t>
        </is>
      </c>
      <c r="F3815" s="134" t="inlineStr">
        <is>
          <t>1412/03</t>
        </is>
      </c>
      <c r="G3815" s="61" t="inlineStr">
        <is>
          <t>خرداد</t>
        </is>
      </c>
      <c r="H3815" s="134" t="inlineStr">
        <is>
          <t>بهار</t>
        </is>
      </c>
      <c r="I3815" s="134" t="inlineStr">
        <is>
          <t>دوشنبه</t>
        </is>
      </c>
      <c r="J3815" s="134" t="inlineStr">
        <is>
          <t>بله</t>
        </is>
      </c>
    </row>
    <row r="3816">
      <c r="A3816" s="173" t="n">
        <v>48737</v>
      </c>
      <c r="B3816" s="174" t="n">
        <v>48737</v>
      </c>
      <c r="C3816" s="174" t="n">
        <v>1412</v>
      </c>
      <c r="D3816" s="174" t="n">
        <v>3</v>
      </c>
      <c r="E3816" s="175" t="inlineStr">
        <is>
          <t>1412/03/18</t>
        </is>
      </c>
      <c r="F3816" s="128" t="inlineStr">
        <is>
          <t>1412/03</t>
        </is>
      </c>
      <c r="G3816" s="58" t="inlineStr">
        <is>
          <t>خرداد</t>
        </is>
      </c>
      <c r="H3816" s="128" t="inlineStr">
        <is>
          <t>بهار</t>
        </is>
      </c>
      <c r="I3816" s="128" t="inlineStr">
        <is>
          <t>سه‌شنبه</t>
        </is>
      </c>
      <c r="J3816" s="128" t="inlineStr">
        <is>
          <t>بله</t>
        </is>
      </c>
    </row>
    <row r="3817">
      <c r="A3817" s="176" t="n">
        <v>48738</v>
      </c>
      <c r="B3817" s="177" t="n">
        <v>48738</v>
      </c>
      <c r="C3817" s="177" t="n">
        <v>1412</v>
      </c>
      <c r="D3817" s="177" t="n">
        <v>3</v>
      </c>
      <c r="E3817" s="178" t="inlineStr">
        <is>
          <t>1412/03/19</t>
        </is>
      </c>
      <c r="F3817" s="134" t="inlineStr">
        <is>
          <t>1412/03</t>
        </is>
      </c>
      <c r="G3817" s="61" t="inlineStr">
        <is>
          <t>خرداد</t>
        </is>
      </c>
      <c r="H3817" s="134" t="inlineStr">
        <is>
          <t>بهار</t>
        </is>
      </c>
      <c r="I3817" s="134" t="inlineStr">
        <is>
          <t>چهارشنبه</t>
        </is>
      </c>
      <c r="J3817" s="134" t="inlineStr">
        <is>
          <t>بله</t>
        </is>
      </c>
    </row>
    <row r="3818">
      <c r="A3818" s="173" t="n">
        <v>48739</v>
      </c>
      <c r="B3818" s="174" t="n">
        <v>48739</v>
      </c>
      <c r="C3818" s="174" t="n">
        <v>1412</v>
      </c>
      <c r="D3818" s="174" t="n">
        <v>3</v>
      </c>
      <c r="E3818" s="175" t="inlineStr">
        <is>
          <t>1412/03/20</t>
        </is>
      </c>
      <c r="F3818" s="128" t="inlineStr">
        <is>
          <t>1412/03</t>
        </is>
      </c>
      <c r="G3818" s="58" t="inlineStr">
        <is>
          <t>خرداد</t>
        </is>
      </c>
      <c r="H3818" s="128" t="inlineStr">
        <is>
          <t>بهار</t>
        </is>
      </c>
      <c r="I3818" s="128" t="inlineStr">
        <is>
          <t>پنجشنبه</t>
        </is>
      </c>
      <c r="J3818" s="128" t="inlineStr">
        <is>
          <t>بله</t>
        </is>
      </c>
    </row>
    <row r="3819">
      <c r="A3819" s="176" t="n">
        <v>48740</v>
      </c>
      <c r="B3819" s="177" t="n">
        <v>48740</v>
      </c>
      <c r="C3819" s="177" t="n">
        <v>1412</v>
      </c>
      <c r="D3819" s="177" t="n">
        <v>3</v>
      </c>
      <c r="E3819" s="178" t="inlineStr">
        <is>
          <t>1412/03/21</t>
        </is>
      </c>
      <c r="F3819" s="134" t="inlineStr">
        <is>
          <t>1412/03</t>
        </is>
      </c>
      <c r="G3819" s="61" t="inlineStr">
        <is>
          <t>خرداد</t>
        </is>
      </c>
      <c r="H3819" s="134" t="inlineStr">
        <is>
          <t>بهار</t>
        </is>
      </c>
      <c r="I3819" s="134" t="inlineStr">
        <is>
          <t>جمعه</t>
        </is>
      </c>
      <c r="J3819" s="134" t="inlineStr">
        <is>
          <t>بله</t>
        </is>
      </c>
    </row>
    <row r="3820">
      <c r="A3820" s="173" t="n">
        <v>48741</v>
      </c>
      <c r="B3820" s="174" t="n">
        <v>48741</v>
      </c>
      <c r="C3820" s="174" t="n">
        <v>1412</v>
      </c>
      <c r="D3820" s="174" t="n">
        <v>3</v>
      </c>
      <c r="E3820" s="175" t="inlineStr">
        <is>
          <t>1412/03/22</t>
        </is>
      </c>
      <c r="F3820" s="128" t="inlineStr">
        <is>
          <t>1412/03</t>
        </is>
      </c>
      <c r="G3820" s="58" t="inlineStr">
        <is>
          <t>خرداد</t>
        </is>
      </c>
      <c r="H3820" s="128" t="inlineStr">
        <is>
          <t>بهار</t>
        </is>
      </c>
      <c r="I3820" s="128" t="inlineStr">
        <is>
          <t>شنبه</t>
        </is>
      </c>
      <c r="J3820" s="128" t="inlineStr">
        <is>
          <t>خیر</t>
        </is>
      </c>
    </row>
    <row r="3821">
      <c r="A3821" s="176" t="n">
        <v>48742</v>
      </c>
      <c r="B3821" s="177" t="n">
        <v>48742</v>
      </c>
      <c r="C3821" s="177" t="n">
        <v>1412</v>
      </c>
      <c r="D3821" s="177" t="n">
        <v>3</v>
      </c>
      <c r="E3821" s="178" t="inlineStr">
        <is>
          <t>1412/03/23</t>
        </is>
      </c>
      <c r="F3821" s="134" t="inlineStr">
        <is>
          <t>1412/03</t>
        </is>
      </c>
      <c r="G3821" s="61" t="inlineStr">
        <is>
          <t>خرداد</t>
        </is>
      </c>
      <c r="H3821" s="134" t="inlineStr">
        <is>
          <t>بهار</t>
        </is>
      </c>
      <c r="I3821" s="134" t="inlineStr">
        <is>
          <t>یکشنبه</t>
        </is>
      </c>
      <c r="J3821" s="134" t="inlineStr">
        <is>
          <t>خیر</t>
        </is>
      </c>
    </row>
    <row r="3822">
      <c r="A3822" s="173" t="n">
        <v>48743</v>
      </c>
      <c r="B3822" s="174" t="n">
        <v>48743</v>
      </c>
      <c r="C3822" s="174" t="n">
        <v>1412</v>
      </c>
      <c r="D3822" s="174" t="n">
        <v>3</v>
      </c>
      <c r="E3822" s="175" t="inlineStr">
        <is>
          <t>1412/03/24</t>
        </is>
      </c>
      <c r="F3822" s="128" t="inlineStr">
        <is>
          <t>1412/03</t>
        </is>
      </c>
      <c r="G3822" s="58" t="inlineStr">
        <is>
          <t>خرداد</t>
        </is>
      </c>
      <c r="H3822" s="128" t="inlineStr">
        <is>
          <t>بهار</t>
        </is>
      </c>
      <c r="I3822" s="128" t="inlineStr">
        <is>
          <t>دوشنبه</t>
        </is>
      </c>
      <c r="J3822" s="128" t="inlineStr">
        <is>
          <t>بله</t>
        </is>
      </c>
    </row>
    <row r="3823">
      <c r="A3823" s="176" t="n">
        <v>48744</v>
      </c>
      <c r="B3823" s="177" t="n">
        <v>48744</v>
      </c>
      <c r="C3823" s="177" t="n">
        <v>1412</v>
      </c>
      <c r="D3823" s="177" t="n">
        <v>3</v>
      </c>
      <c r="E3823" s="178" t="inlineStr">
        <is>
          <t>1412/03/25</t>
        </is>
      </c>
      <c r="F3823" s="134" t="inlineStr">
        <is>
          <t>1412/03</t>
        </is>
      </c>
      <c r="G3823" s="61" t="inlineStr">
        <is>
          <t>خرداد</t>
        </is>
      </c>
      <c r="H3823" s="134" t="inlineStr">
        <is>
          <t>بهار</t>
        </is>
      </c>
      <c r="I3823" s="134" t="inlineStr">
        <is>
          <t>سه‌شنبه</t>
        </is>
      </c>
      <c r="J3823" s="134" t="inlineStr">
        <is>
          <t>بله</t>
        </is>
      </c>
    </row>
    <row r="3824">
      <c r="A3824" s="173" t="n">
        <v>48745</v>
      </c>
      <c r="B3824" s="174" t="n">
        <v>48745</v>
      </c>
      <c r="C3824" s="174" t="n">
        <v>1412</v>
      </c>
      <c r="D3824" s="174" t="n">
        <v>3</v>
      </c>
      <c r="E3824" s="175" t="inlineStr">
        <is>
          <t>1412/03/26</t>
        </is>
      </c>
      <c r="F3824" s="128" t="inlineStr">
        <is>
          <t>1412/03</t>
        </is>
      </c>
      <c r="G3824" s="58" t="inlineStr">
        <is>
          <t>خرداد</t>
        </is>
      </c>
      <c r="H3824" s="128" t="inlineStr">
        <is>
          <t>بهار</t>
        </is>
      </c>
      <c r="I3824" s="128" t="inlineStr">
        <is>
          <t>چهارشنبه</t>
        </is>
      </c>
      <c r="J3824" s="128" t="inlineStr">
        <is>
          <t>بله</t>
        </is>
      </c>
    </row>
    <row r="3825">
      <c r="A3825" s="176" t="n">
        <v>48746</v>
      </c>
      <c r="B3825" s="177" t="n">
        <v>48746</v>
      </c>
      <c r="C3825" s="177" t="n">
        <v>1412</v>
      </c>
      <c r="D3825" s="177" t="n">
        <v>3</v>
      </c>
      <c r="E3825" s="178" t="inlineStr">
        <is>
          <t>1412/03/27</t>
        </is>
      </c>
      <c r="F3825" s="134" t="inlineStr">
        <is>
          <t>1412/03</t>
        </is>
      </c>
      <c r="G3825" s="61" t="inlineStr">
        <is>
          <t>خرداد</t>
        </is>
      </c>
      <c r="H3825" s="134" t="inlineStr">
        <is>
          <t>بهار</t>
        </is>
      </c>
      <c r="I3825" s="134" t="inlineStr">
        <is>
          <t>پنجشنبه</t>
        </is>
      </c>
      <c r="J3825" s="134" t="inlineStr">
        <is>
          <t>بله</t>
        </is>
      </c>
    </row>
    <row r="3826">
      <c r="A3826" s="173" t="n">
        <v>48747</v>
      </c>
      <c r="B3826" s="174" t="n">
        <v>48747</v>
      </c>
      <c r="C3826" s="174" t="n">
        <v>1412</v>
      </c>
      <c r="D3826" s="174" t="n">
        <v>3</v>
      </c>
      <c r="E3826" s="175" t="inlineStr">
        <is>
          <t>1412/03/28</t>
        </is>
      </c>
      <c r="F3826" s="128" t="inlineStr">
        <is>
          <t>1412/03</t>
        </is>
      </c>
      <c r="G3826" s="58" t="inlineStr">
        <is>
          <t>خرداد</t>
        </is>
      </c>
      <c r="H3826" s="128" t="inlineStr">
        <is>
          <t>بهار</t>
        </is>
      </c>
      <c r="I3826" s="128" t="inlineStr">
        <is>
          <t>جمعه</t>
        </is>
      </c>
      <c r="J3826" s="128" t="inlineStr">
        <is>
          <t>بله</t>
        </is>
      </c>
    </row>
    <row r="3827">
      <c r="A3827" s="176" t="n">
        <v>48748</v>
      </c>
      <c r="B3827" s="177" t="n">
        <v>48748</v>
      </c>
      <c r="C3827" s="177" t="n">
        <v>1412</v>
      </c>
      <c r="D3827" s="177" t="n">
        <v>3</v>
      </c>
      <c r="E3827" s="178" t="inlineStr">
        <is>
          <t>1412/03/29</t>
        </is>
      </c>
      <c r="F3827" s="134" t="inlineStr">
        <is>
          <t>1412/03</t>
        </is>
      </c>
      <c r="G3827" s="61" t="inlineStr">
        <is>
          <t>خرداد</t>
        </is>
      </c>
      <c r="H3827" s="134" t="inlineStr">
        <is>
          <t>بهار</t>
        </is>
      </c>
      <c r="I3827" s="134" t="inlineStr">
        <is>
          <t>شنبه</t>
        </is>
      </c>
      <c r="J3827" s="134" t="inlineStr">
        <is>
          <t>خیر</t>
        </is>
      </c>
    </row>
    <row r="3828">
      <c r="A3828" s="173" t="n">
        <v>48749</v>
      </c>
      <c r="B3828" s="174" t="n">
        <v>48749</v>
      </c>
      <c r="C3828" s="174" t="n">
        <v>1412</v>
      </c>
      <c r="D3828" s="174" t="n">
        <v>3</v>
      </c>
      <c r="E3828" s="175" t="inlineStr">
        <is>
          <t>1412/03/30</t>
        </is>
      </c>
      <c r="F3828" s="128" t="inlineStr">
        <is>
          <t>1412/03</t>
        </is>
      </c>
      <c r="G3828" s="58" t="inlineStr">
        <is>
          <t>خرداد</t>
        </is>
      </c>
      <c r="H3828" s="128" t="inlineStr">
        <is>
          <t>بهار</t>
        </is>
      </c>
      <c r="I3828" s="128" t="inlineStr">
        <is>
          <t>یکشنبه</t>
        </is>
      </c>
      <c r="J3828" s="128" t="inlineStr">
        <is>
          <t>خیر</t>
        </is>
      </c>
    </row>
    <row r="3829">
      <c r="A3829" s="176" t="n">
        <v>48750</v>
      </c>
      <c r="B3829" s="177" t="n">
        <v>48750</v>
      </c>
      <c r="C3829" s="177" t="n">
        <v>1412</v>
      </c>
      <c r="D3829" s="177" t="n">
        <v>3</v>
      </c>
      <c r="E3829" s="178" t="inlineStr">
        <is>
          <t>1412/03/31</t>
        </is>
      </c>
      <c r="F3829" s="134" t="inlineStr">
        <is>
          <t>1412/03</t>
        </is>
      </c>
      <c r="G3829" s="61" t="inlineStr">
        <is>
          <t>خرداد</t>
        </is>
      </c>
      <c r="H3829" s="134" t="inlineStr">
        <is>
          <t>بهار</t>
        </is>
      </c>
      <c r="I3829" s="134" t="inlineStr">
        <is>
          <t>دوشنبه</t>
        </is>
      </c>
      <c r="J3829" s="134" t="inlineStr">
        <is>
          <t>بله</t>
        </is>
      </c>
    </row>
    <row r="3830">
      <c r="A3830" s="173" t="n">
        <v>48751</v>
      </c>
      <c r="B3830" s="174" t="n">
        <v>48751</v>
      </c>
      <c r="C3830" s="174" t="n">
        <v>1412</v>
      </c>
      <c r="D3830" s="174" t="n">
        <v>4</v>
      </c>
      <c r="E3830" s="175" t="inlineStr">
        <is>
          <t>1412/04/01</t>
        </is>
      </c>
      <c r="F3830" s="128" t="inlineStr">
        <is>
          <t>1412/04</t>
        </is>
      </c>
      <c r="G3830" s="58" t="inlineStr">
        <is>
          <t>تیر</t>
        </is>
      </c>
      <c r="H3830" s="128" t="inlineStr">
        <is>
          <t>تابستان</t>
        </is>
      </c>
      <c r="I3830" s="128" t="inlineStr">
        <is>
          <t>سه‌شنبه</t>
        </is>
      </c>
      <c r="J3830" s="128" t="inlineStr">
        <is>
          <t>بله</t>
        </is>
      </c>
    </row>
    <row r="3831">
      <c r="A3831" s="176" t="n">
        <v>48752</v>
      </c>
      <c r="B3831" s="177" t="n">
        <v>48752</v>
      </c>
      <c r="C3831" s="177" t="n">
        <v>1412</v>
      </c>
      <c r="D3831" s="177" t="n">
        <v>4</v>
      </c>
      <c r="E3831" s="178" t="inlineStr">
        <is>
          <t>1412/04/02</t>
        </is>
      </c>
      <c r="F3831" s="134" t="inlineStr">
        <is>
          <t>1412/04</t>
        </is>
      </c>
      <c r="G3831" s="61" t="inlineStr">
        <is>
          <t>تیر</t>
        </is>
      </c>
      <c r="H3831" s="134" t="inlineStr">
        <is>
          <t>تابستان</t>
        </is>
      </c>
      <c r="I3831" s="134" t="inlineStr">
        <is>
          <t>چهارشنبه</t>
        </is>
      </c>
      <c r="J3831" s="134" t="inlineStr">
        <is>
          <t>بله</t>
        </is>
      </c>
    </row>
    <row r="3832">
      <c r="A3832" s="173" t="n">
        <v>48753</v>
      </c>
      <c r="B3832" s="174" t="n">
        <v>48753</v>
      </c>
      <c r="C3832" s="174" t="n">
        <v>1412</v>
      </c>
      <c r="D3832" s="174" t="n">
        <v>4</v>
      </c>
      <c r="E3832" s="175" t="inlineStr">
        <is>
          <t>1412/04/03</t>
        </is>
      </c>
      <c r="F3832" s="128" t="inlineStr">
        <is>
          <t>1412/04</t>
        </is>
      </c>
      <c r="G3832" s="58" t="inlineStr">
        <is>
          <t>تیر</t>
        </is>
      </c>
      <c r="H3832" s="128" t="inlineStr">
        <is>
          <t>تابستان</t>
        </is>
      </c>
      <c r="I3832" s="128" t="inlineStr">
        <is>
          <t>پنجشنبه</t>
        </is>
      </c>
      <c r="J3832" s="128" t="inlineStr">
        <is>
          <t>بله</t>
        </is>
      </c>
    </row>
    <row r="3833">
      <c r="A3833" s="176" t="n">
        <v>48754</v>
      </c>
      <c r="B3833" s="177" t="n">
        <v>48754</v>
      </c>
      <c r="C3833" s="177" t="n">
        <v>1412</v>
      </c>
      <c r="D3833" s="177" t="n">
        <v>4</v>
      </c>
      <c r="E3833" s="178" t="inlineStr">
        <is>
          <t>1412/04/04</t>
        </is>
      </c>
      <c r="F3833" s="134" t="inlineStr">
        <is>
          <t>1412/04</t>
        </is>
      </c>
      <c r="G3833" s="61" t="inlineStr">
        <is>
          <t>تیر</t>
        </is>
      </c>
      <c r="H3833" s="134" t="inlineStr">
        <is>
          <t>تابستان</t>
        </is>
      </c>
      <c r="I3833" s="134" t="inlineStr">
        <is>
          <t>جمعه</t>
        </is>
      </c>
      <c r="J3833" s="134" t="inlineStr">
        <is>
          <t>بله</t>
        </is>
      </c>
    </row>
    <row r="3834">
      <c r="A3834" s="173" t="n">
        <v>48755</v>
      </c>
      <c r="B3834" s="174" t="n">
        <v>48755</v>
      </c>
      <c r="C3834" s="174" t="n">
        <v>1412</v>
      </c>
      <c r="D3834" s="174" t="n">
        <v>4</v>
      </c>
      <c r="E3834" s="175" t="inlineStr">
        <is>
          <t>1412/04/05</t>
        </is>
      </c>
      <c r="F3834" s="128" t="inlineStr">
        <is>
          <t>1412/04</t>
        </is>
      </c>
      <c r="G3834" s="58" t="inlineStr">
        <is>
          <t>تیر</t>
        </is>
      </c>
      <c r="H3834" s="128" t="inlineStr">
        <is>
          <t>تابستان</t>
        </is>
      </c>
      <c r="I3834" s="128" t="inlineStr">
        <is>
          <t>شنبه</t>
        </is>
      </c>
      <c r="J3834" s="128" t="inlineStr">
        <is>
          <t>خیر</t>
        </is>
      </c>
    </row>
    <row r="3835">
      <c r="A3835" s="176" t="n">
        <v>48756</v>
      </c>
      <c r="B3835" s="177" t="n">
        <v>48756</v>
      </c>
      <c r="C3835" s="177" t="n">
        <v>1412</v>
      </c>
      <c r="D3835" s="177" t="n">
        <v>4</v>
      </c>
      <c r="E3835" s="178" t="inlineStr">
        <is>
          <t>1412/04/06</t>
        </is>
      </c>
      <c r="F3835" s="134" t="inlineStr">
        <is>
          <t>1412/04</t>
        </is>
      </c>
      <c r="G3835" s="61" t="inlineStr">
        <is>
          <t>تیر</t>
        </is>
      </c>
      <c r="H3835" s="134" t="inlineStr">
        <is>
          <t>تابستان</t>
        </is>
      </c>
      <c r="I3835" s="134" t="inlineStr">
        <is>
          <t>یکشنبه</t>
        </is>
      </c>
      <c r="J3835" s="134" t="inlineStr">
        <is>
          <t>خیر</t>
        </is>
      </c>
    </row>
    <row r="3836">
      <c r="A3836" s="173" t="n">
        <v>48757</v>
      </c>
      <c r="B3836" s="174" t="n">
        <v>48757</v>
      </c>
      <c r="C3836" s="174" t="n">
        <v>1412</v>
      </c>
      <c r="D3836" s="174" t="n">
        <v>4</v>
      </c>
      <c r="E3836" s="175" t="inlineStr">
        <is>
          <t>1412/04/07</t>
        </is>
      </c>
      <c r="F3836" s="128" t="inlineStr">
        <is>
          <t>1412/04</t>
        </is>
      </c>
      <c r="G3836" s="58" t="inlineStr">
        <is>
          <t>تیر</t>
        </is>
      </c>
      <c r="H3836" s="128" t="inlineStr">
        <is>
          <t>تابستان</t>
        </is>
      </c>
      <c r="I3836" s="128" t="inlineStr">
        <is>
          <t>دوشنبه</t>
        </is>
      </c>
      <c r="J3836" s="128" t="inlineStr">
        <is>
          <t>بله</t>
        </is>
      </c>
    </row>
    <row r="3837">
      <c r="A3837" s="176" t="n">
        <v>48758</v>
      </c>
      <c r="B3837" s="177" t="n">
        <v>48758</v>
      </c>
      <c r="C3837" s="177" t="n">
        <v>1412</v>
      </c>
      <c r="D3837" s="177" t="n">
        <v>4</v>
      </c>
      <c r="E3837" s="178" t="inlineStr">
        <is>
          <t>1412/04/08</t>
        </is>
      </c>
      <c r="F3837" s="134" t="inlineStr">
        <is>
          <t>1412/04</t>
        </is>
      </c>
      <c r="G3837" s="61" t="inlineStr">
        <is>
          <t>تیر</t>
        </is>
      </c>
      <c r="H3837" s="134" t="inlineStr">
        <is>
          <t>تابستان</t>
        </is>
      </c>
      <c r="I3837" s="134" t="inlineStr">
        <is>
          <t>سه‌شنبه</t>
        </is>
      </c>
      <c r="J3837" s="134" t="inlineStr">
        <is>
          <t>بله</t>
        </is>
      </c>
    </row>
    <row r="3838">
      <c r="A3838" s="173" t="n">
        <v>48759</v>
      </c>
      <c r="B3838" s="174" t="n">
        <v>48759</v>
      </c>
      <c r="C3838" s="174" t="n">
        <v>1412</v>
      </c>
      <c r="D3838" s="174" t="n">
        <v>4</v>
      </c>
      <c r="E3838" s="175" t="inlineStr">
        <is>
          <t>1412/04/09</t>
        </is>
      </c>
      <c r="F3838" s="128" t="inlineStr">
        <is>
          <t>1412/04</t>
        </is>
      </c>
      <c r="G3838" s="58" t="inlineStr">
        <is>
          <t>تیر</t>
        </is>
      </c>
      <c r="H3838" s="128" t="inlineStr">
        <is>
          <t>تابستان</t>
        </is>
      </c>
      <c r="I3838" s="128" t="inlineStr">
        <is>
          <t>چهارشنبه</t>
        </is>
      </c>
      <c r="J3838" s="128" t="inlineStr">
        <is>
          <t>بله</t>
        </is>
      </c>
    </row>
    <row r="3839">
      <c r="A3839" s="176" t="n">
        <v>48760</v>
      </c>
      <c r="B3839" s="177" t="n">
        <v>48760</v>
      </c>
      <c r="C3839" s="177" t="n">
        <v>1412</v>
      </c>
      <c r="D3839" s="177" t="n">
        <v>4</v>
      </c>
      <c r="E3839" s="178" t="inlineStr">
        <is>
          <t>1412/04/10</t>
        </is>
      </c>
      <c r="F3839" s="134" t="inlineStr">
        <is>
          <t>1412/04</t>
        </is>
      </c>
      <c r="G3839" s="61" t="inlineStr">
        <is>
          <t>تیر</t>
        </is>
      </c>
      <c r="H3839" s="134" t="inlineStr">
        <is>
          <t>تابستان</t>
        </is>
      </c>
      <c r="I3839" s="134" t="inlineStr">
        <is>
          <t>پنجشنبه</t>
        </is>
      </c>
      <c r="J3839" s="134" t="inlineStr">
        <is>
          <t>بله</t>
        </is>
      </c>
    </row>
    <row r="3840">
      <c r="A3840" s="173" t="n">
        <v>48761</v>
      </c>
      <c r="B3840" s="174" t="n">
        <v>48761</v>
      </c>
      <c r="C3840" s="174" t="n">
        <v>1412</v>
      </c>
      <c r="D3840" s="174" t="n">
        <v>4</v>
      </c>
      <c r="E3840" s="175" t="inlineStr">
        <is>
          <t>1412/04/11</t>
        </is>
      </c>
      <c r="F3840" s="128" t="inlineStr">
        <is>
          <t>1412/04</t>
        </is>
      </c>
      <c r="G3840" s="58" t="inlineStr">
        <is>
          <t>تیر</t>
        </is>
      </c>
      <c r="H3840" s="128" t="inlineStr">
        <is>
          <t>تابستان</t>
        </is>
      </c>
      <c r="I3840" s="128" t="inlineStr">
        <is>
          <t>جمعه</t>
        </is>
      </c>
      <c r="J3840" s="128" t="inlineStr">
        <is>
          <t>بله</t>
        </is>
      </c>
    </row>
    <row r="3841">
      <c r="A3841" s="176" t="n">
        <v>48762</v>
      </c>
      <c r="B3841" s="177" t="n">
        <v>48762</v>
      </c>
      <c r="C3841" s="177" t="n">
        <v>1412</v>
      </c>
      <c r="D3841" s="177" t="n">
        <v>4</v>
      </c>
      <c r="E3841" s="178" t="inlineStr">
        <is>
          <t>1412/04/12</t>
        </is>
      </c>
      <c r="F3841" s="134" t="inlineStr">
        <is>
          <t>1412/04</t>
        </is>
      </c>
      <c r="G3841" s="61" t="inlineStr">
        <is>
          <t>تیر</t>
        </is>
      </c>
      <c r="H3841" s="134" t="inlineStr">
        <is>
          <t>تابستان</t>
        </is>
      </c>
      <c r="I3841" s="134" t="inlineStr">
        <is>
          <t>شنبه</t>
        </is>
      </c>
      <c r="J3841" s="134" t="inlineStr">
        <is>
          <t>خیر</t>
        </is>
      </c>
    </row>
    <row r="3842">
      <c r="A3842" s="173" t="n">
        <v>48763</v>
      </c>
      <c r="B3842" s="174" t="n">
        <v>48763</v>
      </c>
      <c r="C3842" s="174" t="n">
        <v>1412</v>
      </c>
      <c r="D3842" s="174" t="n">
        <v>4</v>
      </c>
      <c r="E3842" s="175" t="inlineStr">
        <is>
          <t>1412/04/13</t>
        </is>
      </c>
      <c r="F3842" s="128" t="inlineStr">
        <is>
          <t>1412/04</t>
        </is>
      </c>
      <c r="G3842" s="58" t="inlineStr">
        <is>
          <t>تیر</t>
        </is>
      </c>
      <c r="H3842" s="128" t="inlineStr">
        <is>
          <t>تابستان</t>
        </is>
      </c>
      <c r="I3842" s="128" t="inlineStr">
        <is>
          <t>یکشنبه</t>
        </is>
      </c>
      <c r="J3842" s="128" t="inlineStr">
        <is>
          <t>خیر</t>
        </is>
      </c>
    </row>
    <row r="3843">
      <c r="A3843" s="176" t="n">
        <v>48764</v>
      </c>
      <c r="B3843" s="177" t="n">
        <v>48764</v>
      </c>
      <c r="C3843" s="177" t="n">
        <v>1412</v>
      </c>
      <c r="D3843" s="177" t="n">
        <v>4</v>
      </c>
      <c r="E3843" s="178" t="inlineStr">
        <is>
          <t>1412/04/14</t>
        </is>
      </c>
      <c r="F3843" s="134" t="inlineStr">
        <is>
          <t>1412/04</t>
        </is>
      </c>
      <c r="G3843" s="61" t="inlineStr">
        <is>
          <t>تیر</t>
        </is>
      </c>
      <c r="H3843" s="134" t="inlineStr">
        <is>
          <t>تابستان</t>
        </is>
      </c>
      <c r="I3843" s="134" t="inlineStr">
        <is>
          <t>دوشنبه</t>
        </is>
      </c>
      <c r="J3843" s="134" t="inlineStr">
        <is>
          <t>بله</t>
        </is>
      </c>
    </row>
    <row r="3844">
      <c r="A3844" s="173" t="n">
        <v>48765</v>
      </c>
      <c r="B3844" s="174" t="n">
        <v>48765</v>
      </c>
      <c r="C3844" s="174" t="n">
        <v>1412</v>
      </c>
      <c r="D3844" s="174" t="n">
        <v>4</v>
      </c>
      <c r="E3844" s="175" t="inlineStr">
        <is>
          <t>1412/04/15</t>
        </is>
      </c>
      <c r="F3844" s="128" t="inlineStr">
        <is>
          <t>1412/04</t>
        </is>
      </c>
      <c r="G3844" s="58" t="inlineStr">
        <is>
          <t>تیر</t>
        </is>
      </c>
      <c r="H3844" s="128" t="inlineStr">
        <is>
          <t>تابستان</t>
        </is>
      </c>
      <c r="I3844" s="128" t="inlineStr">
        <is>
          <t>سه‌شنبه</t>
        </is>
      </c>
      <c r="J3844" s="128" t="inlineStr">
        <is>
          <t>بله</t>
        </is>
      </c>
    </row>
    <row r="3845">
      <c r="A3845" s="176" t="n">
        <v>48766</v>
      </c>
      <c r="B3845" s="177" t="n">
        <v>48766</v>
      </c>
      <c r="C3845" s="177" t="n">
        <v>1412</v>
      </c>
      <c r="D3845" s="177" t="n">
        <v>4</v>
      </c>
      <c r="E3845" s="178" t="inlineStr">
        <is>
          <t>1412/04/16</t>
        </is>
      </c>
      <c r="F3845" s="134" t="inlineStr">
        <is>
          <t>1412/04</t>
        </is>
      </c>
      <c r="G3845" s="61" t="inlineStr">
        <is>
          <t>تیر</t>
        </is>
      </c>
      <c r="H3845" s="134" t="inlineStr">
        <is>
          <t>تابستان</t>
        </is>
      </c>
      <c r="I3845" s="134" t="inlineStr">
        <is>
          <t>چهارشنبه</t>
        </is>
      </c>
      <c r="J3845" s="134" t="inlineStr">
        <is>
          <t>بله</t>
        </is>
      </c>
    </row>
    <row r="3846">
      <c r="A3846" s="173" t="n">
        <v>48767</v>
      </c>
      <c r="B3846" s="174" t="n">
        <v>48767</v>
      </c>
      <c r="C3846" s="174" t="n">
        <v>1412</v>
      </c>
      <c r="D3846" s="174" t="n">
        <v>4</v>
      </c>
      <c r="E3846" s="175" t="inlineStr">
        <is>
          <t>1412/04/17</t>
        </is>
      </c>
      <c r="F3846" s="128" t="inlineStr">
        <is>
          <t>1412/04</t>
        </is>
      </c>
      <c r="G3846" s="58" t="inlineStr">
        <is>
          <t>تیر</t>
        </is>
      </c>
      <c r="H3846" s="128" t="inlineStr">
        <is>
          <t>تابستان</t>
        </is>
      </c>
      <c r="I3846" s="128" t="inlineStr">
        <is>
          <t>پنجشنبه</t>
        </is>
      </c>
      <c r="J3846" s="128" t="inlineStr">
        <is>
          <t>بله</t>
        </is>
      </c>
    </row>
    <row r="3847">
      <c r="A3847" s="176" t="n">
        <v>48768</v>
      </c>
      <c r="B3847" s="177" t="n">
        <v>48768</v>
      </c>
      <c r="C3847" s="177" t="n">
        <v>1412</v>
      </c>
      <c r="D3847" s="177" t="n">
        <v>4</v>
      </c>
      <c r="E3847" s="178" t="inlineStr">
        <is>
          <t>1412/04/18</t>
        </is>
      </c>
      <c r="F3847" s="134" t="inlineStr">
        <is>
          <t>1412/04</t>
        </is>
      </c>
      <c r="G3847" s="61" t="inlineStr">
        <is>
          <t>تیر</t>
        </is>
      </c>
      <c r="H3847" s="134" t="inlineStr">
        <is>
          <t>تابستان</t>
        </is>
      </c>
      <c r="I3847" s="134" t="inlineStr">
        <is>
          <t>جمعه</t>
        </is>
      </c>
      <c r="J3847" s="134" t="inlineStr">
        <is>
          <t>بله</t>
        </is>
      </c>
    </row>
    <row r="3848">
      <c r="A3848" s="173" t="n">
        <v>48769</v>
      </c>
      <c r="B3848" s="174" t="n">
        <v>48769</v>
      </c>
      <c r="C3848" s="174" t="n">
        <v>1412</v>
      </c>
      <c r="D3848" s="174" t="n">
        <v>4</v>
      </c>
      <c r="E3848" s="175" t="inlineStr">
        <is>
          <t>1412/04/19</t>
        </is>
      </c>
      <c r="F3848" s="128" t="inlineStr">
        <is>
          <t>1412/04</t>
        </is>
      </c>
      <c r="G3848" s="58" t="inlineStr">
        <is>
          <t>تیر</t>
        </is>
      </c>
      <c r="H3848" s="128" t="inlineStr">
        <is>
          <t>تابستان</t>
        </is>
      </c>
      <c r="I3848" s="128" t="inlineStr">
        <is>
          <t>شنبه</t>
        </is>
      </c>
      <c r="J3848" s="128" t="inlineStr">
        <is>
          <t>خیر</t>
        </is>
      </c>
    </row>
    <row r="3849">
      <c r="A3849" s="176" t="n">
        <v>48770</v>
      </c>
      <c r="B3849" s="177" t="n">
        <v>48770</v>
      </c>
      <c r="C3849" s="177" t="n">
        <v>1412</v>
      </c>
      <c r="D3849" s="177" t="n">
        <v>4</v>
      </c>
      <c r="E3849" s="178" t="inlineStr">
        <is>
          <t>1412/04/20</t>
        </is>
      </c>
      <c r="F3849" s="134" t="inlineStr">
        <is>
          <t>1412/04</t>
        </is>
      </c>
      <c r="G3849" s="61" t="inlineStr">
        <is>
          <t>تیر</t>
        </is>
      </c>
      <c r="H3849" s="134" t="inlineStr">
        <is>
          <t>تابستان</t>
        </is>
      </c>
      <c r="I3849" s="134" t="inlineStr">
        <is>
          <t>یکشنبه</t>
        </is>
      </c>
      <c r="J3849" s="134" t="inlineStr">
        <is>
          <t>خیر</t>
        </is>
      </c>
    </row>
    <row r="3850">
      <c r="A3850" s="173" t="n">
        <v>48771</v>
      </c>
      <c r="B3850" s="174" t="n">
        <v>48771</v>
      </c>
      <c r="C3850" s="174" t="n">
        <v>1412</v>
      </c>
      <c r="D3850" s="174" t="n">
        <v>4</v>
      </c>
      <c r="E3850" s="175" t="inlineStr">
        <is>
          <t>1412/04/21</t>
        </is>
      </c>
      <c r="F3850" s="128" t="inlineStr">
        <is>
          <t>1412/04</t>
        </is>
      </c>
      <c r="G3850" s="58" t="inlineStr">
        <is>
          <t>تیر</t>
        </is>
      </c>
      <c r="H3850" s="128" t="inlineStr">
        <is>
          <t>تابستان</t>
        </is>
      </c>
      <c r="I3850" s="128" t="inlineStr">
        <is>
          <t>دوشنبه</t>
        </is>
      </c>
      <c r="J3850" s="128" t="inlineStr">
        <is>
          <t>بله</t>
        </is>
      </c>
    </row>
    <row r="3851">
      <c r="A3851" s="176" t="n">
        <v>48772</v>
      </c>
      <c r="B3851" s="177" t="n">
        <v>48772</v>
      </c>
      <c r="C3851" s="177" t="n">
        <v>1412</v>
      </c>
      <c r="D3851" s="177" t="n">
        <v>4</v>
      </c>
      <c r="E3851" s="178" t="inlineStr">
        <is>
          <t>1412/04/22</t>
        </is>
      </c>
      <c r="F3851" s="134" t="inlineStr">
        <is>
          <t>1412/04</t>
        </is>
      </c>
      <c r="G3851" s="61" t="inlineStr">
        <is>
          <t>تیر</t>
        </is>
      </c>
      <c r="H3851" s="134" t="inlineStr">
        <is>
          <t>تابستان</t>
        </is>
      </c>
      <c r="I3851" s="134" t="inlineStr">
        <is>
          <t>سه‌شنبه</t>
        </is>
      </c>
      <c r="J3851" s="134" t="inlineStr">
        <is>
          <t>بله</t>
        </is>
      </c>
    </row>
    <row r="3852">
      <c r="A3852" s="173" t="n">
        <v>48773</v>
      </c>
      <c r="B3852" s="174" t="n">
        <v>48773</v>
      </c>
      <c r="C3852" s="174" t="n">
        <v>1412</v>
      </c>
      <c r="D3852" s="174" t="n">
        <v>4</v>
      </c>
      <c r="E3852" s="175" t="inlineStr">
        <is>
          <t>1412/04/23</t>
        </is>
      </c>
      <c r="F3852" s="128" t="inlineStr">
        <is>
          <t>1412/04</t>
        </is>
      </c>
      <c r="G3852" s="58" t="inlineStr">
        <is>
          <t>تیر</t>
        </is>
      </c>
      <c r="H3852" s="128" t="inlineStr">
        <is>
          <t>تابستان</t>
        </is>
      </c>
      <c r="I3852" s="128" t="inlineStr">
        <is>
          <t>چهارشنبه</t>
        </is>
      </c>
      <c r="J3852" s="128" t="inlineStr">
        <is>
          <t>بله</t>
        </is>
      </c>
    </row>
    <row r="3853">
      <c r="A3853" s="176" t="n">
        <v>48774</v>
      </c>
      <c r="B3853" s="177" t="n">
        <v>48774</v>
      </c>
      <c r="C3853" s="177" t="n">
        <v>1412</v>
      </c>
      <c r="D3853" s="177" t="n">
        <v>4</v>
      </c>
      <c r="E3853" s="178" t="inlineStr">
        <is>
          <t>1412/04/24</t>
        </is>
      </c>
      <c r="F3853" s="134" t="inlineStr">
        <is>
          <t>1412/04</t>
        </is>
      </c>
      <c r="G3853" s="61" t="inlineStr">
        <is>
          <t>تیر</t>
        </is>
      </c>
      <c r="H3853" s="134" t="inlineStr">
        <is>
          <t>تابستان</t>
        </is>
      </c>
      <c r="I3853" s="134" t="inlineStr">
        <is>
          <t>پنجشنبه</t>
        </is>
      </c>
      <c r="J3853" s="134" t="inlineStr">
        <is>
          <t>بله</t>
        </is>
      </c>
    </row>
    <row r="3854">
      <c r="A3854" s="173" t="n">
        <v>48775</v>
      </c>
      <c r="B3854" s="174" t="n">
        <v>48775</v>
      </c>
      <c r="C3854" s="174" t="n">
        <v>1412</v>
      </c>
      <c r="D3854" s="174" t="n">
        <v>4</v>
      </c>
      <c r="E3854" s="175" t="inlineStr">
        <is>
          <t>1412/04/25</t>
        </is>
      </c>
      <c r="F3854" s="128" t="inlineStr">
        <is>
          <t>1412/04</t>
        </is>
      </c>
      <c r="G3854" s="58" t="inlineStr">
        <is>
          <t>تیر</t>
        </is>
      </c>
      <c r="H3854" s="128" t="inlineStr">
        <is>
          <t>تابستان</t>
        </is>
      </c>
      <c r="I3854" s="128" t="inlineStr">
        <is>
          <t>جمعه</t>
        </is>
      </c>
      <c r="J3854" s="128" t="inlineStr">
        <is>
          <t>بله</t>
        </is>
      </c>
    </row>
    <row r="3855">
      <c r="A3855" s="176" t="n">
        <v>48776</v>
      </c>
      <c r="B3855" s="177" t="n">
        <v>48776</v>
      </c>
      <c r="C3855" s="177" t="n">
        <v>1412</v>
      </c>
      <c r="D3855" s="177" t="n">
        <v>4</v>
      </c>
      <c r="E3855" s="178" t="inlineStr">
        <is>
          <t>1412/04/26</t>
        </is>
      </c>
      <c r="F3855" s="134" t="inlineStr">
        <is>
          <t>1412/04</t>
        </is>
      </c>
      <c r="G3855" s="61" t="inlineStr">
        <is>
          <t>تیر</t>
        </is>
      </c>
      <c r="H3855" s="134" t="inlineStr">
        <is>
          <t>تابستان</t>
        </is>
      </c>
      <c r="I3855" s="134" t="inlineStr">
        <is>
          <t>شنبه</t>
        </is>
      </c>
      <c r="J3855" s="134" t="inlineStr">
        <is>
          <t>خیر</t>
        </is>
      </c>
    </row>
    <row r="3856">
      <c r="A3856" s="173" t="n">
        <v>48777</v>
      </c>
      <c r="B3856" s="174" t="n">
        <v>48777</v>
      </c>
      <c r="C3856" s="174" t="n">
        <v>1412</v>
      </c>
      <c r="D3856" s="174" t="n">
        <v>4</v>
      </c>
      <c r="E3856" s="175" t="inlineStr">
        <is>
          <t>1412/04/27</t>
        </is>
      </c>
      <c r="F3856" s="128" t="inlineStr">
        <is>
          <t>1412/04</t>
        </is>
      </c>
      <c r="G3856" s="58" t="inlineStr">
        <is>
          <t>تیر</t>
        </is>
      </c>
      <c r="H3856" s="128" t="inlineStr">
        <is>
          <t>تابستان</t>
        </is>
      </c>
      <c r="I3856" s="128" t="inlineStr">
        <is>
          <t>یکشنبه</t>
        </is>
      </c>
      <c r="J3856" s="128" t="inlineStr">
        <is>
          <t>خیر</t>
        </is>
      </c>
    </row>
    <row r="3857">
      <c r="A3857" s="176" t="n">
        <v>48778</v>
      </c>
      <c r="B3857" s="177" t="n">
        <v>48778</v>
      </c>
      <c r="C3857" s="177" t="n">
        <v>1412</v>
      </c>
      <c r="D3857" s="177" t="n">
        <v>4</v>
      </c>
      <c r="E3857" s="178" t="inlineStr">
        <is>
          <t>1412/04/28</t>
        </is>
      </c>
      <c r="F3857" s="134" t="inlineStr">
        <is>
          <t>1412/04</t>
        </is>
      </c>
      <c r="G3857" s="61" t="inlineStr">
        <is>
          <t>تیر</t>
        </is>
      </c>
      <c r="H3857" s="134" t="inlineStr">
        <is>
          <t>تابستان</t>
        </is>
      </c>
      <c r="I3857" s="134" t="inlineStr">
        <is>
          <t>دوشنبه</t>
        </is>
      </c>
      <c r="J3857" s="134" t="inlineStr">
        <is>
          <t>بله</t>
        </is>
      </c>
    </row>
    <row r="3858">
      <c r="A3858" s="173" t="n">
        <v>48779</v>
      </c>
      <c r="B3858" s="174" t="n">
        <v>48779</v>
      </c>
      <c r="C3858" s="174" t="n">
        <v>1412</v>
      </c>
      <c r="D3858" s="174" t="n">
        <v>4</v>
      </c>
      <c r="E3858" s="175" t="inlineStr">
        <is>
          <t>1412/04/29</t>
        </is>
      </c>
      <c r="F3858" s="128" t="inlineStr">
        <is>
          <t>1412/04</t>
        </is>
      </c>
      <c r="G3858" s="58" t="inlineStr">
        <is>
          <t>تیر</t>
        </is>
      </c>
      <c r="H3858" s="128" t="inlineStr">
        <is>
          <t>تابستان</t>
        </is>
      </c>
      <c r="I3858" s="128" t="inlineStr">
        <is>
          <t>سه‌شنبه</t>
        </is>
      </c>
      <c r="J3858" s="128" t="inlineStr">
        <is>
          <t>بله</t>
        </is>
      </c>
    </row>
    <row r="3859">
      <c r="A3859" s="176" t="n">
        <v>48780</v>
      </c>
      <c r="B3859" s="177" t="n">
        <v>48780</v>
      </c>
      <c r="C3859" s="177" t="n">
        <v>1412</v>
      </c>
      <c r="D3859" s="177" t="n">
        <v>4</v>
      </c>
      <c r="E3859" s="178" t="inlineStr">
        <is>
          <t>1412/04/30</t>
        </is>
      </c>
      <c r="F3859" s="134" t="inlineStr">
        <is>
          <t>1412/04</t>
        </is>
      </c>
      <c r="G3859" s="61" t="inlineStr">
        <is>
          <t>تیر</t>
        </is>
      </c>
      <c r="H3859" s="134" t="inlineStr">
        <is>
          <t>تابستان</t>
        </is>
      </c>
      <c r="I3859" s="134" t="inlineStr">
        <is>
          <t>چهارشنبه</t>
        </is>
      </c>
      <c r="J3859" s="134" t="inlineStr">
        <is>
          <t>بله</t>
        </is>
      </c>
    </row>
    <row r="3860">
      <c r="A3860" s="173" t="n">
        <v>48781</v>
      </c>
      <c r="B3860" s="174" t="n">
        <v>48781</v>
      </c>
      <c r="C3860" s="174" t="n">
        <v>1412</v>
      </c>
      <c r="D3860" s="174" t="n">
        <v>4</v>
      </c>
      <c r="E3860" s="175" t="inlineStr">
        <is>
          <t>1412/04/31</t>
        </is>
      </c>
      <c r="F3860" s="128" t="inlineStr">
        <is>
          <t>1412/04</t>
        </is>
      </c>
      <c r="G3860" s="58" t="inlineStr">
        <is>
          <t>تیر</t>
        </is>
      </c>
      <c r="H3860" s="128" t="inlineStr">
        <is>
          <t>تابستان</t>
        </is>
      </c>
      <c r="I3860" s="128" t="inlineStr">
        <is>
          <t>پنجشنبه</t>
        </is>
      </c>
      <c r="J3860" s="128" t="inlineStr">
        <is>
          <t>بله</t>
        </is>
      </c>
    </row>
    <row r="3861">
      <c r="A3861" s="176" t="n">
        <v>48782</v>
      </c>
      <c r="B3861" s="177" t="n">
        <v>48782</v>
      </c>
      <c r="C3861" s="177" t="n">
        <v>1412</v>
      </c>
      <c r="D3861" s="177" t="n">
        <v>5</v>
      </c>
      <c r="E3861" s="178" t="inlineStr">
        <is>
          <t>1412/05/01</t>
        </is>
      </c>
      <c r="F3861" s="134" t="inlineStr">
        <is>
          <t>1412/05</t>
        </is>
      </c>
      <c r="G3861" s="61" t="inlineStr">
        <is>
          <t>مرداد</t>
        </is>
      </c>
      <c r="H3861" s="134" t="inlineStr">
        <is>
          <t>تابستان</t>
        </is>
      </c>
      <c r="I3861" s="134" t="inlineStr">
        <is>
          <t>جمعه</t>
        </is>
      </c>
      <c r="J3861" s="134" t="inlineStr">
        <is>
          <t>بله</t>
        </is>
      </c>
    </row>
    <row r="3862">
      <c r="A3862" s="173" t="n">
        <v>48783</v>
      </c>
      <c r="B3862" s="174" t="n">
        <v>48783</v>
      </c>
      <c r="C3862" s="174" t="n">
        <v>1412</v>
      </c>
      <c r="D3862" s="174" t="n">
        <v>5</v>
      </c>
      <c r="E3862" s="175" t="inlineStr">
        <is>
          <t>1412/05/02</t>
        </is>
      </c>
      <c r="F3862" s="128" t="inlineStr">
        <is>
          <t>1412/05</t>
        </is>
      </c>
      <c r="G3862" s="58" t="inlineStr">
        <is>
          <t>مرداد</t>
        </is>
      </c>
      <c r="H3862" s="128" t="inlineStr">
        <is>
          <t>تابستان</t>
        </is>
      </c>
      <c r="I3862" s="128" t="inlineStr">
        <is>
          <t>شنبه</t>
        </is>
      </c>
      <c r="J3862" s="128" t="inlineStr">
        <is>
          <t>خیر</t>
        </is>
      </c>
    </row>
    <row r="3863">
      <c r="A3863" s="176" t="n">
        <v>48784</v>
      </c>
      <c r="B3863" s="177" t="n">
        <v>48784</v>
      </c>
      <c r="C3863" s="177" t="n">
        <v>1412</v>
      </c>
      <c r="D3863" s="177" t="n">
        <v>5</v>
      </c>
      <c r="E3863" s="178" t="inlineStr">
        <is>
          <t>1412/05/03</t>
        </is>
      </c>
      <c r="F3863" s="134" t="inlineStr">
        <is>
          <t>1412/05</t>
        </is>
      </c>
      <c r="G3863" s="61" t="inlineStr">
        <is>
          <t>مرداد</t>
        </is>
      </c>
      <c r="H3863" s="134" t="inlineStr">
        <is>
          <t>تابستان</t>
        </is>
      </c>
      <c r="I3863" s="134" t="inlineStr">
        <is>
          <t>یکشنبه</t>
        </is>
      </c>
      <c r="J3863" s="134" t="inlineStr">
        <is>
          <t>خیر</t>
        </is>
      </c>
    </row>
    <row r="3864">
      <c r="A3864" s="173" t="n">
        <v>48785</v>
      </c>
      <c r="B3864" s="174" t="n">
        <v>48785</v>
      </c>
      <c r="C3864" s="174" t="n">
        <v>1412</v>
      </c>
      <c r="D3864" s="174" t="n">
        <v>5</v>
      </c>
      <c r="E3864" s="175" t="inlineStr">
        <is>
          <t>1412/05/04</t>
        </is>
      </c>
      <c r="F3864" s="128" t="inlineStr">
        <is>
          <t>1412/05</t>
        </is>
      </c>
      <c r="G3864" s="58" t="inlineStr">
        <is>
          <t>مرداد</t>
        </is>
      </c>
      <c r="H3864" s="128" t="inlineStr">
        <is>
          <t>تابستان</t>
        </is>
      </c>
      <c r="I3864" s="128" t="inlineStr">
        <is>
          <t>دوشنبه</t>
        </is>
      </c>
      <c r="J3864" s="128" t="inlineStr">
        <is>
          <t>بله</t>
        </is>
      </c>
    </row>
    <row r="3865">
      <c r="A3865" s="176" t="n">
        <v>48786</v>
      </c>
      <c r="B3865" s="177" t="n">
        <v>48786</v>
      </c>
      <c r="C3865" s="177" t="n">
        <v>1412</v>
      </c>
      <c r="D3865" s="177" t="n">
        <v>5</v>
      </c>
      <c r="E3865" s="178" t="inlineStr">
        <is>
          <t>1412/05/05</t>
        </is>
      </c>
      <c r="F3865" s="134" t="inlineStr">
        <is>
          <t>1412/05</t>
        </is>
      </c>
      <c r="G3865" s="61" t="inlineStr">
        <is>
          <t>مرداد</t>
        </is>
      </c>
      <c r="H3865" s="134" t="inlineStr">
        <is>
          <t>تابستان</t>
        </is>
      </c>
      <c r="I3865" s="134" t="inlineStr">
        <is>
          <t>سه‌شنبه</t>
        </is>
      </c>
      <c r="J3865" s="134" t="inlineStr">
        <is>
          <t>بله</t>
        </is>
      </c>
    </row>
    <row r="3866">
      <c r="A3866" s="173" t="n">
        <v>48787</v>
      </c>
      <c r="B3866" s="174" t="n">
        <v>48787</v>
      </c>
      <c r="C3866" s="174" t="n">
        <v>1412</v>
      </c>
      <c r="D3866" s="174" t="n">
        <v>5</v>
      </c>
      <c r="E3866" s="175" t="inlineStr">
        <is>
          <t>1412/05/06</t>
        </is>
      </c>
      <c r="F3866" s="128" t="inlineStr">
        <is>
          <t>1412/05</t>
        </is>
      </c>
      <c r="G3866" s="58" t="inlineStr">
        <is>
          <t>مرداد</t>
        </is>
      </c>
      <c r="H3866" s="128" t="inlineStr">
        <is>
          <t>تابستان</t>
        </is>
      </c>
      <c r="I3866" s="128" t="inlineStr">
        <is>
          <t>چهارشنبه</t>
        </is>
      </c>
      <c r="J3866" s="128" t="inlineStr">
        <is>
          <t>بله</t>
        </is>
      </c>
    </row>
    <row r="3867">
      <c r="A3867" s="176" t="n">
        <v>48788</v>
      </c>
      <c r="B3867" s="177" t="n">
        <v>48788</v>
      </c>
      <c r="C3867" s="177" t="n">
        <v>1412</v>
      </c>
      <c r="D3867" s="177" t="n">
        <v>5</v>
      </c>
      <c r="E3867" s="178" t="inlineStr">
        <is>
          <t>1412/05/07</t>
        </is>
      </c>
      <c r="F3867" s="134" t="inlineStr">
        <is>
          <t>1412/05</t>
        </is>
      </c>
      <c r="G3867" s="61" t="inlineStr">
        <is>
          <t>مرداد</t>
        </is>
      </c>
      <c r="H3867" s="134" t="inlineStr">
        <is>
          <t>تابستان</t>
        </is>
      </c>
      <c r="I3867" s="134" t="inlineStr">
        <is>
          <t>پنجشنبه</t>
        </is>
      </c>
      <c r="J3867" s="134" t="inlineStr">
        <is>
          <t>بله</t>
        </is>
      </c>
    </row>
    <row r="3868">
      <c r="A3868" s="173" t="n">
        <v>48789</v>
      </c>
      <c r="B3868" s="174" t="n">
        <v>48789</v>
      </c>
      <c r="C3868" s="174" t="n">
        <v>1412</v>
      </c>
      <c r="D3868" s="174" t="n">
        <v>5</v>
      </c>
      <c r="E3868" s="175" t="inlineStr">
        <is>
          <t>1412/05/08</t>
        </is>
      </c>
      <c r="F3868" s="128" t="inlineStr">
        <is>
          <t>1412/05</t>
        </is>
      </c>
      <c r="G3868" s="58" t="inlineStr">
        <is>
          <t>مرداد</t>
        </is>
      </c>
      <c r="H3868" s="128" t="inlineStr">
        <is>
          <t>تابستان</t>
        </is>
      </c>
      <c r="I3868" s="128" t="inlineStr">
        <is>
          <t>جمعه</t>
        </is>
      </c>
      <c r="J3868" s="128" t="inlineStr">
        <is>
          <t>بله</t>
        </is>
      </c>
    </row>
    <row r="3869">
      <c r="A3869" s="176" t="n">
        <v>48790</v>
      </c>
      <c r="B3869" s="177" t="n">
        <v>48790</v>
      </c>
      <c r="C3869" s="177" t="n">
        <v>1412</v>
      </c>
      <c r="D3869" s="177" t="n">
        <v>5</v>
      </c>
      <c r="E3869" s="178" t="inlineStr">
        <is>
          <t>1412/05/09</t>
        </is>
      </c>
      <c r="F3869" s="134" t="inlineStr">
        <is>
          <t>1412/05</t>
        </is>
      </c>
      <c r="G3869" s="61" t="inlineStr">
        <is>
          <t>مرداد</t>
        </is>
      </c>
      <c r="H3869" s="134" t="inlineStr">
        <is>
          <t>تابستان</t>
        </is>
      </c>
      <c r="I3869" s="134" t="inlineStr">
        <is>
          <t>شنبه</t>
        </is>
      </c>
      <c r="J3869" s="134" t="inlineStr">
        <is>
          <t>خیر</t>
        </is>
      </c>
    </row>
    <row r="3870">
      <c r="A3870" s="173" t="n">
        <v>48791</v>
      </c>
      <c r="B3870" s="174" t="n">
        <v>48791</v>
      </c>
      <c r="C3870" s="174" t="n">
        <v>1412</v>
      </c>
      <c r="D3870" s="174" t="n">
        <v>5</v>
      </c>
      <c r="E3870" s="175" t="inlineStr">
        <is>
          <t>1412/05/10</t>
        </is>
      </c>
      <c r="F3870" s="128" t="inlineStr">
        <is>
          <t>1412/05</t>
        </is>
      </c>
      <c r="G3870" s="58" t="inlineStr">
        <is>
          <t>مرداد</t>
        </is>
      </c>
      <c r="H3870" s="128" t="inlineStr">
        <is>
          <t>تابستان</t>
        </is>
      </c>
      <c r="I3870" s="128" t="inlineStr">
        <is>
          <t>یکشنبه</t>
        </is>
      </c>
      <c r="J3870" s="128" t="inlineStr">
        <is>
          <t>خیر</t>
        </is>
      </c>
    </row>
    <row r="3871">
      <c r="A3871" s="176" t="n">
        <v>48792</v>
      </c>
      <c r="B3871" s="177" t="n">
        <v>48792</v>
      </c>
      <c r="C3871" s="177" t="n">
        <v>1412</v>
      </c>
      <c r="D3871" s="177" t="n">
        <v>5</v>
      </c>
      <c r="E3871" s="178" t="inlineStr">
        <is>
          <t>1412/05/11</t>
        </is>
      </c>
      <c r="F3871" s="134" t="inlineStr">
        <is>
          <t>1412/05</t>
        </is>
      </c>
      <c r="G3871" s="61" t="inlineStr">
        <is>
          <t>مرداد</t>
        </is>
      </c>
      <c r="H3871" s="134" t="inlineStr">
        <is>
          <t>تابستان</t>
        </is>
      </c>
      <c r="I3871" s="134" t="inlineStr">
        <is>
          <t>دوشنبه</t>
        </is>
      </c>
      <c r="J3871" s="134" t="inlineStr">
        <is>
          <t>بله</t>
        </is>
      </c>
    </row>
    <row r="3872">
      <c r="A3872" s="173" t="n">
        <v>48793</v>
      </c>
      <c r="B3872" s="174" t="n">
        <v>48793</v>
      </c>
      <c r="C3872" s="174" t="n">
        <v>1412</v>
      </c>
      <c r="D3872" s="174" t="n">
        <v>5</v>
      </c>
      <c r="E3872" s="175" t="inlineStr">
        <is>
          <t>1412/05/12</t>
        </is>
      </c>
      <c r="F3872" s="128" t="inlineStr">
        <is>
          <t>1412/05</t>
        </is>
      </c>
      <c r="G3872" s="58" t="inlineStr">
        <is>
          <t>مرداد</t>
        </is>
      </c>
      <c r="H3872" s="128" t="inlineStr">
        <is>
          <t>تابستان</t>
        </is>
      </c>
      <c r="I3872" s="128" t="inlineStr">
        <is>
          <t>سه‌شنبه</t>
        </is>
      </c>
      <c r="J3872" s="128" t="inlineStr">
        <is>
          <t>بله</t>
        </is>
      </c>
    </row>
    <row r="3873">
      <c r="A3873" s="176" t="n">
        <v>48794</v>
      </c>
      <c r="B3873" s="177" t="n">
        <v>48794</v>
      </c>
      <c r="C3873" s="177" t="n">
        <v>1412</v>
      </c>
      <c r="D3873" s="177" t="n">
        <v>5</v>
      </c>
      <c r="E3873" s="178" t="inlineStr">
        <is>
          <t>1412/05/13</t>
        </is>
      </c>
      <c r="F3873" s="134" t="inlineStr">
        <is>
          <t>1412/05</t>
        </is>
      </c>
      <c r="G3873" s="61" t="inlineStr">
        <is>
          <t>مرداد</t>
        </is>
      </c>
      <c r="H3873" s="134" t="inlineStr">
        <is>
          <t>تابستان</t>
        </is>
      </c>
      <c r="I3873" s="134" t="inlineStr">
        <is>
          <t>چهارشنبه</t>
        </is>
      </c>
      <c r="J3873" s="134" t="inlineStr">
        <is>
          <t>بله</t>
        </is>
      </c>
    </row>
    <row r="3874">
      <c r="A3874" s="173" t="n">
        <v>48795</v>
      </c>
      <c r="B3874" s="174" t="n">
        <v>48795</v>
      </c>
      <c r="C3874" s="174" t="n">
        <v>1412</v>
      </c>
      <c r="D3874" s="174" t="n">
        <v>5</v>
      </c>
      <c r="E3874" s="175" t="inlineStr">
        <is>
          <t>1412/05/14</t>
        </is>
      </c>
      <c r="F3874" s="128" t="inlineStr">
        <is>
          <t>1412/05</t>
        </is>
      </c>
      <c r="G3874" s="58" t="inlineStr">
        <is>
          <t>مرداد</t>
        </is>
      </c>
      <c r="H3874" s="128" t="inlineStr">
        <is>
          <t>تابستان</t>
        </is>
      </c>
      <c r="I3874" s="128" t="inlineStr">
        <is>
          <t>پنجشنبه</t>
        </is>
      </c>
      <c r="J3874" s="128" t="inlineStr">
        <is>
          <t>بله</t>
        </is>
      </c>
    </row>
    <row r="3875">
      <c r="A3875" s="176" t="n">
        <v>48796</v>
      </c>
      <c r="B3875" s="177" t="n">
        <v>48796</v>
      </c>
      <c r="C3875" s="177" t="n">
        <v>1412</v>
      </c>
      <c r="D3875" s="177" t="n">
        <v>5</v>
      </c>
      <c r="E3875" s="178" t="inlineStr">
        <is>
          <t>1412/05/15</t>
        </is>
      </c>
      <c r="F3875" s="134" t="inlineStr">
        <is>
          <t>1412/05</t>
        </is>
      </c>
      <c r="G3875" s="61" t="inlineStr">
        <is>
          <t>مرداد</t>
        </is>
      </c>
      <c r="H3875" s="134" t="inlineStr">
        <is>
          <t>تابستان</t>
        </is>
      </c>
      <c r="I3875" s="134" t="inlineStr">
        <is>
          <t>جمعه</t>
        </is>
      </c>
      <c r="J3875" s="134" t="inlineStr">
        <is>
          <t>بله</t>
        </is>
      </c>
    </row>
    <row r="3876">
      <c r="A3876" s="173" t="n">
        <v>48797</v>
      </c>
      <c r="B3876" s="174" t="n">
        <v>48797</v>
      </c>
      <c r="C3876" s="174" t="n">
        <v>1412</v>
      </c>
      <c r="D3876" s="174" t="n">
        <v>5</v>
      </c>
      <c r="E3876" s="175" t="inlineStr">
        <is>
          <t>1412/05/16</t>
        </is>
      </c>
      <c r="F3876" s="128" t="inlineStr">
        <is>
          <t>1412/05</t>
        </is>
      </c>
      <c r="G3876" s="58" t="inlineStr">
        <is>
          <t>مرداد</t>
        </is>
      </c>
      <c r="H3876" s="128" t="inlineStr">
        <is>
          <t>تابستان</t>
        </is>
      </c>
      <c r="I3876" s="128" t="inlineStr">
        <is>
          <t>شنبه</t>
        </is>
      </c>
      <c r="J3876" s="128" t="inlineStr">
        <is>
          <t>خیر</t>
        </is>
      </c>
    </row>
    <row r="3877">
      <c r="A3877" s="176" t="n">
        <v>48798</v>
      </c>
      <c r="B3877" s="177" t="n">
        <v>48798</v>
      </c>
      <c r="C3877" s="177" t="n">
        <v>1412</v>
      </c>
      <c r="D3877" s="177" t="n">
        <v>5</v>
      </c>
      <c r="E3877" s="178" t="inlineStr">
        <is>
          <t>1412/05/17</t>
        </is>
      </c>
      <c r="F3877" s="134" t="inlineStr">
        <is>
          <t>1412/05</t>
        </is>
      </c>
      <c r="G3877" s="61" t="inlineStr">
        <is>
          <t>مرداد</t>
        </is>
      </c>
      <c r="H3877" s="134" t="inlineStr">
        <is>
          <t>تابستان</t>
        </is>
      </c>
      <c r="I3877" s="134" t="inlineStr">
        <is>
          <t>یکشنبه</t>
        </is>
      </c>
      <c r="J3877" s="134" t="inlineStr">
        <is>
          <t>خیر</t>
        </is>
      </c>
    </row>
    <row r="3878">
      <c r="A3878" s="173" t="n">
        <v>48799</v>
      </c>
      <c r="B3878" s="174" t="n">
        <v>48799</v>
      </c>
      <c r="C3878" s="174" t="n">
        <v>1412</v>
      </c>
      <c r="D3878" s="174" t="n">
        <v>5</v>
      </c>
      <c r="E3878" s="175" t="inlineStr">
        <is>
          <t>1412/05/18</t>
        </is>
      </c>
      <c r="F3878" s="128" t="inlineStr">
        <is>
          <t>1412/05</t>
        </is>
      </c>
      <c r="G3878" s="58" t="inlineStr">
        <is>
          <t>مرداد</t>
        </is>
      </c>
      <c r="H3878" s="128" t="inlineStr">
        <is>
          <t>تابستان</t>
        </is>
      </c>
      <c r="I3878" s="128" t="inlineStr">
        <is>
          <t>دوشنبه</t>
        </is>
      </c>
      <c r="J3878" s="128" t="inlineStr">
        <is>
          <t>بله</t>
        </is>
      </c>
    </row>
    <row r="3879">
      <c r="A3879" s="176" t="n">
        <v>48800</v>
      </c>
      <c r="B3879" s="177" t="n">
        <v>48800</v>
      </c>
      <c r="C3879" s="177" t="n">
        <v>1412</v>
      </c>
      <c r="D3879" s="177" t="n">
        <v>5</v>
      </c>
      <c r="E3879" s="178" t="inlineStr">
        <is>
          <t>1412/05/19</t>
        </is>
      </c>
      <c r="F3879" s="134" t="inlineStr">
        <is>
          <t>1412/05</t>
        </is>
      </c>
      <c r="G3879" s="61" t="inlineStr">
        <is>
          <t>مرداد</t>
        </is>
      </c>
      <c r="H3879" s="134" t="inlineStr">
        <is>
          <t>تابستان</t>
        </is>
      </c>
      <c r="I3879" s="134" t="inlineStr">
        <is>
          <t>سه‌شنبه</t>
        </is>
      </c>
      <c r="J3879" s="134" t="inlineStr">
        <is>
          <t>بله</t>
        </is>
      </c>
    </row>
    <row r="3880">
      <c r="A3880" s="173" t="n">
        <v>48801</v>
      </c>
      <c r="B3880" s="174" t="n">
        <v>48801</v>
      </c>
      <c r="C3880" s="174" t="n">
        <v>1412</v>
      </c>
      <c r="D3880" s="174" t="n">
        <v>5</v>
      </c>
      <c r="E3880" s="175" t="inlineStr">
        <is>
          <t>1412/05/20</t>
        </is>
      </c>
      <c r="F3880" s="128" t="inlineStr">
        <is>
          <t>1412/05</t>
        </is>
      </c>
      <c r="G3880" s="58" t="inlineStr">
        <is>
          <t>مرداد</t>
        </is>
      </c>
      <c r="H3880" s="128" t="inlineStr">
        <is>
          <t>تابستان</t>
        </is>
      </c>
      <c r="I3880" s="128" t="inlineStr">
        <is>
          <t>چهارشنبه</t>
        </is>
      </c>
      <c r="J3880" s="128" t="inlineStr">
        <is>
          <t>بله</t>
        </is>
      </c>
    </row>
    <row r="3881">
      <c r="A3881" s="176" t="n">
        <v>48802</v>
      </c>
      <c r="B3881" s="177" t="n">
        <v>48802</v>
      </c>
      <c r="C3881" s="177" t="n">
        <v>1412</v>
      </c>
      <c r="D3881" s="177" t="n">
        <v>5</v>
      </c>
      <c r="E3881" s="178" t="inlineStr">
        <is>
          <t>1412/05/21</t>
        </is>
      </c>
      <c r="F3881" s="134" t="inlineStr">
        <is>
          <t>1412/05</t>
        </is>
      </c>
      <c r="G3881" s="61" t="inlineStr">
        <is>
          <t>مرداد</t>
        </is>
      </c>
      <c r="H3881" s="134" t="inlineStr">
        <is>
          <t>تابستان</t>
        </is>
      </c>
      <c r="I3881" s="134" t="inlineStr">
        <is>
          <t>پنجشنبه</t>
        </is>
      </c>
      <c r="J3881" s="134" t="inlineStr">
        <is>
          <t>بله</t>
        </is>
      </c>
    </row>
    <row r="3882">
      <c r="A3882" s="173" t="n">
        <v>48803</v>
      </c>
      <c r="B3882" s="174" t="n">
        <v>48803</v>
      </c>
      <c r="C3882" s="174" t="n">
        <v>1412</v>
      </c>
      <c r="D3882" s="174" t="n">
        <v>5</v>
      </c>
      <c r="E3882" s="175" t="inlineStr">
        <is>
          <t>1412/05/22</t>
        </is>
      </c>
      <c r="F3882" s="128" t="inlineStr">
        <is>
          <t>1412/05</t>
        </is>
      </c>
      <c r="G3882" s="58" t="inlineStr">
        <is>
          <t>مرداد</t>
        </is>
      </c>
      <c r="H3882" s="128" t="inlineStr">
        <is>
          <t>تابستان</t>
        </is>
      </c>
      <c r="I3882" s="128" t="inlineStr">
        <is>
          <t>جمعه</t>
        </is>
      </c>
      <c r="J3882" s="128" t="inlineStr">
        <is>
          <t>بله</t>
        </is>
      </c>
    </row>
    <row r="3883">
      <c r="A3883" s="176" t="n">
        <v>48804</v>
      </c>
      <c r="B3883" s="177" t="n">
        <v>48804</v>
      </c>
      <c r="C3883" s="177" t="n">
        <v>1412</v>
      </c>
      <c r="D3883" s="177" t="n">
        <v>5</v>
      </c>
      <c r="E3883" s="178" t="inlineStr">
        <is>
          <t>1412/05/23</t>
        </is>
      </c>
      <c r="F3883" s="134" t="inlineStr">
        <is>
          <t>1412/05</t>
        </is>
      </c>
      <c r="G3883" s="61" t="inlineStr">
        <is>
          <t>مرداد</t>
        </is>
      </c>
      <c r="H3883" s="134" t="inlineStr">
        <is>
          <t>تابستان</t>
        </is>
      </c>
      <c r="I3883" s="134" t="inlineStr">
        <is>
          <t>شنبه</t>
        </is>
      </c>
      <c r="J3883" s="134" t="inlineStr">
        <is>
          <t>خیر</t>
        </is>
      </c>
    </row>
    <row r="3884">
      <c r="A3884" s="173" t="n">
        <v>48805</v>
      </c>
      <c r="B3884" s="174" t="n">
        <v>48805</v>
      </c>
      <c r="C3884" s="174" t="n">
        <v>1412</v>
      </c>
      <c r="D3884" s="174" t="n">
        <v>5</v>
      </c>
      <c r="E3884" s="175" t="inlineStr">
        <is>
          <t>1412/05/24</t>
        </is>
      </c>
      <c r="F3884" s="128" t="inlineStr">
        <is>
          <t>1412/05</t>
        </is>
      </c>
      <c r="G3884" s="58" t="inlineStr">
        <is>
          <t>مرداد</t>
        </is>
      </c>
      <c r="H3884" s="128" t="inlineStr">
        <is>
          <t>تابستان</t>
        </is>
      </c>
      <c r="I3884" s="128" t="inlineStr">
        <is>
          <t>یکشنبه</t>
        </is>
      </c>
      <c r="J3884" s="128" t="inlineStr">
        <is>
          <t>خیر</t>
        </is>
      </c>
    </row>
    <row r="3885">
      <c r="A3885" s="176" t="n">
        <v>48806</v>
      </c>
      <c r="B3885" s="177" t="n">
        <v>48806</v>
      </c>
      <c r="C3885" s="177" t="n">
        <v>1412</v>
      </c>
      <c r="D3885" s="177" t="n">
        <v>5</v>
      </c>
      <c r="E3885" s="178" t="inlineStr">
        <is>
          <t>1412/05/25</t>
        </is>
      </c>
      <c r="F3885" s="134" t="inlineStr">
        <is>
          <t>1412/05</t>
        </is>
      </c>
      <c r="G3885" s="61" t="inlineStr">
        <is>
          <t>مرداد</t>
        </is>
      </c>
      <c r="H3885" s="134" t="inlineStr">
        <is>
          <t>تابستان</t>
        </is>
      </c>
      <c r="I3885" s="134" t="inlineStr">
        <is>
          <t>دوشنبه</t>
        </is>
      </c>
      <c r="J3885" s="134" t="inlineStr">
        <is>
          <t>بله</t>
        </is>
      </c>
    </row>
    <row r="3886">
      <c r="A3886" s="173" t="n">
        <v>48807</v>
      </c>
      <c r="B3886" s="174" t="n">
        <v>48807</v>
      </c>
      <c r="C3886" s="174" t="n">
        <v>1412</v>
      </c>
      <c r="D3886" s="174" t="n">
        <v>5</v>
      </c>
      <c r="E3886" s="175" t="inlineStr">
        <is>
          <t>1412/05/26</t>
        </is>
      </c>
      <c r="F3886" s="128" t="inlineStr">
        <is>
          <t>1412/05</t>
        </is>
      </c>
      <c r="G3886" s="58" t="inlineStr">
        <is>
          <t>مرداد</t>
        </is>
      </c>
      <c r="H3886" s="128" t="inlineStr">
        <is>
          <t>تابستان</t>
        </is>
      </c>
      <c r="I3886" s="128" t="inlineStr">
        <is>
          <t>سه‌شنبه</t>
        </is>
      </c>
      <c r="J3886" s="128" t="inlineStr">
        <is>
          <t>بله</t>
        </is>
      </c>
    </row>
    <row r="3887">
      <c r="A3887" s="176" t="n">
        <v>48808</v>
      </c>
      <c r="B3887" s="177" t="n">
        <v>48808</v>
      </c>
      <c r="C3887" s="177" t="n">
        <v>1412</v>
      </c>
      <c r="D3887" s="177" t="n">
        <v>5</v>
      </c>
      <c r="E3887" s="178" t="inlineStr">
        <is>
          <t>1412/05/27</t>
        </is>
      </c>
      <c r="F3887" s="134" t="inlineStr">
        <is>
          <t>1412/05</t>
        </is>
      </c>
      <c r="G3887" s="61" t="inlineStr">
        <is>
          <t>مرداد</t>
        </is>
      </c>
      <c r="H3887" s="134" t="inlineStr">
        <is>
          <t>تابستان</t>
        </is>
      </c>
      <c r="I3887" s="134" t="inlineStr">
        <is>
          <t>چهارشنبه</t>
        </is>
      </c>
      <c r="J3887" s="134" t="inlineStr">
        <is>
          <t>بله</t>
        </is>
      </c>
    </row>
    <row r="3888">
      <c r="A3888" s="173" t="n">
        <v>48809</v>
      </c>
      <c r="B3888" s="174" t="n">
        <v>48809</v>
      </c>
      <c r="C3888" s="174" t="n">
        <v>1412</v>
      </c>
      <c r="D3888" s="174" t="n">
        <v>5</v>
      </c>
      <c r="E3888" s="175" t="inlineStr">
        <is>
          <t>1412/05/28</t>
        </is>
      </c>
      <c r="F3888" s="128" t="inlineStr">
        <is>
          <t>1412/05</t>
        </is>
      </c>
      <c r="G3888" s="58" t="inlineStr">
        <is>
          <t>مرداد</t>
        </is>
      </c>
      <c r="H3888" s="128" t="inlineStr">
        <is>
          <t>تابستان</t>
        </is>
      </c>
      <c r="I3888" s="128" t="inlineStr">
        <is>
          <t>پنجشنبه</t>
        </is>
      </c>
      <c r="J3888" s="128" t="inlineStr">
        <is>
          <t>بله</t>
        </is>
      </c>
    </row>
    <row r="3889">
      <c r="A3889" s="176" t="n">
        <v>48810</v>
      </c>
      <c r="B3889" s="177" t="n">
        <v>48810</v>
      </c>
      <c r="C3889" s="177" t="n">
        <v>1412</v>
      </c>
      <c r="D3889" s="177" t="n">
        <v>5</v>
      </c>
      <c r="E3889" s="178" t="inlineStr">
        <is>
          <t>1412/05/29</t>
        </is>
      </c>
      <c r="F3889" s="134" t="inlineStr">
        <is>
          <t>1412/05</t>
        </is>
      </c>
      <c r="G3889" s="61" t="inlineStr">
        <is>
          <t>مرداد</t>
        </is>
      </c>
      <c r="H3889" s="134" t="inlineStr">
        <is>
          <t>تابستان</t>
        </is>
      </c>
      <c r="I3889" s="134" t="inlineStr">
        <is>
          <t>جمعه</t>
        </is>
      </c>
      <c r="J3889" s="134" t="inlineStr">
        <is>
          <t>بله</t>
        </is>
      </c>
    </row>
    <row r="3890">
      <c r="A3890" s="173" t="n">
        <v>48811</v>
      </c>
      <c r="B3890" s="174" t="n">
        <v>48811</v>
      </c>
      <c r="C3890" s="174" t="n">
        <v>1412</v>
      </c>
      <c r="D3890" s="174" t="n">
        <v>5</v>
      </c>
      <c r="E3890" s="175" t="inlineStr">
        <is>
          <t>1412/05/30</t>
        </is>
      </c>
      <c r="F3890" s="128" t="inlineStr">
        <is>
          <t>1412/05</t>
        </is>
      </c>
      <c r="G3890" s="58" t="inlineStr">
        <is>
          <t>مرداد</t>
        </is>
      </c>
      <c r="H3890" s="128" t="inlineStr">
        <is>
          <t>تابستان</t>
        </is>
      </c>
      <c r="I3890" s="128" t="inlineStr">
        <is>
          <t>شنبه</t>
        </is>
      </c>
      <c r="J3890" s="128" t="inlineStr">
        <is>
          <t>خیر</t>
        </is>
      </c>
    </row>
    <row r="3891">
      <c r="A3891" s="176" t="n">
        <v>48812</v>
      </c>
      <c r="B3891" s="177" t="n">
        <v>48812</v>
      </c>
      <c r="C3891" s="177" t="n">
        <v>1412</v>
      </c>
      <c r="D3891" s="177" t="n">
        <v>5</v>
      </c>
      <c r="E3891" s="178" t="inlineStr">
        <is>
          <t>1412/05/31</t>
        </is>
      </c>
      <c r="F3891" s="134" t="inlineStr">
        <is>
          <t>1412/05</t>
        </is>
      </c>
      <c r="G3891" s="61" t="inlineStr">
        <is>
          <t>مرداد</t>
        </is>
      </c>
      <c r="H3891" s="134" t="inlineStr">
        <is>
          <t>تابستان</t>
        </is>
      </c>
      <c r="I3891" s="134" t="inlineStr">
        <is>
          <t>یکشنبه</t>
        </is>
      </c>
      <c r="J3891" s="134" t="inlineStr">
        <is>
          <t>خیر</t>
        </is>
      </c>
    </row>
    <row r="3892">
      <c r="A3892" s="173" t="n">
        <v>48813</v>
      </c>
      <c r="B3892" s="174" t="n">
        <v>48813</v>
      </c>
      <c r="C3892" s="174" t="n">
        <v>1412</v>
      </c>
      <c r="D3892" s="174" t="n">
        <v>6</v>
      </c>
      <c r="E3892" s="175" t="inlineStr">
        <is>
          <t>1412/06/01</t>
        </is>
      </c>
      <c r="F3892" s="128" t="inlineStr">
        <is>
          <t>1412/06</t>
        </is>
      </c>
      <c r="G3892" s="58" t="inlineStr">
        <is>
          <t>شهریور</t>
        </is>
      </c>
      <c r="H3892" s="128" t="inlineStr">
        <is>
          <t>تابستان</t>
        </is>
      </c>
      <c r="I3892" s="128" t="inlineStr">
        <is>
          <t>دوشنبه</t>
        </is>
      </c>
      <c r="J3892" s="128" t="inlineStr">
        <is>
          <t>بله</t>
        </is>
      </c>
    </row>
    <row r="3893">
      <c r="A3893" s="176" t="n">
        <v>48814</v>
      </c>
      <c r="B3893" s="177" t="n">
        <v>48814</v>
      </c>
      <c r="C3893" s="177" t="n">
        <v>1412</v>
      </c>
      <c r="D3893" s="177" t="n">
        <v>6</v>
      </c>
      <c r="E3893" s="178" t="inlineStr">
        <is>
          <t>1412/06/02</t>
        </is>
      </c>
      <c r="F3893" s="134" t="inlineStr">
        <is>
          <t>1412/06</t>
        </is>
      </c>
      <c r="G3893" s="61" t="inlineStr">
        <is>
          <t>شهریور</t>
        </is>
      </c>
      <c r="H3893" s="134" t="inlineStr">
        <is>
          <t>تابستان</t>
        </is>
      </c>
      <c r="I3893" s="134" t="inlineStr">
        <is>
          <t>سه‌شنبه</t>
        </is>
      </c>
      <c r="J3893" s="134" t="inlineStr">
        <is>
          <t>بله</t>
        </is>
      </c>
    </row>
    <row r="3894">
      <c r="A3894" s="173" t="n">
        <v>48815</v>
      </c>
      <c r="B3894" s="174" t="n">
        <v>48815</v>
      </c>
      <c r="C3894" s="174" t="n">
        <v>1412</v>
      </c>
      <c r="D3894" s="174" t="n">
        <v>6</v>
      </c>
      <c r="E3894" s="175" t="inlineStr">
        <is>
          <t>1412/06/03</t>
        </is>
      </c>
      <c r="F3894" s="128" t="inlineStr">
        <is>
          <t>1412/06</t>
        </is>
      </c>
      <c r="G3894" s="58" t="inlineStr">
        <is>
          <t>شهریور</t>
        </is>
      </c>
      <c r="H3894" s="128" t="inlineStr">
        <is>
          <t>تابستان</t>
        </is>
      </c>
      <c r="I3894" s="128" t="inlineStr">
        <is>
          <t>چهارشنبه</t>
        </is>
      </c>
      <c r="J3894" s="128" t="inlineStr">
        <is>
          <t>بله</t>
        </is>
      </c>
    </row>
    <row r="3895">
      <c r="A3895" s="176" t="n">
        <v>48816</v>
      </c>
      <c r="B3895" s="177" t="n">
        <v>48816</v>
      </c>
      <c r="C3895" s="177" t="n">
        <v>1412</v>
      </c>
      <c r="D3895" s="177" t="n">
        <v>6</v>
      </c>
      <c r="E3895" s="178" t="inlineStr">
        <is>
          <t>1412/06/04</t>
        </is>
      </c>
      <c r="F3895" s="134" t="inlineStr">
        <is>
          <t>1412/06</t>
        </is>
      </c>
      <c r="G3895" s="61" t="inlineStr">
        <is>
          <t>شهریور</t>
        </is>
      </c>
      <c r="H3895" s="134" t="inlineStr">
        <is>
          <t>تابستان</t>
        </is>
      </c>
      <c r="I3895" s="134" t="inlineStr">
        <is>
          <t>پنجشنبه</t>
        </is>
      </c>
      <c r="J3895" s="134" t="inlineStr">
        <is>
          <t>بله</t>
        </is>
      </c>
    </row>
    <row r="3896">
      <c r="A3896" s="173" t="n">
        <v>48817</v>
      </c>
      <c r="B3896" s="174" t="n">
        <v>48817</v>
      </c>
      <c r="C3896" s="174" t="n">
        <v>1412</v>
      </c>
      <c r="D3896" s="174" t="n">
        <v>6</v>
      </c>
      <c r="E3896" s="175" t="inlineStr">
        <is>
          <t>1412/06/05</t>
        </is>
      </c>
      <c r="F3896" s="128" t="inlineStr">
        <is>
          <t>1412/06</t>
        </is>
      </c>
      <c r="G3896" s="58" t="inlineStr">
        <is>
          <t>شهریور</t>
        </is>
      </c>
      <c r="H3896" s="128" t="inlineStr">
        <is>
          <t>تابستان</t>
        </is>
      </c>
      <c r="I3896" s="128" t="inlineStr">
        <is>
          <t>جمعه</t>
        </is>
      </c>
      <c r="J3896" s="128" t="inlineStr">
        <is>
          <t>بله</t>
        </is>
      </c>
    </row>
    <row r="3897">
      <c r="A3897" s="176" t="n">
        <v>48818</v>
      </c>
      <c r="B3897" s="177" t="n">
        <v>48818</v>
      </c>
      <c r="C3897" s="177" t="n">
        <v>1412</v>
      </c>
      <c r="D3897" s="177" t="n">
        <v>6</v>
      </c>
      <c r="E3897" s="178" t="inlineStr">
        <is>
          <t>1412/06/06</t>
        </is>
      </c>
      <c r="F3897" s="134" t="inlineStr">
        <is>
          <t>1412/06</t>
        </is>
      </c>
      <c r="G3897" s="61" t="inlineStr">
        <is>
          <t>شهریور</t>
        </is>
      </c>
      <c r="H3897" s="134" t="inlineStr">
        <is>
          <t>تابستان</t>
        </is>
      </c>
      <c r="I3897" s="134" t="inlineStr">
        <is>
          <t>شنبه</t>
        </is>
      </c>
      <c r="J3897" s="134" t="inlineStr">
        <is>
          <t>خیر</t>
        </is>
      </c>
    </row>
    <row r="3898">
      <c r="A3898" s="173" t="n">
        <v>48819</v>
      </c>
      <c r="B3898" s="174" t="n">
        <v>48819</v>
      </c>
      <c r="C3898" s="174" t="n">
        <v>1412</v>
      </c>
      <c r="D3898" s="174" t="n">
        <v>6</v>
      </c>
      <c r="E3898" s="175" t="inlineStr">
        <is>
          <t>1412/06/07</t>
        </is>
      </c>
      <c r="F3898" s="128" t="inlineStr">
        <is>
          <t>1412/06</t>
        </is>
      </c>
      <c r="G3898" s="58" t="inlineStr">
        <is>
          <t>شهریور</t>
        </is>
      </c>
      <c r="H3898" s="128" t="inlineStr">
        <is>
          <t>تابستان</t>
        </is>
      </c>
      <c r="I3898" s="128" t="inlineStr">
        <is>
          <t>یکشنبه</t>
        </is>
      </c>
      <c r="J3898" s="128" t="inlineStr">
        <is>
          <t>خیر</t>
        </is>
      </c>
    </row>
    <row r="3899">
      <c r="A3899" s="176" t="n">
        <v>48820</v>
      </c>
      <c r="B3899" s="177" t="n">
        <v>48820</v>
      </c>
      <c r="C3899" s="177" t="n">
        <v>1412</v>
      </c>
      <c r="D3899" s="177" t="n">
        <v>6</v>
      </c>
      <c r="E3899" s="178" t="inlineStr">
        <is>
          <t>1412/06/08</t>
        </is>
      </c>
      <c r="F3899" s="134" t="inlineStr">
        <is>
          <t>1412/06</t>
        </is>
      </c>
      <c r="G3899" s="61" t="inlineStr">
        <is>
          <t>شهریور</t>
        </is>
      </c>
      <c r="H3899" s="134" t="inlineStr">
        <is>
          <t>تابستان</t>
        </is>
      </c>
      <c r="I3899" s="134" t="inlineStr">
        <is>
          <t>دوشنبه</t>
        </is>
      </c>
      <c r="J3899" s="134" t="inlineStr">
        <is>
          <t>بله</t>
        </is>
      </c>
    </row>
    <row r="3900">
      <c r="A3900" s="173" t="n">
        <v>48821</v>
      </c>
      <c r="B3900" s="174" t="n">
        <v>48821</v>
      </c>
      <c r="C3900" s="174" t="n">
        <v>1412</v>
      </c>
      <c r="D3900" s="174" t="n">
        <v>6</v>
      </c>
      <c r="E3900" s="175" t="inlineStr">
        <is>
          <t>1412/06/09</t>
        </is>
      </c>
      <c r="F3900" s="128" t="inlineStr">
        <is>
          <t>1412/06</t>
        </is>
      </c>
      <c r="G3900" s="58" t="inlineStr">
        <is>
          <t>شهریور</t>
        </is>
      </c>
      <c r="H3900" s="128" t="inlineStr">
        <is>
          <t>تابستان</t>
        </is>
      </c>
      <c r="I3900" s="128" t="inlineStr">
        <is>
          <t>سه‌شنبه</t>
        </is>
      </c>
      <c r="J3900" s="128" t="inlineStr">
        <is>
          <t>بله</t>
        </is>
      </c>
    </row>
    <row r="3901">
      <c r="A3901" s="176" t="n">
        <v>48822</v>
      </c>
      <c r="B3901" s="177" t="n">
        <v>48822</v>
      </c>
      <c r="C3901" s="177" t="n">
        <v>1412</v>
      </c>
      <c r="D3901" s="177" t="n">
        <v>6</v>
      </c>
      <c r="E3901" s="178" t="inlineStr">
        <is>
          <t>1412/06/10</t>
        </is>
      </c>
      <c r="F3901" s="134" t="inlineStr">
        <is>
          <t>1412/06</t>
        </is>
      </c>
      <c r="G3901" s="61" t="inlineStr">
        <is>
          <t>شهریور</t>
        </is>
      </c>
      <c r="H3901" s="134" t="inlineStr">
        <is>
          <t>تابستان</t>
        </is>
      </c>
      <c r="I3901" s="134" t="inlineStr">
        <is>
          <t>چهارشنبه</t>
        </is>
      </c>
      <c r="J3901" s="134" t="inlineStr">
        <is>
          <t>بله</t>
        </is>
      </c>
    </row>
    <row r="3902">
      <c r="A3902" s="173" t="n">
        <v>48823</v>
      </c>
      <c r="B3902" s="174" t="n">
        <v>48823</v>
      </c>
      <c r="C3902" s="174" t="n">
        <v>1412</v>
      </c>
      <c r="D3902" s="174" t="n">
        <v>6</v>
      </c>
      <c r="E3902" s="175" t="inlineStr">
        <is>
          <t>1412/06/11</t>
        </is>
      </c>
      <c r="F3902" s="128" t="inlineStr">
        <is>
          <t>1412/06</t>
        </is>
      </c>
      <c r="G3902" s="58" t="inlineStr">
        <is>
          <t>شهریور</t>
        </is>
      </c>
      <c r="H3902" s="128" t="inlineStr">
        <is>
          <t>تابستان</t>
        </is>
      </c>
      <c r="I3902" s="128" t="inlineStr">
        <is>
          <t>پنجشنبه</t>
        </is>
      </c>
      <c r="J3902" s="128" t="inlineStr">
        <is>
          <t>بله</t>
        </is>
      </c>
    </row>
    <row r="3903">
      <c r="A3903" s="176" t="n">
        <v>48824</v>
      </c>
      <c r="B3903" s="177" t="n">
        <v>48824</v>
      </c>
      <c r="C3903" s="177" t="n">
        <v>1412</v>
      </c>
      <c r="D3903" s="177" t="n">
        <v>6</v>
      </c>
      <c r="E3903" s="178" t="inlineStr">
        <is>
          <t>1412/06/12</t>
        </is>
      </c>
      <c r="F3903" s="134" t="inlineStr">
        <is>
          <t>1412/06</t>
        </is>
      </c>
      <c r="G3903" s="61" t="inlineStr">
        <is>
          <t>شهریور</t>
        </is>
      </c>
      <c r="H3903" s="134" t="inlineStr">
        <is>
          <t>تابستان</t>
        </is>
      </c>
      <c r="I3903" s="134" t="inlineStr">
        <is>
          <t>جمعه</t>
        </is>
      </c>
      <c r="J3903" s="134" t="inlineStr">
        <is>
          <t>بله</t>
        </is>
      </c>
    </row>
    <row r="3904">
      <c r="A3904" s="173" t="n">
        <v>48825</v>
      </c>
      <c r="B3904" s="174" t="n">
        <v>48825</v>
      </c>
      <c r="C3904" s="174" t="n">
        <v>1412</v>
      </c>
      <c r="D3904" s="174" t="n">
        <v>6</v>
      </c>
      <c r="E3904" s="175" t="inlineStr">
        <is>
          <t>1412/06/13</t>
        </is>
      </c>
      <c r="F3904" s="128" t="inlineStr">
        <is>
          <t>1412/06</t>
        </is>
      </c>
      <c r="G3904" s="58" t="inlineStr">
        <is>
          <t>شهریور</t>
        </is>
      </c>
      <c r="H3904" s="128" t="inlineStr">
        <is>
          <t>تابستان</t>
        </is>
      </c>
      <c r="I3904" s="128" t="inlineStr">
        <is>
          <t>شنبه</t>
        </is>
      </c>
      <c r="J3904" s="128" t="inlineStr">
        <is>
          <t>خیر</t>
        </is>
      </c>
    </row>
    <row r="3905">
      <c r="A3905" s="176" t="n">
        <v>48826</v>
      </c>
      <c r="B3905" s="177" t="n">
        <v>48826</v>
      </c>
      <c r="C3905" s="177" t="n">
        <v>1412</v>
      </c>
      <c r="D3905" s="177" t="n">
        <v>6</v>
      </c>
      <c r="E3905" s="178" t="inlineStr">
        <is>
          <t>1412/06/14</t>
        </is>
      </c>
      <c r="F3905" s="134" t="inlineStr">
        <is>
          <t>1412/06</t>
        </is>
      </c>
      <c r="G3905" s="61" t="inlineStr">
        <is>
          <t>شهریور</t>
        </is>
      </c>
      <c r="H3905" s="134" t="inlineStr">
        <is>
          <t>تابستان</t>
        </is>
      </c>
      <c r="I3905" s="134" t="inlineStr">
        <is>
          <t>یکشنبه</t>
        </is>
      </c>
      <c r="J3905" s="134" t="inlineStr">
        <is>
          <t>خیر</t>
        </is>
      </c>
    </row>
    <row r="3906">
      <c r="A3906" s="173" t="n">
        <v>48827</v>
      </c>
      <c r="B3906" s="174" t="n">
        <v>48827</v>
      </c>
      <c r="C3906" s="174" t="n">
        <v>1412</v>
      </c>
      <c r="D3906" s="174" t="n">
        <v>6</v>
      </c>
      <c r="E3906" s="175" t="inlineStr">
        <is>
          <t>1412/06/15</t>
        </is>
      </c>
      <c r="F3906" s="128" t="inlineStr">
        <is>
          <t>1412/06</t>
        </is>
      </c>
      <c r="G3906" s="58" t="inlineStr">
        <is>
          <t>شهریور</t>
        </is>
      </c>
      <c r="H3906" s="128" t="inlineStr">
        <is>
          <t>تابستان</t>
        </is>
      </c>
      <c r="I3906" s="128" t="inlineStr">
        <is>
          <t>دوشنبه</t>
        </is>
      </c>
      <c r="J3906" s="128" t="inlineStr">
        <is>
          <t>بله</t>
        </is>
      </c>
    </row>
    <row r="3907">
      <c r="A3907" s="176" t="n">
        <v>48828</v>
      </c>
      <c r="B3907" s="177" t="n">
        <v>48828</v>
      </c>
      <c r="C3907" s="177" t="n">
        <v>1412</v>
      </c>
      <c r="D3907" s="177" t="n">
        <v>6</v>
      </c>
      <c r="E3907" s="178" t="inlineStr">
        <is>
          <t>1412/06/16</t>
        </is>
      </c>
      <c r="F3907" s="134" t="inlineStr">
        <is>
          <t>1412/06</t>
        </is>
      </c>
      <c r="G3907" s="61" t="inlineStr">
        <is>
          <t>شهریور</t>
        </is>
      </c>
      <c r="H3907" s="134" t="inlineStr">
        <is>
          <t>تابستان</t>
        </is>
      </c>
      <c r="I3907" s="134" t="inlineStr">
        <is>
          <t>سه‌شنبه</t>
        </is>
      </c>
      <c r="J3907" s="134" t="inlineStr">
        <is>
          <t>بله</t>
        </is>
      </c>
    </row>
    <row r="3908">
      <c r="A3908" s="173" t="n">
        <v>48829</v>
      </c>
      <c r="B3908" s="174" t="n">
        <v>48829</v>
      </c>
      <c r="C3908" s="174" t="n">
        <v>1412</v>
      </c>
      <c r="D3908" s="174" t="n">
        <v>6</v>
      </c>
      <c r="E3908" s="175" t="inlineStr">
        <is>
          <t>1412/06/17</t>
        </is>
      </c>
      <c r="F3908" s="128" t="inlineStr">
        <is>
          <t>1412/06</t>
        </is>
      </c>
      <c r="G3908" s="58" t="inlineStr">
        <is>
          <t>شهریور</t>
        </is>
      </c>
      <c r="H3908" s="128" t="inlineStr">
        <is>
          <t>تابستان</t>
        </is>
      </c>
      <c r="I3908" s="128" t="inlineStr">
        <is>
          <t>چهارشنبه</t>
        </is>
      </c>
      <c r="J3908" s="128" t="inlineStr">
        <is>
          <t>بله</t>
        </is>
      </c>
    </row>
    <row r="3909">
      <c r="A3909" s="176" t="n">
        <v>48830</v>
      </c>
      <c r="B3909" s="177" t="n">
        <v>48830</v>
      </c>
      <c r="C3909" s="177" t="n">
        <v>1412</v>
      </c>
      <c r="D3909" s="177" t="n">
        <v>6</v>
      </c>
      <c r="E3909" s="178" t="inlineStr">
        <is>
          <t>1412/06/18</t>
        </is>
      </c>
      <c r="F3909" s="134" t="inlineStr">
        <is>
          <t>1412/06</t>
        </is>
      </c>
      <c r="G3909" s="61" t="inlineStr">
        <is>
          <t>شهریور</t>
        </is>
      </c>
      <c r="H3909" s="134" t="inlineStr">
        <is>
          <t>تابستان</t>
        </is>
      </c>
      <c r="I3909" s="134" t="inlineStr">
        <is>
          <t>پنجشنبه</t>
        </is>
      </c>
      <c r="J3909" s="134" t="inlineStr">
        <is>
          <t>بله</t>
        </is>
      </c>
    </row>
    <row r="3910">
      <c r="A3910" s="173" t="n">
        <v>48831</v>
      </c>
      <c r="B3910" s="174" t="n">
        <v>48831</v>
      </c>
      <c r="C3910" s="174" t="n">
        <v>1412</v>
      </c>
      <c r="D3910" s="174" t="n">
        <v>6</v>
      </c>
      <c r="E3910" s="175" t="inlineStr">
        <is>
          <t>1412/06/19</t>
        </is>
      </c>
      <c r="F3910" s="128" t="inlineStr">
        <is>
          <t>1412/06</t>
        </is>
      </c>
      <c r="G3910" s="58" t="inlineStr">
        <is>
          <t>شهریور</t>
        </is>
      </c>
      <c r="H3910" s="128" t="inlineStr">
        <is>
          <t>تابستان</t>
        </is>
      </c>
      <c r="I3910" s="128" t="inlineStr">
        <is>
          <t>جمعه</t>
        </is>
      </c>
      <c r="J3910" s="128" t="inlineStr">
        <is>
          <t>بله</t>
        </is>
      </c>
    </row>
    <row r="3911">
      <c r="A3911" s="176" t="n">
        <v>48832</v>
      </c>
      <c r="B3911" s="177" t="n">
        <v>48832</v>
      </c>
      <c r="C3911" s="177" t="n">
        <v>1412</v>
      </c>
      <c r="D3911" s="177" t="n">
        <v>6</v>
      </c>
      <c r="E3911" s="178" t="inlineStr">
        <is>
          <t>1412/06/20</t>
        </is>
      </c>
      <c r="F3911" s="134" t="inlineStr">
        <is>
          <t>1412/06</t>
        </is>
      </c>
      <c r="G3911" s="61" t="inlineStr">
        <is>
          <t>شهریور</t>
        </is>
      </c>
      <c r="H3911" s="134" t="inlineStr">
        <is>
          <t>تابستان</t>
        </is>
      </c>
      <c r="I3911" s="134" t="inlineStr">
        <is>
          <t>شنبه</t>
        </is>
      </c>
      <c r="J3911" s="134" t="inlineStr">
        <is>
          <t>خیر</t>
        </is>
      </c>
    </row>
    <row r="3912">
      <c r="A3912" s="173" t="n">
        <v>48833</v>
      </c>
      <c r="B3912" s="174" t="n">
        <v>48833</v>
      </c>
      <c r="C3912" s="174" t="n">
        <v>1412</v>
      </c>
      <c r="D3912" s="174" t="n">
        <v>6</v>
      </c>
      <c r="E3912" s="175" t="inlineStr">
        <is>
          <t>1412/06/21</t>
        </is>
      </c>
      <c r="F3912" s="128" t="inlineStr">
        <is>
          <t>1412/06</t>
        </is>
      </c>
      <c r="G3912" s="58" t="inlineStr">
        <is>
          <t>شهریور</t>
        </is>
      </c>
      <c r="H3912" s="128" t="inlineStr">
        <is>
          <t>تابستان</t>
        </is>
      </c>
      <c r="I3912" s="128" t="inlineStr">
        <is>
          <t>یکشنبه</t>
        </is>
      </c>
      <c r="J3912" s="128" t="inlineStr">
        <is>
          <t>خیر</t>
        </is>
      </c>
    </row>
    <row r="3913">
      <c r="A3913" s="176" t="n">
        <v>48834</v>
      </c>
      <c r="B3913" s="177" t="n">
        <v>48834</v>
      </c>
      <c r="C3913" s="177" t="n">
        <v>1412</v>
      </c>
      <c r="D3913" s="177" t="n">
        <v>6</v>
      </c>
      <c r="E3913" s="178" t="inlineStr">
        <is>
          <t>1412/06/22</t>
        </is>
      </c>
      <c r="F3913" s="134" t="inlineStr">
        <is>
          <t>1412/06</t>
        </is>
      </c>
      <c r="G3913" s="61" t="inlineStr">
        <is>
          <t>شهریور</t>
        </is>
      </c>
      <c r="H3913" s="134" t="inlineStr">
        <is>
          <t>تابستان</t>
        </is>
      </c>
      <c r="I3913" s="134" t="inlineStr">
        <is>
          <t>دوشنبه</t>
        </is>
      </c>
      <c r="J3913" s="134" t="inlineStr">
        <is>
          <t>بله</t>
        </is>
      </c>
    </row>
    <row r="3914">
      <c r="A3914" s="173" t="n">
        <v>48835</v>
      </c>
      <c r="B3914" s="174" t="n">
        <v>48835</v>
      </c>
      <c r="C3914" s="174" t="n">
        <v>1412</v>
      </c>
      <c r="D3914" s="174" t="n">
        <v>6</v>
      </c>
      <c r="E3914" s="175" t="inlineStr">
        <is>
          <t>1412/06/23</t>
        </is>
      </c>
      <c r="F3914" s="128" t="inlineStr">
        <is>
          <t>1412/06</t>
        </is>
      </c>
      <c r="G3914" s="58" t="inlineStr">
        <is>
          <t>شهریور</t>
        </is>
      </c>
      <c r="H3914" s="128" t="inlineStr">
        <is>
          <t>تابستان</t>
        </is>
      </c>
      <c r="I3914" s="128" t="inlineStr">
        <is>
          <t>سه‌شنبه</t>
        </is>
      </c>
      <c r="J3914" s="128" t="inlineStr">
        <is>
          <t>بله</t>
        </is>
      </c>
    </row>
    <row r="3915">
      <c r="A3915" s="176" t="n">
        <v>48836</v>
      </c>
      <c r="B3915" s="177" t="n">
        <v>48836</v>
      </c>
      <c r="C3915" s="177" t="n">
        <v>1412</v>
      </c>
      <c r="D3915" s="177" t="n">
        <v>6</v>
      </c>
      <c r="E3915" s="178" t="inlineStr">
        <is>
          <t>1412/06/24</t>
        </is>
      </c>
      <c r="F3915" s="134" t="inlineStr">
        <is>
          <t>1412/06</t>
        </is>
      </c>
      <c r="G3915" s="61" t="inlineStr">
        <is>
          <t>شهریور</t>
        </is>
      </c>
      <c r="H3915" s="134" t="inlineStr">
        <is>
          <t>تابستان</t>
        </is>
      </c>
      <c r="I3915" s="134" t="inlineStr">
        <is>
          <t>چهارشنبه</t>
        </is>
      </c>
      <c r="J3915" s="134" t="inlineStr">
        <is>
          <t>بله</t>
        </is>
      </c>
    </row>
    <row r="3916">
      <c r="A3916" s="173" t="n">
        <v>48837</v>
      </c>
      <c r="B3916" s="174" t="n">
        <v>48837</v>
      </c>
      <c r="C3916" s="174" t="n">
        <v>1412</v>
      </c>
      <c r="D3916" s="174" t="n">
        <v>6</v>
      </c>
      <c r="E3916" s="175" t="inlineStr">
        <is>
          <t>1412/06/25</t>
        </is>
      </c>
      <c r="F3916" s="128" t="inlineStr">
        <is>
          <t>1412/06</t>
        </is>
      </c>
      <c r="G3916" s="58" t="inlineStr">
        <is>
          <t>شهریور</t>
        </is>
      </c>
      <c r="H3916" s="128" t="inlineStr">
        <is>
          <t>تابستان</t>
        </is>
      </c>
      <c r="I3916" s="128" t="inlineStr">
        <is>
          <t>پنجشنبه</t>
        </is>
      </c>
      <c r="J3916" s="128" t="inlineStr">
        <is>
          <t>بله</t>
        </is>
      </c>
    </row>
    <row r="3917">
      <c r="A3917" s="176" t="n">
        <v>48838</v>
      </c>
      <c r="B3917" s="177" t="n">
        <v>48838</v>
      </c>
      <c r="C3917" s="177" t="n">
        <v>1412</v>
      </c>
      <c r="D3917" s="177" t="n">
        <v>6</v>
      </c>
      <c r="E3917" s="178" t="inlineStr">
        <is>
          <t>1412/06/26</t>
        </is>
      </c>
      <c r="F3917" s="134" t="inlineStr">
        <is>
          <t>1412/06</t>
        </is>
      </c>
      <c r="G3917" s="61" t="inlineStr">
        <is>
          <t>شهریور</t>
        </is>
      </c>
      <c r="H3917" s="134" t="inlineStr">
        <is>
          <t>تابستان</t>
        </is>
      </c>
      <c r="I3917" s="134" t="inlineStr">
        <is>
          <t>جمعه</t>
        </is>
      </c>
      <c r="J3917" s="134" t="inlineStr">
        <is>
          <t>بله</t>
        </is>
      </c>
    </row>
    <row r="3918">
      <c r="A3918" s="173" t="n">
        <v>48839</v>
      </c>
      <c r="B3918" s="174" t="n">
        <v>48839</v>
      </c>
      <c r="C3918" s="174" t="n">
        <v>1412</v>
      </c>
      <c r="D3918" s="174" t="n">
        <v>6</v>
      </c>
      <c r="E3918" s="175" t="inlineStr">
        <is>
          <t>1412/06/27</t>
        </is>
      </c>
      <c r="F3918" s="128" t="inlineStr">
        <is>
          <t>1412/06</t>
        </is>
      </c>
      <c r="G3918" s="58" t="inlineStr">
        <is>
          <t>شهریور</t>
        </is>
      </c>
      <c r="H3918" s="128" t="inlineStr">
        <is>
          <t>تابستان</t>
        </is>
      </c>
      <c r="I3918" s="128" t="inlineStr">
        <is>
          <t>شنبه</t>
        </is>
      </c>
      <c r="J3918" s="128" t="inlineStr">
        <is>
          <t>خیر</t>
        </is>
      </c>
    </row>
    <row r="3919">
      <c r="A3919" s="176" t="n">
        <v>48840</v>
      </c>
      <c r="B3919" s="177" t="n">
        <v>48840</v>
      </c>
      <c r="C3919" s="177" t="n">
        <v>1412</v>
      </c>
      <c r="D3919" s="177" t="n">
        <v>6</v>
      </c>
      <c r="E3919" s="178" t="inlineStr">
        <is>
          <t>1412/06/28</t>
        </is>
      </c>
      <c r="F3919" s="134" t="inlineStr">
        <is>
          <t>1412/06</t>
        </is>
      </c>
      <c r="G3919" s="61" t="inlineStr">
        <is>
          <t>شهریور</t>
        </is>
      </c>
      <c r="H3919" s="134" t="inlineStr">
        <is>
          <t>تابستان</t>
        </is>
      </c>
      <c r="I3919" s="134" t="inlineStr">
        <is>
          <t>یکشنبه</t>
        </is>
      </c>
      <c r="J3919" s="134" t="inlineStr">
        <is>
          <t>خیر</t>
        </is>
      </c>
    </row>
    <row r="3920">
      <c r="A3920" s="173" t="n">
        <v>48841</v>
      </c>
      <c r="B3920" s="174" t="n">
        <v>48841</v>
      </c>
      <c r="C3920" s="174" t="n">
        <v>1412</v>
      </c>
      <c r="D3920" s="174" t="n">
        <v>6</v>
      </c>
      <c r="E3920" s="175" t="inlineStr">
        <is>
          <t>1412/06/29</t>
        </is>
      </c>
      <c r="F3920" s="128" t="inlineStr">
        <is>
          <t>1412/06</t>
        </is>
      </c>
      <c r="G3920" s="58" t="inlineStr">
        <is>
          <t>شهریور</t>
        </is>
      </c>
      <c r="H3920" s="128" t="inlineStr">
        <is>
          <t>تابستان</t>
        </is>
      </c>
      <c r="I3920" s="128" t="inlineStr">
        <is>
          <t>دوشنبه</t>
        </is>
      </c>
      <c r="J3920" s="128" t="inlineStr">
        <is>
          <t>بله</t>
        </is>
      </c>
    </row>
    <row r="3921">
      <c r="A3921" s="176" t="n">
        <v>48842</v>
      </c>
      <c r="B3921" s="177" t="n">
        <v>48842</v>
      </c>
      <c r="C3921" s="177" t="n">
        <v>1412</v>
      </c>
      <c r="D3921" s="177" t="n">
        <v>6</v>
      </c>
      <c r="E3921" s="178" t="inlineStr">
        <is>
          <t>1412/06/30</t>
        </is>
      </c>
      <c r="F3921" s="134" t="inlineStr">
        <is>
          <t>1412/06</t>
        </is>
      </c>
      <c r="G3921" s="61" t="inlineStr">
        <is>
          <t>شهریور</t>
        </is>
      </c>
      <c r="H3921" s="134" t="inlineStr">
        <is>
          <t>تابستان</t>
        </is>
      </c>
      <c r="I3921" s="134" t="inlineStr">
        <is>
          <t>سه‌شنبه</t>
        </is>
      </c>
      <c r="J3921" s="134" t="inlineStr">
        <is>
          <t>بله</t>
        </is>
      </c>
    </row>
    <row r="3922">
      <c r="A3922" s="173" t="n">
        <v>48843</v>
      </c>
      <c r="B3922" s="174" t="n">
        <v>48843</v>
      </c>
      <c r="C3922" s="174" t="n">
        <v>1412</v>
      </c>
      <c r="D3922" s="174" t="n">
        <v>6</v>
      </c>
      <c r="E3922" s="175" t="inlineStr">
        <is>
          <t>1412/06/31</t>
        </is>
      </c>
      <c r="F3922" s="128" t="inlineStr">
        <is>
          <t>1412/06</t>
        </is>
      </c>
      <c r="G3922" s="58" t="inlineStr">
        <is>
          <t>شهریور</t>
        </is>
      </c>
      <c r="H3922" s="128" t="inlineStr">
        <is>
          <t>تابستان</t>
        </is>
      </c>
      <c r="I3922" s="128" t="inlineStr">
        <is>
          <t>چهارشنبه</t>
        </is>
      </c>
      <c r="J3922" s="128" t="inlineStr">
        <is>
          <t>بله</t>
        </is>
      </c>
    </row>
    <row r="3923">
      <c r="A3923" s="176" t="n">
        <v>48844</v>
      </c>
      <c r="B3923" s="177" t="n">
        <v>48844</v>
      </c>
      <c r="C3923" s="177" t="n">
        <v>1412</v>
      </c>
      <c r="D3923" s="177" t="n">
        <v>7</v>
      </c>
      <c r="E3923" s="178" t="inlineStr">
        <is>
          <t>1412/07/01</t>
        </is>
      </c>
      <c r="F3923" s="134" t="inlineStr">
        <is>
          <t>1412/07</t>
        </is>
      </c>
      <c r="G3923" s="61" t="inlineStr">
        <is>
          <t>مهر</t>
        </is>
      </c>
      <c r="H3923" s="134" t="inlineStr">
        <is>
          <t>پاییز</t>
        </is>
      </c>
      <c r="I3923" s="134" t="inlineStr">
        <is>
          <t>پنجشنبه</t>
        </is>
      </c>
      <c r="J3923" s="134" t="inlineStr">
        <is>
          <t>بله</t>
        </is>
      </c>
    </row>
    <row r="3924">
      <c r="A3924" s="173" t="n">
        <v>48845</v>
      </c>
      <c r="B3924" s="174" t="n">
        <v>48845</v>
      </c>
      <c r="C3924" s="174" t="n">
        <v>1412</v>
      </c>
      <c r="D3924" s="174" t="n">
        <v>7</v>
      </c>
      <c r="E3924" s="175" t="inlineStr">
        <is>
          <t>1412/07/02</t>
        </is>
      </c>
      <c r="F3924" s="128" t="inlineStr">
        <is>
          <t>1412/07</t>
        </is>
      </c>
      <c r="G3924" s="58" t="inlineStr">
        <is>
          <t>مهر</t>
        </is>
      </c>
      <c r="H3924" s="128" t="inlineStr">
        <is>
          <t>پاییز</t>
        </is>
      </c>
      <c r="I3924" s="128" t="inlineStr">
        <is>
          <t>جمعه</t>
        </is>
      </c>
      <c r="J3924" s="128" t="inlineStr">
        <is>
          <t>بله</t>
        </is>
      </c>
    </row>
    <row r="3925">
      <c r="A3925" s="176" t="n">
        <v>48846</v>
      </c>
      <c r="B3925" s="177" t="n">
        <v>48846</v>
      </c>
      <c r="C3925" s="177" t="n">
        <v>1412</v>
      </c>
      <c r="D3925" s="177" t="n">
        <v>7</v>
      </c>
      <c r="E3925" s="178" t="inlineStr">
        <is>
          <t>1412/07/03</t>
        </is>
      </c>
      <c r="F3925" s="134" t="inlineStr">
        <is>
          <t>1412/07</t>
        </is>
      </c>
      <c r="G3925" s="61" t="inlineStr">
        <is>
          <t>مهر</t>
        </is>
      </c>
      <c r="H3925" s="134" t="inlineStr">
        <is>
          <t>پاییز</t>
        </is>
      </c>
      <c r="I3925" s="134" t="inlineStr">
        <is>
          <t>شنبه</t>
        </is>
      </c>
      <c r="J3925" s="134" t="inlineStr">
        <is>
          <t>خیر</t>
        </is>
      </c>
    </row>
    <row r="3926">
      <c r="A3926" s="173" t="n">
        <v>48847</v>
      </c>
      <c r="B3926" s="174" t="n">
        <v>48847</v>
      </c>
      <c r="C3926" s="174" t="n">
        <v>1412</v>
      </c>
      <c r="D3926" s="174" t="n">
        <v>7</v>
      </c>
      <c r="E3926" s="175" t="inlineStr">
        <is>
          <t>1412/07/04</t>
        </is>
      </c>
      <c r="F3926" s="128" t="inlineStr">
        <is>
          <t>1412/07</t>
        </is>
      </c>
      <c r="G3926" s="58" t="inlineStr">
        <is>
          <t>مهر</t>
        </is>
      </c>
      <c r="H3926" s="128" t="inlineStr">
        <is>
          <t>پاییز</t>
        </is>
      </c>
      <c r="I3926" s="128" t="inlineStr">
        <is>
          <t>یکشنبه</t>
        </is>
      </c>
      <c r="J3926" s="128" t="inlineStr">
        <is>
          <t>خیر</t>
        </is>
      </c>
    </row>
    <row r="3927">
      <c r="A3927" s="176" t="n">
        <v>48848</v>
      </c>
      <c r="B3927" s="177" t="n">
        <v>48848</v>
      </c>
      <c r="C3927" s="177" t="n">
        <v>1412</v>
      </c>
      <c r="D3927" s="177" t="n">
        <v>7</v>
      </c>
      <c r="E3927" s="178" t="inlineStr">
        <is>
          <t>1412/07/05</t>
        </is>
      </c>
      <c r="F3927" s="134" t="inlineStr">
        <is>
          <t>1412/07</t>
        </is>
      </c>
      <c r="G3927" s="61" t="inlineStr">
        <is>
          <t>مهر</t>
        </is>
      </c>
      <c r="H3927" s="134" t="inlineStr">
        <is>
          <t>پاییز</t>
        </is>
      </c>
      <c r="I3927" s="134" t="inlineStr">
        <is>
          <t>دوشنبه</t>
        </is>
      </c>
      <c r="J3927" s="134" t="inlineStr">
        <is>
          <t>بله</t>
        </is>
      </c>
    </row>
    <row r="3928">
      <c r="A3928" s="173" t="n">
        <v>48849</v>
      </c>
      <c r="B3928" s="174" t="n">
        <v>48849</v>
      </c>
      <c r="C3928" s="174" t="n">
        <v>1412</v>
      </c>
      <c r="D3928" s="174" t="n">
        <v>7</v>
      </c>
      <c r="E3928" s="175" t="inlineStr">
        <is>
          <t>1412/07/06</t>
        </is>
      </c>
      <c r="F3928" s="128" t="inlineStr">
        <is>
          <t>1412/07</t>
        </is>
      </c>
      <c r="G3928" s="58" t="inlineStr">
        <is>
          <t>مهر</t>
        </is>
      </c>
      <c r="H3928" s="128" t="inlineStr">
        <is>
          <t>پاییز</t>
        </is>
      </c>
      <c r="I3928" s="128" t="inlineStr">
        <is>
          <t>سه‌شنبه</t>
        </is>
      </c>
      <c r="J3928" s="128" t="inlineStr">
        <is>
          <t>بله</t>
        </is>
      </c>
    </row>
    <row r="3929">
      <c r="A3929" s="176" t="n">
        <v>48850</v>
      </c>
      <c r="B3929" s="177" t="n">
        <v>48850</v>
      </c>
      <c r="C3929" s="177" t="n">
        <v>1412</v>
      </c>
      <c r="D3929" s="177" t="n">
        <v>7</v>
      </c>
      <c r="E3929" s="178" t="inlineStr">
        <is>
          <t>1412/07/07</t>
        </is>
      </c>
      <c r="F3929" s="134" t="inlineStr">
        <is>
          <t>1412/07</t>
        </is>
      </c>
      <c r="G3929" s="61" t="inlineStr">
        <is>
          <t>مهر</t>
        </is>
      </c>
      <c r="H3929" s="134" t="inlineStr">
        <is>
          <t>پاییز</t>
        </is>
      </c>
      <c r="I3929" s="134" t="inlineStr">
        <is>
          <t>چهارشنبه</t>
        </is>
      </c>
      <c r="J3929" s="134" t="inlineStr">
        <is>
          <t>بله</t>
        </is>
      </c>
    </row>
    <row r="3930">
      <c r="A3930" s="173" t="n">
        <v>48851</v>
      </c>
      <c r="B3930" s="174" t="n">
        <v>48851</v>
      </c>
      <c r="C3930" s="174" t="n">
        <v>1412</v>
      </c>
      <c r="D3930" s="174" t="n">
        <v>7</v>
      </c>
      <c r="E3930" s="175" t="inlineStr">
        <is>
          <t>1412/07/08</t>
        </is>
      </c>
      <c r="F3930" s="128" t="inlineStr">
        <is>
          <t>1412/07</t>
        </is>
      </c>
      <c r="G3930" s="58" t="inlineStr">
        <is>
          <t>مهر</t>
        </is>
      </c>
      <c r="H3930" s="128" t="inlineStr">
        <is>
          <t>پاییز</t>
        </is>
      </c>
      <c r="I3930" s="128" t="inlineStr">
        <is>
          <t>پنجشنبه</t>
        </is>
      </c>
      <c r="J3930" s="128" t="inlineStr">
        <is>
          <t>بله</t>
        </is>
      </c>
    </row>
    <row r="3931">
      <c r="A3931" s="176" t="n">
        <v>48852</v>
      </c>
      <c r="B3931" s="177" t="n">
        <v>48852</v>
      </c>
      <c r="C3931" s="177" t="n">
        <v>1412</v>
      </c>
      <c r="D3931" s="177" t="n">
        <v>7</v>
      </c>
      <c r="E3931" s="178" t="inlineStr">
        <is>
          <t>1412/07/09</t>
        </is>
      </c>
      <c r="F3931" s="134" t="inlineStr">
        <is>
          <t>1412/07</t>
        </is>
      </c>
      <c r="G3931" s="61" t="inlineStr">
        <is>
          <t>مهر</t>
        </is>
      </c>
      <c r="H3931" s="134" t="inlineStr">
        <is>
          <t>پاییز</t>
        </is>
      </c>
      <c r="I3931" s="134" t="inlineStr">
        <is>
          <t>جمعه</t>
        </is>
      </c>
      <c r="J3931" s="134" t="inlineStr">
        <is>
          <t>بله</t>
        </is>
      </c>
    </row>
    <row r="3932">
      <c r="A3932" s="173" t="n">
        <v>48853</v>
      </c>
      <c r="B3932" s="174" t="n">
        <v>48853</v>
      </c>
      <c r="C3932" s="174" t="n">
        <v>1412</v>
      </c>
      <c r="D3932" s="174" t="n">
        <v>7</v>
      </c>
      <c r="E3932" s="175" t="inlineStr">
        <is>
          <t>1412/07/10</t>
        </is>
      </c>
      <c r="F3932" s="128" t="inlineStr">
        <is>
          <t>1412/07</t>
        </is>
      </c>
      <c r="G3932" s="58" t="inlineStr">
        <is>
          <t>مهر</t>
        </is>
      </c>
      <c r="H3932" s="128" t="inlineStr">
        <is>
          <t>پاییز</t>
        </is>
      </c>
      <c r="I3932" s="128" t="inlineStr">
        <is>
          <t>شنبه</t>
        </is>
      </c>
      <c r="J3932" s="128" t="inlineStr">
        <is>
          <t>خیر</t>
        </is>
      </c>
    </row>
    <row r="3933">
      <c r="A3933" s="176" t="n">
        <v>48854</v>
      </c>
      <c r="B3933" s="177" t="n">
        <v>48854</v>
      </c>
      <c r="C3933" s="177" t="n">
        <v>1412</v>
      </c>
      <c r="D3933" s="177" t="n">
        <v>7</v>
      </c>
      <c r="E3933" s="178" t="inlineStr">
        <is>
          <t>1412/07/11</t>
        </is>
      </c>
      <c r="F3933" s="134" t="inlineStr">
        <is>
          <t>1412/07</t>
        </is>
      </c>
      <c r="G3933" s="61" t="inlineStr">
        <is>
          <t>مهر</t>
        </is>
      </c>
      <c r="H3933" s="134" t="inlineStr">
        <is>
          <t>پاییز</t>
        </is>
      </c>
      <c r="I3933" s="134" t="inlineStr">
        <is>
          <t>یکشنبه</t>
        </is>
      </c>
      <c r="J3933" s="134" t="inlineStr">
        <is>
          <t>خیر</t>
        </is>
      </c>
    </row>
    <row r="3934">
      <c r="A3934" s="173" t="n">
        <v>48855</v>
      </c>
      <c r="B3934" s="174" t="n">
        <v>48855</v>
      </c>
      <c r="C3934" s="174" t="n">
        <v>1412</v>
      </c>
      <c r="D3934" s="174" t="n">
        <v>7</v>
      </c>
      <c r="E3934" s="175" t="inlineStr">
        <is>
          <t>1412/07/12</t>
        </is>
      </c>
      <c r="F3934" s="128" t="inlineStr">
        <is>
          <t>1412/07</t>
        </is>
      </c>
      <c r="G3934" s="58" t="inlineStr">
        <is>
          <t>مهر</t>
        </is>
      </c>
      <c r="H3934" s="128" t="inlineStr">
        <is>
          <t>پاییز</t>
        </is>
      </c>
      <c r="I3934" s="128" t="inlineStr">
        <is>
          <t>دوشنبه</t>
        </is>
      </c>
      <c r="J3934" s="128" t="inlineStr">
        <is>
          <t>بله</t>
        </is>
      </c>
    </row>
    <row r="3935">
      <c r="A3935" s="176" t="n">
        <v>48856</v>
      </c>
      <c r="B3935" s="177" t="n">
        <v>48856</v>
      </c>
      <c r="C3935" s="177" t="n">
        <v>1412</v>
      </c>
      <c r="D3935" s="177" t="n">
        <v>7</v>
      </c>
      <c r="E3935" s="178" t="inlineStr">
        <is>
          <t>1412/07/13</t>
        </is>
      </c>
      <c r="F3935" s="134" t="inlineStr">
        <is>
          <t>1412/07</t>
        </is>
      </c>
      <c r="G3935" s="61" t="inlineStr">
        <is>
          <t>مهر</t>
        </is>
      </c>
      <c r="H3935" s="134" t="inlineStr">
        <is>
          <t>پاییز</t>
        </is>
      </c>
      <c r="I3935" s="134" t="inlineStr">
        <is>
          <t>سه‌شنبه</t>
        </is>
      </c>
      <c r="J3935" s="134" t="inlineStr">
        <is>
          <t>بله</t>
        </is>
      </c>
    </row>
    <row r="3936">
      <c r="A3936" s="173" t="n">
        <v>48857</v>
      </c>
      <c r="B3936" s="174" t="n">
        <v>48857</v>
      </c>
      <c r="C3936" s="174" t="n">
        <v>1412</v>
      </c>
      <c r="D3936" s="174" t="n">
        <v>7</v>
      </c>
      <c r="E3936" s="175" t="inlineStr">
        <is>
          <t>1412/07/14</t>
        </is>
      </c>
      <c r="F3936" s="128" t="inlineStr">
        <is>
          <t>1412/07</t>
        </is>
      </c>
      <c r="G3936" s="58" t="inlineStr">
        <is>
          <t>مهر</t>
        </is>
      </c>
      <c r="H3936" s="128" t="inlineStr">
        <is>
          <t>پاییز</t>
        </is>
      </c>
      <c r="I3936" s="128" t="inlineStr">
        <is>
          <t>چهارشنبه</t>
        </is>
      </c>
      <c r="J3936" s="128" t="inlineStr">
        <is>
          <t>بله</t>
        </is>
      </c>
    </row>
    <row r="3937">
      <c r="A3937" s="176" t="n">
        <v>48858</v>
      </c>
      <c r="B3937" s="177" t="n">
        <v>48858</v>
      </c>
      <c r="C3937" s="177" t="n">
        <v>1412</v>
      </c>
      <c r="D3937" s="177" t="n">
        <v>7</v>
      </c>
      <c r="E3937" s="178" t="inlineStr">
        <is>
          <t>1412/07/15</t>
        </is>
      </c>
      <c r="F3937" s="134" t="inlineStr">
        <is>
          <t>1412/07</t>
        </is>
      </c>
      <c r="G3937" s="61" t="inlineStr">
        <is>
          <t>مهر</t>
        </is>
      </c>
      <c r="H3937" s="134" t="inlineStr">
        <is>
          <t>پاییز</t>
        </is>
      </c>
      <c r="I3937" s="134" t="inlineStr">
        <is>
          <t>پنجشنبه</t>
        </is>
      </c>
      <c r="J3937" s="134" t="inlineStr">
        <is>
          <t>بله</t>
        </is>
      </c>
    </row>
    <row r="3938">
      <c r="A3938" s="173" t="n">
        <v>48859</v>
      </c>
      <c r="B3938" s="174" t="n">
        <v>48859</v>
      </c>
      <c r="C3938" s="174" t="n">
        <v>1412</v>
      </c>
      <c r="D3938" s="174" t="n">
        <v>7</v>
      </c>
      <c r="E3938" s="175" t="inlineStr">
        <is>
          <t>1412/07/16</t>
        </is>
      </c>
      <c r="F3938" s="128" t="inlineStr">
        <is>
          <t>1412/07</t>
        </is>
      </c>
      <c r="G3938" s="58" t="inlineStr">
        <is>
          <t>مهر</t>
        </is>
      </c>
      <c r="H3938" s="128" t="inlineStr">
        <is>
          <t>پاییز</t>
        </is>
      </c>
      <c r="I3938" s="128" t="inlineStr">
        <is>
          <t>جمعه</t>
        </is>
      </c>
      <c r="J3938" s="128" t="inlineStr">
        <is>
          <t>بله</t>
        </is>
      </c>
    </row>
    <row r="3939">
      <c r="A3939" s="176" t="n">
        <v>48860</v>
      </c>
      <c r="B3939" s="177" t="n">
        <v>48860</v>
      </c>
      <c r="C3939" s="177" t="n">
        <v>1412</v>
      </c>
      <c r="D3939" s="177" t="n">
        <v>7</v>
      </c>
      <c r="E3939" s="178" t="inlineStr">
        <is>
          <t>1412/07/17</t>
        </is>
      </c>
      <c r="F3939" s="134" t="inlineStr">
        <is>
          <t>1412/07</t>
        </is>
      </c>
      <c r="G3939" s="61" t="inlineStr">
        <is>
          <t>مهر</t>
        </is>
      </c>
      <c r="H3939" s="134" t="inlineStr">
        <is>
          <t>پاییز</t>
        </is>
      </c>
      <c r="I3939" s="134" t="inlineStr">
        <is>
          <t>شنبه</t>
        </is>
      </c>
      <c r="J3939" s="134" t="inlineStr">
        <is>
          <t>خیر</t>
        </is>
      </c>
    </row>
    <row r="3940">
      <c r="A3940" s="173" t="n">
        <v>48861</v>
      </c>
      <c r="B3940" s="174" t="n">
        <v>48861</v>
      </c>
      <c r="C3940" s="174" t="n">
        <v>1412</v>
      </c>
      <c r="D3940" s="174" t="n">
        <v>7</v>
      </c>
      <c r="E3940" s="175" t="inlineStr">
        <is>
          <t>1412/07/18</t>
        </is>
      </c>
      <c r="F3940" s="128" t="inlineStr">
        <is>
          <t>1412/07</t>
        </is>
      </c>
      <c r="G3940" s="58" t="inlineStr">
        <is>
          <t>مهر</t>
        </is>
      </c>
      <c r="H3940" s="128" t="inlineStr">
        <is>
          <t>پاییز</t>
        </is>
      </c>
      <c r="I3940" s="128" t="inlineStr">
        <is>
          <t>یکشنبه</t>
        </is>
      </c>
      <c r="J3940" s="128" t="inlineStr">
        <is>
          <t>خیر</t>
        </is>
      </c>
    </row>
    <row r="3941">
      <c r="A3941" s="176" t="n">
        <v>48862</v>
      </c>
      <c r="B3941" s="177" t="n">
        <v>48862</v>
      </c>
      <c r="C3941" s="177" t="n">
        <v>1412</v>
      </c>
      <c r="D3941" s="177" t="n">
        <v>7</v>
      </c>
      <c r="E3941" s="178" t="inlineStr">
        <is>
          <t>1412/07/19</t>
        </is>
      </c>
      <c r="F3941" s="134" t="inlineStr">
        <is>
          <t>1412/07</t>
        </is>
      </c>
      <c r="G3941" s="61" t="inlineStr">
        <is>
          <t>مهر</t>
        </is>
      </c>
      <c r="H3941" s="134" t="inlineStr">
        <is>
          <t>پاییز</t>
        </is>
      </c>
      <c r="I3941" s="134" t="inlineStr">
        <is>
          <t>دوشنبه</t>
        </is>
      </c>
      <c r="J3941" s="134" t="inlineStr">
        <is>
          <t>بله</t>
        </is>
      </c>
    </row>
    <row r="3942">
      <c r="A3942" s="173" t="n">
        <v>48863</v>
      </c>
      <c r="B3942" s="174" t="n">
        <v>48863</v>
      </c>
      <c r="C3942" s="174" t="n">
        <v>1412</v>
      </c>
      <c r="D3942" s="174" t="n">
        <v>7</v>
      </c>
      <c r="E3942" s="175" t="inlineStr">
        <is>
          <t>1412/07/20</t>
        </is>
      </c>
      <c r="F3942" s="128" t="inlineStr">
        <is>
          <t>1412/07</t>
        </is>
      </c>
      <c r="G3942" s="58" t="inlineStr">
        <is>
          <t>مهر</t>
        </is>
      </c>
      <c r="H3942" s="128" t="inlineStr">
        <is>
          <t>پاییز</t>
        </is>
      </c>
      <c r="I3942" s="128" t="inlineStr">
        <is>
          <t>سه‌شنبه</t>
        </is>
      </c>
      <c r="J3942" s="128" t="inlineStr">
        <is>
          <t>بله</t>
        </is>
      </c>
    </row>
    <row r="3943">
      <c r="A3943" s="176" t="n">
        <v>48864</v>
      </c>
      <c r="B3943" s="177" t="n">
        <v>48864</v>
      </c>
      <c r="C3943" s="177" t="n">
        <v>1412</v>
      </c>
      <c r="D3943" s="177" t="n">
        <v>7</v>
      </c>
      <c r="E3943" s="178" t="inlineStr">
        <is>
          <t>1412/07/21</t>
        </is>
      </c>
      <c r="F3943" s="134" t="inlineStr">
        <is>
          <t>1412/07</t>
        </is>
      </c>
      <c r="G3943" s="61" t="inlineStr">
        <is>
          <t>مهر</t>
        </is>
      </c>
      <c r="H3943" s="134" t="inlineStr">
        <is>
          <t>پاییز</t>
        </is>
      </c>
      <c r="I3943" s="134" t="inlineStr">
        <is>
          <t>چهارشنبه</t>
        </is>
      </c>
      <c r="J3943" s="134" t="inlineStr">
        <is>
          <t>بله</t>
        </is>
      </c>
    </row>
    <row r="3944">
      <c r="A3944" s="173" t="n">
        <v>48865</v>
      </c>
      <c r="B3944" s="174" t="n">
        <v>48865</v>
      </c>
      <c r="C3944" s="174" t="n">
        <v>1412</v>
      </c>
      <c r="D3944" s="174" t="n">
        <v>7</v>
      </c>
      <c r="E3944" s="175" t="inlineStr">
        <is>
          <t>1412/07/22</t>
        </is>
      </c>
      <c r="F3944" s="128" t="inlineStr">
        <is>
          <t>1412/07</t>
        </is>
      </c>
      <c r="G3944" s="58" t="inlineStr">
        <is>
          <t>مهر</t>
        </is>
      </c>
      <c r="H3944" s="128" t="inlineStr">
        <is>
          <t>پاییز</t>
        </is>
      </c>
      <c r="I3944" s="128" t="inlineStr">
        <is>
          <t>پنجشنبه</t>
        </is>
      </c>
      <c r="J3944" s="128" t="inlineStr">
        <is>
          <t>بله</t>
        </is>
      </c>
    </row>
    <row r="3945">
      <c r="A3945" s="176" t="n">
        <v>48866</v>
      </c>
      <c r="B3945" s="177" t="n">
        <v>48866</v>
      </c>
      <c r="C3945" s="177" t="n">
        <v>1412</v>
      </c>
      <c r="D3945" s="177" t="n">
        <v>7</v>
      </c>
      <c r="E3945" s="178" t="inlineStr">
        <is>
          <t>1412/07/23</t>
        </is>
      </c>
      <c r="F3945" s="134" t="inlineStr">
        <is>
          <t>1412/07</t>
        </is>
      </c>
      <c r="G3945" s="61" t="inlineStr">
        <is>
          <t>مهر</t>
        </is>
      </c>
      <c r="H3945" s="134" t="inlineStr">
        <is>
          <t>پاییز</t>
        </is>
      </c>
      <c r="I3945" s="134" t="inlineStr">
        <is>
          <t>جمعه</t>
        </is>
      </c>
      <c r="J3945" s="134" t="inlineStr">
        <is>
          <t>بله</t>
        </is>
      </c>
    </row>
    <row r="3946">
      <c r="A3946" s="173" t="n">
        <v>48867</v>
      </c>
      <c r="B3946" s="174" t="n">
        <v>48867</v>
      </c>
      <c r="C3946" s="174" t="n">
        <v>1412</v>
      </c>
      <c r="D3946" s="174" t="n">
        <v>7</v>
      </c>
      <c r="E3946" s="175" t="inlineStr">
        <is>
          <t>1412/07/24</t>
        </is>
      </c>
      <c r="F3946" s="128" t="inlineStr">
        <is>
          <t>1412/07</t>
        </is>
      </c>
      <c r="G3946" s="58" t="inlineStr">
        <is>
          <t>مهر</t>
        </is>
      </c>
      <c r="H3946" s="128" t="inlineStr">
        <is>
          <t>پاییز</t>
        </is>
      </c>
      <c r="I3946" s="128" t="inlineStr">
        <is>
          <t>شنبه</t>
        </is>
      </c>
      <c r="J3946" s="128" t="inlineStr">
        <is>
          <t>خیر</t>
        </is>
      </c>
    </row>
    <row r="3947">
      <c r="A3947" s="176" t="n">
        <v>48868</v>
      </c>
      <c r="B3947" s="177" t="n">
        <v>48868</v>
      </c>
      <c r="C3947" s="177" t="n">
        <v>1412</v>
      </c>
      <c r="D3947" s="177" t="n">
        <v>7</v>
      </c>
      <c r="E3947" s="178" t="inlineStr">
        <is>
          <t>1412/07/25</t>
        </is>
      </c>
      <c r="F3947" s="134" t="inlineStr">
        <is>
          <t>1412/07</t>
        </is>
      </c>
      <c r="G3947" s="61" t="inlineStr">
        <is>
          <t>مهر</t>
        </is>
      </c>
      <c r="H3947" s="134" t="inlineStr">
        <is>
          <t>پاییز</t>
        </is>
      </c>
      <c r="I3947" s="134" t="inlineStr">
        <is>
          <t>یکشنبه</t>
        </is>
      </c>
      <c r="J3947" s="134" t="inlineStr">
        <is>
          <t>خیر</t>
        </is>
      </c>
    </row>
    <row r="3948">
      <c r="A3948" s="173" t="n">
        <v>48869</v>
      </c>
      <c r="B3948" s="174" t="n">
        <v>48869</v>
      </c>
      <c r="C3948" s="174" t="n">
        <v>1412</v>
      </c>
      <c r="D3948" s="174" t="n">
        <v>7</v>
      </c>
      <c r="E3948" s="175" t="inlineStr">
        <is>
          <t>1412/07/26</t>
        </is>
      </c>
      <c r="F3948" s="128" t="inlineStr">
        <is>
          <t>1412/07</t>
        </is>
      </c>
      <c r="G3948" s="58" t="inlineStr">
        <is>
          <t>مهر</t>
        </is>
      </c>
      <c r="H3948" s="128" t="inlineStr">
        <is>
          <t>پاییز</t>
        </is>
      </c>
      <c r="I3948" s="128" t="inlineStr">
        <is>
          <t>دوشنبه</t>
        </is>
      </c>
      <c r="J3948" s="128" t="inlineStr">
        <is>
          <t>بله</t>
        </is>
      </c>
    </row>
    <row r="3949">
      <c r="A3949" s="176" t="n">
        <v>48870</v>
      </c>
      <c r="B3949" s="177" t="n">
        <v>48870</v>
      </c>
      <c r="C3949" s="177" t="n">
        <v>1412</v>
      </c>
      <c r="D3949" s="177" t="n">
        <v>7</v>
      </c>
      <c r="E3949" s="178" t="inlineStr">
        <is>
          <t>1412/07/27</t>
        </is>
      </c>
      <c r="F3949" s="134" t="inlineStr">
        <is>
          <t>1412/07</t>
        </is>
      </c>
      <c r="G3949" s="61" t="inlineStr">
        <is>
          <t>مهر</t>
        </is>
      </c>
      <c r="H3949" s="134" t="inlineStr">
        <is>
          <t>پاییز</t>
        </is>
      </c>
      <c r="I3949" s="134" t="inlineStr">
        <is>
          <t>سه‌شنبه</t>
        </is>
      </c>
      <c r="J3949" s="134" t="inlineStr">
        <is>
          <t>بله</t>
        </is>
      </c>
    </row>
    <row r="3950">
      <c r="A3950" s="173" t="n">
        <v>48871</v>
      </c>
      <c r="B3950" s="174" t="n">
        <v>48871</v>
      </c>
      <c r="C3950" s="174" t="n">
        <v>1412</v>
      </c>
      <c r="D3950" s="174" t="n">
        <v>7</v>
      </c>
      <c r="E3950" s="175" t="inlineStr">
        <is>
          <t>1412/07/28</t>
        </is>
      </c>
      <c r="F3950" s="128" t="inlineStr">
        <is>
          <t>1412/07</t>
        </is>
      </c>
      <c r="G3950" s="58" t="inlineStr">
        <is>
          <t>مهر</t>
        </is>
      </c>
      <c r="H3950" s="128" t="inlineStr">
        <is>
          <t>پاییز</t>
        </is>
      </c>
      <c r="I3950" s="128" t="inlineStr">
        <is>
          <t>چهارشنبه</t>
        </is>
      </c>
      <c r="J3950" s="128" t="inlineStr">
        <is>
          <t>بله</t>
        </is>
      </c>
    </row>
    <row r="3951">
      <c r="A3951" s="176" t="n">
        <v>48872</v>
      </c>
      <c r="B3951" s="177" t="n">
        <v>48872</v>
      </c>
      <c r="C3951" s="177" t="n">
        <v>1412</v>
      </c>
      <c r="D3951" s="177" t="n">
        <v>7</v>
      </c>
      <c r="E3951" s="178" t="inlineStr">
        <is>
          <t>1412/07/29</t>
        </is>
      </c>
      <c r="F3951" s="134" t="inlineStr">
        <is>
          <t>1412/07</t>
        </is>
      </c>
      <c r="G3951" s="61" t="inlineStr">
        <is>
          <t>مهر</t>
        </is>
      </c>
      <c r="H3951" s="134" t="inlineStr">
        <is>
          <t>پاییز</t>
        </is>
      </c>
      <c r="I3951" s="134" t="inlineStr">
        <is>
          <t>پنجشنبه</t>
        </is>
      </c>
      <c r="J3951" s="134" t="inlineStr">
        <is>
          <t>بله</t>
        </is>
      </c>
    </row>
    <row r="3952">
      <c r="A3952" s="173" t="n">
        <v>48873</v>
      </c>
      <c r="B3952" s="174" t="n">
        <v>48873</v>
      </c>
      <c r="C3952" s="174" t="n">
        <v>1412</v>
      </c>
      <c r="D3952" s="174" t="n">
        <v>7</v>
      </c>
      <c r="E3952" s="175" t="inlineStr">
        <is>
          <t>1412/07/30</t>
        </is>
      </c>
      <c r="F3952" s="128" t="inlineStr">
        <is>
          <t>1412/07</t>
        </is>
      </c>
      <c r="G3952" s="58" t="inlineStr">
        <is>
          <t>مهر</t>
        </is>
      </c>
      <c r="H3952" s="128" t="inlineStr">
        <is>
          <t>پاییز</t>
        </is>
      </c>
      <c r="I3952" s="128" t="inlineStr">
        <is>
          <t>جمعه</t>
        </is>
      </c>
      <c r="J3952" s="128" t="inlineStr">
        <is>
          <t>بله</t>
        </is>
      </c>
    </row>
    <row r="3953">
      <c r="A3953" s="176" t="n">
        <v>48874</v>
      </c>
      <c r="B3953" s="177" t="n">
        <v>48874</v>
      </c>
      <c r="C3953" s="177" t="n">
        <v>1412</v>
      </c>
      <c r="D3953" s="177" t="n">
        <v>8</v>
      </c>
      <c r="E3953" s="178" t="inlineStr">
        <is>
          <t>1412/08/01</t>
        </is>
      </c>
      <c r="F3953" s="134" t="inlineStr">
        <is>
          <t>1412/08</t>
        </is>
      </c>
      <c r="G3953" s="61" t="inlineStr">
        <is>
          <t>آبان</t>
        </is>
      </c>
      <c r="H3953" s="134" t="inlineStr">
        <is>
          <t>پاییز</t>
        </is>
      </c>
      <c r="I3953" s="134" t="inlineStr">
        <is>
          <t>شنبه</t>
        </is>
      </c>
      <c r="J3953" s="134" t="inlineStr">
        <is>
          <t>خیر</t>
        </is>
      </c>
    </row>
    <row r="3954">
      <c r="A3954" s="173" t="n">
        <v>48875</v>
      </c>
      <c r="B3954" s="174" t="n">
        <v>48875</v>
      </c>
      <c r="C3954" s="174" t="n">
        <v>1412</v>
      </c>
      <c r="D3954" s="174" t="n">
        <v>8</v>
      </c>
      <c r="E3954" s="175" t="inlineStr">
        <is>
          <t>1412/08/02</t>
        </is>
      </c>
      <c r="F3954" s="128" t="inlineStr">
        <is>
          <t>1412/08</t>
        </is>
      </c>
      <c r="G3954" s="58" t="inlineStr">
        <is>
          <t>آبان</t>
        </is>
      </c>
      <c r="H3954" s="128" t="inlineStr">
        <is>
          <t>پاییز</t>
        </is>
      </c>
      <c r="I3954" s="128" t="inlineStr">
        <is>
          <t>یکشنبه</t>
        </is>
      </c>
      <c r="J3954" s="128" t="inlineStr">
        <is>
          <t>خیر</t>
        </is>
      </c>
    </row>
    <row r="3955">
      <c r="A3955" s="176" t="n">
        <v>48876</v>
      </c>
      <c r="B3955" s="177" t="n">
        <v>48876</v>
      </c>
      <c r="C3955" s="177" t="n">
        <v>1412</v>
      </c>
      <c r="D3955" s="177" t="n">
        <v>8</v>
      </c>
      <c r="E3955" s="178" t="inlineStr">
        <is>
          <t>1412/08/03</t>
        </is>
      </c>
      <c r="F3955" s="134" t="inlineStr">
        <is>
          <t>1412/08</t>
        </is>
      </c>
      <c r="G3955" s="61" t="inlineStr">
        <is>
          <t>آبان</t>
        </is>
      </c>
      <c r="H3955" s="134" t="inlineStr">
        <is>
          <t>پاییز</t>
        </is>
      </c>
      <c r="I3955" s="134" t="inlineStr">
        <is>
          <t>دوشنبه</t>
        </is>
      </c>
      <c r="J3955" s="134" t="inlineStr">
        <is>
          <t>بله</t>
        </is>
      </c>
    </row>
    <row r="3956">
      <c r="A3956" s="173" t="n">
        <v>48877</v>
      </c>
      <c r="B3956" s="174" t="n">
        <v>48877</v>
      </c>
      <c r="C3956" s="174" t="n">
        <v>1412</v>
      </c>
      <c r="D3956" s="174" t="n">
        <v>8</v>
      </c>
      <c r="E3956" s="175" t="inlineStr">
        <is>
          <t>1412/08/04</t>
        </is>
      </c>
      <c r="F3956" s="128" t="inlineStr">
        <is>
          <t>1412/08</t>
        </is>
      </c>
      <c r="G3956" s="58" t="inlineStr">
        <is>
          <t>آبان</t>
        </is>
      </c>
      <c r="H3956" s="128" t="inlineStr">
        <is>
          <t>پاییز</t>
        </is>
      </c>
      <c r="I3956" s="128" t="inlineStr">
        <is>
          <t>سه‌شنبه</t>
        </is>
      </c>
      <c r="J3956" s="128" t="inlineStr">
        <is>
          <t>بله</t>
        </is>
      </c>
    </row>
    <row r="3957">
      <c r="A3957" s="176" t="n">
        <v>48878</v>
      </c>
      <c r="B3957" s="177" t="n">
        <v>48878</v>
      </c>
      <c r="C3957" s="177" t="n">
        <v>1412</v>
      </c>
      <c r="D3957" s="177" t="n">
        <v>8</v>
      </c>
      <c r="E3957" s="178" t="inlineStr">
        <is>
          <t>1412/08/05</t>
        </is>
      </c>
      <c r="F3957" s="134" t="inlineStr">
        <is>
          <t>1412/08</t>
        </is>
      </c>
      <c r="G3957" s="61" t="inlineStr">
        <is>
          <t>آبان</t>
        </is>
      </c>
      <c r="H3957" s="134" t="inlineStr">
        <is>
          <t>پاییز</t>
        </is>
      </c>
      <c r="I3957" s="134" t="inlineStr">
        <is>
          <t>چهارشنبه</t>
        </is>
      </c>
      <c r="J3957" s="134" t="inlineStr">
        <is>
          <t>بله</t>
        </is>
      </c>
    </row>
    <row r="3958">
      <c r="A3958" s="173" t="n">
        <v>48879</v>
      </c>
      <c r="B3958" s="174" t="n">
        <v>48879</v>
      </c>
      <c r="C3958" s="174" t="n">
        <v>1412</v>
      </c>
      <c r="D3958" s="174" t="n">
        <v>8</v>
      </c>
      <c r="E3958" s="175" t="inlineStr">
        <is>
          <t>1412/08/06</t>
        </is>
      </c>
      <c r="F3958" s="128" t="inlineStr">
        <is>
          <t>1412/08</t>
        </is>
      </c>
      <c r="G3958" s="58" t="inlineStr">
        <is>
          <t>آبان</t>
        </is>
      </c>
      <c r="H3958" s="128" t="inlineStr">
        <is>
          <t>پاییز</t>
        </is>
      </c>
      <c r="I3958" s="128" t="inlineStr">
        <is>
          <t>پنجشنبه</t>
        </is>
      </c>
      <c r="J3958" s="128" t="inlineStr">
        <is>
          <t>بله</t>
        </is>
      </c>
    </row>
    <row r="3959">
      <c r="A3959" s="176" t="n">
        <v>48880</v>
      </c>
      <c r="B3959" s="177" t="n">
        <v>48880</v>
      </c>
      <c r="C3959" s="177" t="n">
        <v>1412</v>
      </c>
      <c r="D3959" s="177" t="n">
        <v>8</v>
      </c>
      <c r="E3959" s="178" t="inlineStr">
        <is>
          <t>1412/08/07</t>
        </is>
      </c>
      <c r="F3959" s="134" t="inlineStr">
        <is>
          <t>1412/08</t>
        </is>
      </c>
      <c r="G3959" s="61" t="inlineStr">
        <is>
          <t>آبان</t>
        </is>
      </c>
      <c r="H3959" s="134" t="inlineStr">
        <is>
          <t>پاییز</t>
        </is>
      </c>
      <c r="I3959" s="134" t="inlineStr">
        <is>
          <t>جمعه</t>
        </is>
      </c>
      <c r="J3959" s="134" t="inlineStr">
        <is>
          <t>بله</t>
        </is>
      </c>
    </row>
    <row r="3960">
      <c r="A3960" s="173" t="n">
        <v>48881</v>
      </c>
      <c r="B3960" s="174" t="n">
        <v>48881</v>
      </c>
      <c r="C3960" s="174" t="n">
        <v>1412</v>
      </c>
      <c r="D3960" s="174" t="n">
        <v>8</v>
      </c>
      <c r="E3960" s="175" t="inlineStr">
        <is>
          <t>1412/08/08</t>
        </is>
      </c>
      <c r="F3960" s="128" t="inlineStr">
        <is>
          <t>1412/08</t>
        </is>
      </c>
      <c r="G3960" s="58" t="inlineStr">
        <is>
          <t>آبان</t>
        </is>
      </c>
      <c r="H3960" s="128" t="inlineStr">
        <is>
          <t>پاییز</t>
        </is>
      </c>
      <c r="I3960" s="128" t="inlineStr">
        <is>
          <t>شنبه</t>
        </is>
      </c>
      <c r="J3960" s="128" t="inlineStr">
        <is>
          <t>خیر</t>
        </is>
      </c>
    </row>
    <row r="3961">
      <c r="A3961" s="176" t="n">
        <v>48882</v>
      </c>
      <c r="B3961" s="177" t="n">
        <v>48882</v>
      </c>
      <c r="C3961" s="177" t="n">
        <v>1412</v>
      </c>
      <c r="D3961" s="177" t="n">
        <v>8</v>
      </c>
      <c r="E3961" s="178" t="inlineStr">
        <is>
          <t>1412/08/09</t>
        </is>
      </c>
      <c r="F3961" s="134" t="inlineStr">
        <is>
          <t>1412/08</t>
        </is>
      </c>
      <c r="G3961" s="61" t="inlineStr">
        <is>
          <t>آبان</t>
        </is>
      </c>
      <c r="H3961" s="134" t="inlineStr">
        <is>
          <t>پاییز</t>
        </is>
      </c>
      <c r="I3961" s="134" t="inlineStr">
        <is>
          <t>یکشنبه</t>
        </is>
      </c>
      <c r="J3961" s="134" t="inlineStr">
        <is>
          <t>خیر</t>
        </is>
      </c>
    </row>
    <row r="3962">
      <c r="A3962" s="173" t="n">
        <v>48883</v>
      </c>
      <c r="B3962" s="174" t="n">
        <v>48883</v>
      </c>
      <c r="C3962" s="174" t="n">
        <v>1412</v>
      </c>
      <c r="D3962" s="174" t="n">
        <v>8</v>
      </c>
      <c r="E3962" s="175" t="inlineStr">
        <is>
          <t>1412/08/10</t>
        </is>
      </c>
      <c r="F3962" s="128" t="inlineStr">
        <is>
          <t>1412/08</t>
        </is>
      </c>
      <c r="G3962" s="58" t="inlineStr">
        <is>
          <t>آبان</t>
        </is>
      </c>
      <c r="H3962" s="128" t="inlineStr">
        <is>
          <t>پاییز</t>
        </is>
      </c>
      <c r="I3962" s="128" t="inlineStr">
        <is>
          <t>دوشنبه</t>
        </is>
      </c>
      <c r="J3962" s="128" t="inlineStr">
        <is>
          <t>بله</t>
        </is>
      </c>
    </row>
    <row r="3963">
      <c r="A3963" s="176" t="n">
        <v>48884</v>
      </c>
      <c r="B3963" s="177" t="n">
        <v>48884</v>
      </c>
      <c r="C3963" s="177" t="n">
        <v>1412</v>
      </c>
      <c r="D3963" s="177" t="n">
        <v>8</v>
      </c>
      <c r="E3963" s="178" t="inlineStr">
        <is>
          <t>1412/08/11</t>
        </is>
      </c>
      <c r="F3963" s="134" t="inlineStr">
        <is>
          <t>1412/08</t>
        </is>
      </c>
      <c r="G3963" s="61" t="inlineStr">
        <is>
          <t>آبان</t>
        </is>
      </c>
      <c r="H3963" s="134" t="inlineStr">
        <is>
          <t>پاییز</t>
        </is>
      </c>
      <c r="I3963" s="134" t="inlineStr">
        <is>
          <t>سه‌شنبه</t>
        </is>
      </c>
      <c r="J3963" s="134" t="inlineStr">
        <is>
          <t>بله</t>
        </is>
      </c>
    </row>
    <row r="3964">
      <c r="A3964" s="173" t="n">
        <v>48885</v>
      </c>
      <c r="B3964" s="174" t="n">
        <v>48885</v>
      </c>
      <c r="C3964" s="174" t="n">
        <v>1412</v>
      </c>
      <c r="D3964" s="174" t="n">
        <v>8</v>
      </c>
      <c r="E3964" s="175" t="inlineStr">
        <is>
          <t>1412/08/12</t>
        </is>
      </c>
      <c r="F3964" s="128" t="inlineStr">
        <is>
          <t>1412/08</t>
        </is>
      </c>
      <c r="G3964" s="58" t="inlineStr">
        <is>
          <t>آبان</t>
        </is>
      </c>
      <c r="H3964" s="128" t="inlineStr">
        <is>
          <t>پاییز</t>
        </is>
      </c>
      <c r="I3964" s="128" t="inlineStr">
        <is>
          <t>چهارشنبه</t>
        </is>
      </c>
      <c r="J3964" s="128" t="inlineStr">
        <is>
          <t>بله</t>
        </is>
      </c>
    </row>
    <row r="3965">
      <c r="A3965" s="176" t="n">
        <v>48886</v>
      </c>
      <c r="B3965" s="177" t="n">
        <v>48886</v>
      </c>
      <c r="C3965" s="177" t="n">
        <v>1412</v>
      </c>
      <c r="D3965" s="177" t="n">
        <v>8</v>
      </c>
      <c r="E3965" s="178" t="inlineStr">
        <is>
          <t>1412/08/13</t>
        </is>
      </c>
      <c r="F3965" s="134" t="inlineStr">
        <is>
          <t>1412/08</t>
        </is>
      </c>
      <c r="G3965" s="61" t="inlineStr">
        <is>
          <t>آبان</t>
        </is>
      </c>
      <c r="H3965" s="134" t="inlineStr">
        <is>
          <t>پاییز</t>
        </is>
      </c>
      <c r="I3965" s="134" t="inlineStr">
        <is>
          <t>پنجشنبه</t>
        </is>
      </c>
      <c r="J3965" s="134" t="inlineStr">
        <is>
          <t>بله</t>
        </is>
      </c>
    </row>
    <row r="3966">
      <c r="A3966" s="173" t="n">
        <v>48887</v>
      </c>
      <c r="B3966" s="174" t="n">
        <v>48887</v>
      </c>
      <c r="C3966" s="174" t="n">
        <v>1412</v>
      </c>
      <c r="D3966" s="174" t="n">
        <v>8</v>
      </c>
      <c r="E3966" s="175" t="inlineStr">
        <is>
          <t>1412/08/14</t>
        </is>
      </c>
      <c r="F3966" s="128" t="inlineStr">
        <is>
          <t>1412/08</t>
        </is>
      </c>
      <c r="G3966" s="58" t="inlineStr">
        <is>
          <t>آبان</t>
        </is>
      </c>
      <c r="H3966" s="128" t="inlineStr">
        <is>
          <t>پاییز</t>
        </is>
      </c>
      <c r="I3966" s="128" t="inlineStr">
        <is>
          <t>جمعه</t>
        </is>
      </c>
      <c r="J3966" s="128" t="inlineStr">
        <is>
          <t>بله</t>
        </is>
      </c>
    </row>
    <row r="3967">
      <c r="A3967" s="176" t="n">
        <v>48888</v>
      </c>
      <c r="B3967" s="177" t="n">
        <v>48888</v>
      </c>
      <c r="C3967" s="177" t="n">
        <v>1412</v>
      </c>
      <c r="D3967" s="177" t="n">
        <v>8</v>
      </c>
      <c r="E3967" s="178" t="inlineStr">
        <is>
          <t>1412/08/15</t>
        </is>
      </c>
      <c r="F3967" s="134" t="inlineStr">
        <is>
          <t>1412/08</t>
        </is>
      </c>
      <c r="G3967" s="61" t="inlineStr">
        <is>
          <t>آبان</t>
        </is>
      </c>
      <c r="H3967" s="134" t="inlineStr">
        <is>
          <t>پاییز</t>
        </is>
      </c>
      <c r="I3967" s="134" t="inlineStr">
        <is>
          <t>شنبه</t>
        </is>
      </c>
      <c r="J3967" s="134" t="inlineStr">
        <is>
          <t>خیر</t>
        </is>
      </c>
    </row>
    <row r="3968">
      <c r="A3968" s="173" t="n">
        <v>48889</v>
      </c>
      <c r="B3968" s="174" t="n">
        <v>48889</v>
      </c>
      <c r="C3968" s="174" t="n">
        <v>1412</v>
      </c>
      <c r="D3968" s="174" t="n">
        <v>8</v>
      </c>
      <c r="E3968" s="175" t="inlineStr">
        <is>
          <t>1412/08/16</t>
        </is>
      </c>
      <c r="F3968" s="128" t="inlineStr">
        <is>
          <t>1412/08</t>
        </is>
      </c>
      <c r="G3968" s="58" t="inlineStr">
        <is>
          <t>آبان</t>
        </is>
      </c>
      <c r="H3968" s="128" t="inlineStr">
        <is>
          <t>پاییز</t>
        </is>
      </c>
      <c r="I3968" s="128" t="inlineStr">
        <is>
          <t>یکشنبه</t>
        </is>
      </c>
      <c r="J3968" s="128" t="inlineStr">
        <is>
          <t>خیر</t>
        </is>
      </c>
    </row>
    <row r="3969">
      <c r="A3969" s="176" t="n">
        <v>48890</v>
      </c>
      <c r="B3969" s="177" t="n">
        <v>48890</v>
      </c>
      <c r="C3969" s="177" t="n">
        <v>1412</v>
      </c>
      <c r="D3969" s="177" t="n">
        <v>8</v>
      </c>
      <c r="E3969" s="178" t="inlineStr">
        <is>
          <t>1412/08/17</t>
        </is>
      </c>
      <c r="F3969" s="134" t="inlineStr">
        <is>
          <t>1412/08</t>
        </is>
      </c>
      <c r="G3969" s="61" t="inlineStr">
        <is>
          <t>آبان</t>
        </is>
      </c>
      <c r="H3969" s="134" t="inlineStr">
        <is>
          <t>پاییز</t>
        </is>
      </c>
      <c r="I3969" s="134" t="inlineStr">
        <is>
          <t>دوشنبه</t>
        </is>
      </c>
      <c r="J3969" s="134" t="inlineStr">
        <is>
          <t>بله</t>
        </is>
      </c>
    </row>
    <row r="3970">
      <c r="A3970" s="173" t="n">
        <v>48891</v>
      </c>
      <c r="B3970" s="174" t="n">
        <v>48891</v>
      </c>
      <c r="C3970" s="174" t="n">
        <v>1412</v>
      </c>
      <c r="D3970" s="174" t="n">
        <v>8</v>
      </c>
      <c r="E3970" s="175" t="inlineStr">
        <is>
          <t>1412/08/18</t>
        </is>
      </c>
      <c r="F3970" s="128" t="inlineStr">
        <is>
          <t>1412/08</t>
        </is>
      </c>
      <c r="G3970" s="58" t="inlineStr">
        <is>
          <t>آبان</t>
        </is>
      </c>
      <c r="H3970" s="128" t="inlineStr">
        <is>
          <t>پاییز</t>
        </is>
      </c>
      <c r="I3970" s="128" t="inlineStr">
        <is>
          <t>سه‌شنبه</t>
        </is>
      </c>
      <c r="J3970" s="128" t="inlineStr">
        <is>
          <t>بله</t>
        </is>
      </c>
    </row>
    <row r="3971">
      <c r="A3971" s="176" t="n">
        <v>48892</v>
      </c>
      <c r="B3971" s="177" t="n">
        <v>48892</v>
      </c>
      <c r="C3971" s="177" t="n">
        <v>1412</v>
      </c>
      <c r="D3971" s="177" t="n">
        <v>8</v>
      </c>
      <c r="E3971" s="178" t="inlineStr">
        <is>
          <t>1412/08/19</t>
        </is>
      </c>
      <c r="F3971" s="134" t="inlineStr">
        <is>
          <t>1412/08</t>
        </is>
      </c>
      <c r="G3971" s="61" t="inlineStr">
        <is>
          <t>آبان</t>
        </is>
      </c>
      <c r="H3971" s="134" t="inlineStr">
        <is>
          <t>پاییز</t>
        </is>
      </c>
      <c r="I3971" s="134" t="inlineStr">
        <is>
          <t>چهارشنبه</t>
        </is>
      </c>
      <c r="J3971" s="134" t="inlineStr">
        <is>
          <t>بله</t>
        </is>
      </c>
    </row>
    <row r="3972">
      <c r="A3972" s="173" t="n">
        <v>48893</v>
      </c>
      <c r="B3972" s="174" t="n">
        <v>48893</v>
      </c>
      <c r="C3972" s="174" t="n">
        <v>1412</v>
      </c>
      <c r="D3972" s="174" t="n">
        <v>8</v>
      </c>
      <c r="E3972" s="175" t="inlineStr">
        <is>
          <t>1412/08/20</t>
        </is>
      </c>
      <c r="F3972" s="128" t="inlineStr">
        <is>
          <t>1412/08</t>
        </is>
      </c>
      <c r="G3972" s="58" t="inlineStr">
        <is>
          <t>آبان</t>
        </is>
      </c>
      <c r="H3972" s="128" t="inlineStr">
        <is>
          <t>پاییز</t>
        </is>
      </c>
      <c r="I3972" s="128" t="inlineStr">
        <is>
          <t>پنجشنبه</t>
        </is>
      </c>
      <c r="J3972" s="128" t="inlineStr">
        <is>
          <t>بله</t>
        </is>
      </c>
    </row>
    <row r="3973">
      <c r="A3973" s="176" t="n">
        <v>48894</v>
      </c>
      <c r="B3973" s="177" t="n">
        <v>48894</v>
      </c>
      <c r="C3973" s="177" t="n">
        <v>1412</v>
      </c>
      <c r="D3973" s="177" t="n">
        <v>8</v>
      </c>
      <c r="E3973" s="178" t="inlineStr">
        <is>
          <t>1412/08/21</t>
        </is>
      </c>
      <c r="F3973" s="134" t="inlineStr">
        <is>
          <t>1412/08</t>
        </is>
      </c>
      <c r="G3973" s="61" t="inlineStr">
        <is>
          <t>آبان</t>
        </is>
      </c>
      <c r="H3973" s="134" t="inlineStr">
        <is>
          <t>پاییز</t>
        </is>
      </c>
      <c r="I3973" s="134" t="inlineStr">
        <is>
          <t>جمعه</t>
        </is>
      </c>
      <c r="J3973" s="134" t="inlineStr">
        <is>
          <t>بله</t>
        </is>
      </c>
    </row>
    <row r="3974">
      <c r="A3974" s="173" t="n">
        <v>48895</v>
      </c>
      <c r="B3974" s="174" t="n">
        <v>48895</v>
      </c>
      <c r="C3974" s="174" t="n">
        <v>1412</v>
      </c>
      <c r="D3974" s="174" t="n">
        <v>8</v>
      </c>
      <c r="E3974" s="175" t="inlineStr">
        <is>
          <t>1412/08/22</t>
        </is>
      </c>
      <c r="F3974" s="128" t="inlineStr">
        <is>
          <t>1412/08</t>
        </is>
      </c>
      <c r="G3974" s="58" t="inlineStr">
        <is>
          <t>آبان</t>
        </is>
      </c>
      <c r="H3974" s="128" t="inlineStr">
        <is>
          <t>پاییز</t>
        </is>
      </c>
      <c r="I3974" s="128" t="inlineStr">
        <is>
          <t>شنبه</t>
        </is>
      </c>
      <c r="J3974" s="128" t="inlineStr">
        <is>
          <t>خیر</t>
        </is>
      </c>
    </row>
    <row r="3975">
      <c r="A3975" s="176" t="n">
        <v>48896</v>
      </c>
      <c r="B3975" s="177" t="n">
        <v>48896</v>
      </c>
      <c r="C3975" s="177" t="n">
        <v>1412</v>
      </c>
      <c r="D3975" s="177" t="n">
        <v>8</v>
      </c>
      <c r="E3975" s="178" t="inlineStr">
        <is>
          <t>1412/08/23</t>
        </is>
      </c>
      <c r="F3975" s="134" t="inlineStr">
        <is>
          <t>1412/08</t>
        </is>
      </c>
      <c r="G3975" s="61" t="inlineStr">
        <is>
          <t>آبان</t>
        </is>
      </c>
      <c r="H3975" s="134" t="inlineStr">
        <is>
          <t>پاییز</t>
        </is>
      </c>
      <c r="I3975" s="134" t="inlineStr">
        <is>
          <t>یکشنبه</t>
        </is>
      </c>
      <c r="J3975" s="134" t="inlineStr">
        <is>
          <t>خیر</t>
        </is>
      </c>
    </row>
    <row r="3976">
      <c r="A3976" s="173" t="n">
        <v>48897</v>
      </c>
      <c r="B3976" s="174" t="n">
        <v>48897</v>
      </c>
      <c r="C3976" s="174" t="n">
        <v>1412</v>
      </c>
      <c r="D3976" s="174" t="n">
        <v>8</v>
      </c>
      <c r="E3976" s="175" t="inlineStr">
        <is>
          <t>1412/08/24</t>
        </is>
      </c>
      <c r="F3976" s="128" t="inlineStr">
        <is>
          <t>1412/08</t>
        </is>
      </c>
      <c r="G3976" s="58" t="inlineStr">
        <is>
          <t>آبان</t>
        </is>
      </c>
      <c r="H3976" s="128" t="inlineStr">
        <is>
          <t>پاییز</t>
        </is>
      </c>
      <c r="I3976" s="128" t="inlineStr">
        <is>
          <t>دوشنبه</t>
        </is>
      </c>
      <c r="J3976" s="128" t="inlineStr">
        <is>
          <t>بله</t>
        </is>
      </c>
    </row>
    <row r="3977">
      <c r="A3977" s="176" t="n">
        <v>48898</v>
      </c>
      <c r="B3977" s="177" t="n">
        <v>48898</v>
      </c>
      <c r="C3977" s="177" t="n">
        <v>1412</v>
      </c>
      <c r="D3977" s="177" t="n">
        <v>8</v>
      </c>
      <c r="E3977" s="178" t="inlineStr">
        <is>
          <t>1412/08/25</t>
        </is>
      </c>
      <c r="F3977" s="134" t="inlineStr">
        <is>
          <t>1412/08</t>
        </is>
      </c>
      <c r="G3977" s="61" t="inlineStr">
        <is>
          <t>آبان</t>
        </is>
      </c>
      <c r="H3977" s="134" t="inlineStr">
        <is>
          <t>پاییز</t>
        </is>
      </c>
      <c r="I3977" s="134" t="inlineStr">
        <is>
          <t>سه‌شنبه</t>
        </is>
      </c>
      <c r="J3977" s="134" t="inlineStr">
        <is>
          <t>بله</t>
        </is>
      </c>
    </row>
    <row r="3978">
      <c r="A3978" s="173" t="n">
        <v>48899</v>
      </c>
      <c r="B3978" s="174" t="n">
        <v>48899</v>
      </c>
      <c r="C3978" s="174" t="n">
        <v>1412</v>
      </c>
      <c r="D3978" s="174" t="n">
        <v>8</v>
      </c>
      <c r="E3978" s="175" t="inlineStr">
        <is>
          <t>1412/08/26</t>
        </is>
      </c>
      <c r="F3978" s="128" t="inlineStr">
        <is>
          <t>1412/08</t>
        </is>
      </c>
      <c r="G3978" s="58" t="inlineStr">
        <is>
          <t>آبان</t>
        </is>
      </c>
      <c r="H3978" s="128" t="inlineStr">
        <is>
          <t>پاییز</t>
        </is>
      </c>
      <c r="I3978" s="128" t="inlineStr">
        <is>
          <t>چهارشنبه</t>
        </is>
      </c>
      <c r="J3978" s="128" t="inlineStr">
        <is>
          <t>بله</t>
        </is>
      </c>
    </row>
    <row r="3979">
      <c r="A3979" s="176" t="n">
        <v>48900</v>
      </c>
      <c r="B3979" s="177" t="n">
        <v>48900</v>
      </c>
      <c r="C3979" s="177" t="n">
        <v>1412</v>
      </c>
      <c r="D3979" s="177" t="n">
        <v>8</v>
      </c>
      <c r="E3979" s="178" t="inlineStr">
        <is>
          <t>1412/08/27</t>
        </is>
      </c>
      <c r="F3979" s="134" t="inlineStr">
        <is>
          <t>1412/08</t>
        </is>
      </c>
      <c r="G3979" s="61" t="inlineStr">
        <is>
          <t>آبان</t>
        </is>
      </c>
      <c r="H3979" s="134" t="inlineStr">
        <is>
          <t>پاییز</t>
        </is>
      </c>
      <c r="I3979" s="134" t="inlineStr">
        <is>
          <t>پنجشنبه</t>
        </is>
      </c>
      <c r="J3979" s="134" t="inlineStr">
        <is>
          <t>بله</t>
        </is>
      </c>
    </row>
    <row r="3980">
      <c r="A3980" s="173" t="n">
        <v>48901</v>
      </c>
      <c r="B3980" s="174" t="n">
        <v>48901</v>
      </c>
      <c r="C3980" s="174" t="n">
        <v>1412</v>
      </c>
      <c r="D3980" s="174" t="n">
        <v>8</v>
      </c>
      <c r="E3980" s="175" t="inlineStr">
        <is>
          <t>1412/08/28</t>
        </is>
      </c>
      <c r="F3980" s="128" t="inlineStr">
        <is>
          <t>1412/08</t>
        </is>
      </c>
      <c r="G3980" s="58" t="inlineStr">
        <is>
          <t>آبان</t>
        </is>
      </c>
      <c r="H3980" s="128" t="inlineStr">
        <is>
          <t>پاییز</t>
        </is>
      </c>
      <c r="I3980" s="128" t="inlineStr">
        <is>
          <t>جمعه</t>
        </is>
      </c>
      <c r="J3980" s="128" t="inlineStr">
        <is>
          <t>بله</t>
        </is>
      </c>
    </row>
    <row r="3981">
      <c r="A3981" s="176" t="n">
        <v>48902</v>
      </c>
      <c r="B3981" s="177" t="n">
        <v>48902</v>
      </c>
      <c r="C3981" s="177" t="n">
        <v>1412</v>
      </c>
      <c r="D3981" s="177" t="n">
        <v>8</v>
      </c>
      <c r="E3981" s="178" t="inlineStr">
        <is>
          <t>1412/08/29</t>
        </is>
      </c>
      <c r="F3981" s="134" t="inlineStr">
        <is>
          <t>1412/08</t>
        </is>
      </c>
      <c r="G3981" s="61" t="inlineStr">
        <is>
          <t>آبان</t>
        </is>
      </c>
      <c r="H3981" s="134" t="inlineStr">
        <is>
          <t>پاییز</t>
        </is>
      </c>
      <c r="I3981" s="134" t="inlineStr">
        <is>
          <t>شنبه</t>
        </is>
      </c>
      <c r="J3981" s="134" t="inlineStr">
        <is>
          <t>خیر</t>
        </is>
      </c>
    </row>
    <row r="3982">
      <c r="A3982" s="173" t="n">
        <v>48903</v>
      </c>
      <c r="B3982" s="174" t="n">
        <v>48903</v>
      </c>
      <c r="C3982" s="174" t="n">
        <v>1412</v>
      </c>
      <c r="D3982" s="174" t="n">
        <v>8</v>
      </c>
      <c r="E3982" s="175" t="inlineStr">
        <is>
          <t>1412/08/30</t>
        </is>
      </c>
      <c r="F3982" s="128" t="inlineStr">
        <is>
          <t>1412/08</t>
        </is>
      </c>
      <c r="G3982" s="58" t="inlineStr">
        <is>
          <t>آبان</t>
        </is>
      </c>
      <c r="H3982" s="128" t="inlineStr">
        <is>
          <t>پاییز</t>
        </is>
      </c>
      <c r="I3982" s="128" t="inlineStr">
        <is>
          <t>یکشنبه</t>
        </is>
      </c>
      <c r="J3982" s="128" t="inlineStr">
        <is>
          <t>خیر</t>
        </is>
      </c>
    </row>
    <row r="3983">
      <c r="A3983" s="176" t="n">
        <v>48904</v>
      </c>
      <c r="B3983" s="177" t="n">
        <v>48904</v>
      </c>
      <c r="C3983" s="177" t="n">
        <v>1412</v>
      </c>
      <c r="D3983" s="177" t="n">
        <v>9</v>
      </c>
      <c r="E3983" s="178" t="inlineStr">
        <is>
          <t>1412/09/01</t>
        </is>
      </c>
      <c r="F3983" s="134" t="inlineStr">
        <is>
          <t>1412/09</t>
        </is>
      </c>
      <c r="G3983" s="61" t="inlineStr">
        <is>
          <t>آذر</t>
        </is>
      </c>
      <c r="H3983" s="134" t="inlineStr">
        <is>
          <t>پاییز</t>
        </is>
      </c>
      <c r="I3983" s="134" t="inlineStr">
        <is>
          <t>دوشنبه</t>
        </is>
      </c>
      <c r="J3983" s="134" t="inlineStr">
        <is>
          <t>بله</t>
        </is>
      </c>
    </row>
    <row r="3984">
      <c r="A3984" s="173" t="n">
        <v>48905</v>
      </c>
      <c r="B3984" s="174" t="n">
        <v>48905</v>
      </c>
      <c r="C3984" s="174" t="n">
        <v>1412</v>
      </c>
      <c r="D3984" s="174" t="n">
        <v>9</v>
      </c>
      <c r="E3984" s="175" t="inlineStr">
        <is>
          <t>1412/09/02</t>
        </is>
      </c>
      <c r="F3984" s="128" t="inlineStr">
        <is>
          <t>1412/09</t>
        </is>
      </c>
      <c r="G3984" s="58" t="inlineStr">
        <is>
          <t>آذر</t>
        </is>
      </c>
      <c r="H3984" s="128" t="inlineStr">
        <is>
          <t>پاییز</t>
        </is>
      </c>
      <c r="I3984" s="128" t="inlineStr">
        <is>
          <t>سه‌شنبه</t>
        </is>
      </c>
      <c r="J3984" s="128" t="inlineStr">
        <is>
          <t>بله</t>
        </is>
      </c>
    </row>
    <row r="3985">
      <c r="A3985" s="176" t="n">
        <v>48906</v>
      </c>
      <c r="B3985" s="177" t="n">
        <v>48906</v>
      </c>
      <c r="C3985" s="177" t="n">
        <v>1412</v>
      </c>
      <c r="D3985" s="177" t="n">
        <v>9</v>
      </c>
      <c r="E3985" s="178" t="inlineStr">
        <is>
          <t>1412/09/03</t>
        </is>
      </c>
      <c r="F3985" s="134" t="inlineStr">
        <is>
          <t>1412/09</t>
        </is>
      </c>
      <c r="G3985" s="61" t="inlineStr">
        <is>
          <t>آذر</t>
        </is>
      </c>
      <c r="H3985" s="134" t="inlineStr">
        <is>
          <t>پاییز</t>
        </is>
      </c>
      <c r="I3985" s="134" t="inlineStr">
        <is>
          <t>چهارشنبه</t>
        </is>
      </c>
      <c r="J3985" s="134" t="inlineStr">
        <is>
          <t>بله</t>
        </is>
      </c>
    </row>
    <row r="3986">
      <c r="A3986" s="173" t="n">
        <v>48907</v>
      </c>
      <c r="B3986" s="174" t="n">
        <v>48907</v>
      </c>
      <c r="C3986" s="174" t="n">
        <v>1412</v>
      </c>
      <c r="D3986" s="174" t="n">
        <v>9</v>
      </c>
      <c r="E3986" s="175" t="inlineStr">
        <is>
          <t>1412/09/04</t>
        </is>
      </c>
      <c r="F3986" s="128" t="inlineStr">
        <is>
          <t>1412/09</t>
        </is>
      </c>
      <c r="G3986" s="58" t="inlineStr">
        <is>
          <t>آذر</t>
        </is>
      </c>
      <c r="H3986" s="128" t="inlineStr">
        <is>
          <t>پاییز</t>
        </is>
      </c>
      <c r="I3986" s="128" t="inlineStr">
        <is>
          <t>پنجشنبه</t>
        </is>
      </c>
      <c r="J3986" s="128" t="inlineStr">
        <is>
          <t>بله</t>
        </is>
      </c>
    </row>
    <row r="3987">
      <c r="A3987" s="176" t="n">
        <v>48908</v>
      </c>
      <c r="B3987" s="177" t="n">
        <v>48908</v>
      </c>
      <c r="C3987" s="177" t="n">
        <v>1412</v>
      </c>
      <c r="D3987" s="177" t="n">
        <v>9</v>
      </c>
      <c r="E3987" s="178" t="inlineStr">
        <is>
          <t>1412/09/05</t>
        </is>
      </c>
      <c r="F3987" s="134" t="inlineStr">
        <is>
          <t>1412/09</t>
        </is>
      </c>
      <c r="G3987" s="61" t="inlineStr">
        <is>
          <t>آذر</t>
        </is>
      </c>
      <c r="H3987" s="134" t="inlineStr">
        <is>
          <t>پاییز</t>
        </is>
      </c>
      <c r="I3987" s="134" t="inlineStr">
        <is>
          <t>جمعه</t>
        </is>
      </c>
      <c r="J3987" s="134" t="inlineStr">
        <is>
          <t>بله</t>
        </is>
      </c>
    </row>
    <row r="3988">
      <c r="A3988" s="173" t="n">
        <v>48909</v>
      </c>
      <c r="B3988" s="174" t="n">
        <v>48909</v>
      </c>
      <c r="C3988" s="174" t="n">
        <v>1412</v>
      </c>
      <c r="D3988" s="174" t="n">
        <v>9</v>
      </c>
      <c r="E3988" s="175" t="inlineStr">
        <is>
          <t>1412/09/06</t>
        </is>
      </c>
      <c r="F3988" s="128" t="inlineStr">
        <is>
          <t>1412/09</t>
        </is>
      </c>
      <c r="G3988" s="58" t="inlineStr">
        <is>
          <t>آذر</t>
        </is>
      </c>
      <c r="H3988" s="128" t="inlineStr">
        <is>
          <t>پاییز</t>
        </is>
      </c>
      <c r="I3988" s="128" t="inlineStr">
        <is>
          <t>شنبه</t>
        </is>
      </c>
      <c r="J3988" s="128" t="inlineStr">
        <is>
          <t>خیر</t>
        </is>
      </c>
    </row>
    <row r="3989">
      <c r="A3989" s="176" t="n">
        <v>48910</v>
      </c>
      <c r="B3989" s="177" t="n">
        <v>48910</v>
      </c>
      <c r="C3989" s="177" t="n">
        <v>1412</v>
      </c>
      <c r="D3989" s="177" t="n">
        <v>9</v>
      </c>
      <c r="E3989" s="178" t="inlineStr">
        <is>
          <t>1412/09/07</t>
        </is>
      </c>
      <c r="F3989" s="134" t="inlineStr">
        <is>
          <t>1412/09</t>
        </is>
      </c>
      <c r="G3989" s="61" t="inlineStr">
        <is>
          <t>آذر</t>
        </is>
      </c>
      <c r="H3989" s="134" t="inlineStr">
        <is>
          <t>پاییز</t>
        </is>
      </c>
      <c r="I3989" s="134" t="inlineStr">
        <is>
          <t>یکشنبه</t>
        </is>
      </c>
      <c r="J3989" s="134" t="inlineStr">
        <is>
          <t>خیر</t>
        </is>
      </c>
    </row>
    <row r="3990">
      <c r="A3990" s="173" t="n">
        <v>48911</v>
      </c>
      <c r="B3990" s="174" t="n">
        <v>48911</v>
      </c>
      <c r="C3990" s="174" t="n">
        <v>1412</v>
      </c>
      <c r="D3990" s="174" t="n">
        <v>9</v>
      </c>
      <c r="E3990" s="175" t="inlineStr">
        <is>
          <t>1412/09/08</t>
        </is>
      </c>
      <c r="F3990" s="128" t="inlineStr">
        <is>
          <t>1412/09</t>
        </is>
      </c>
      <c r="G3990" s="58" t="inlineStr">
        <is>
          <t>آذر</t>
        </is>
      </c>
      <c r="H3990" s="128" t="inlineStr">
        <is>
          <t>پاییز</t>
        </is>
      </c>
      <c r="I3990" s="128" t="inlineStr">
        <is>
          <t>دوشنبه</t>
        </is>
      </c>
      <c r="J3990" s="128" t="inlineStr">
        <is>
          <t>بله</t>
        </is>
      </c>
    </row>
    <row r="3991">
      <c r="A3991" s="176" t="n">
        <v>48912</v>
      </c>
      <c r="B3991" s="177" t="n">
        <v>48912</v>
      </c>
      <c r="C3991" s="177" t="n">
        <v>1412</v>
      </c>
      <c r="D3991" s="177" t="n">
        <v>9</v>
      </c>
      <c r="E3991" s="178" t="inlineStr">
        <is>
          <t>1412/09/09</t>
        </is>
      </c>
      <c r="F3991" s="134" t="inlineStr">
        <is>
          <t>1412/09</t>
        </is>
      </c>
      <c r="G3991" s="61" t="inlineStr">
        <is>
          <t>آذر</t>
        </is>
      </c>
      <c r="H3991" s="134" t="inlineStr">
        <is>
          <t>پاییز</t>
        </is>
      </c>
      <c r="I3991" s="134" t="inlineStr">
        <is>
          <t>سه‌شنبه</t>
        </is>
      </c>
      <c r="J3991" s="134" t="inlineStr">
        <is>
          <t>بله</t>
        </is>
      </c>
    </row>
    <row r="3992">
      <c r="A3992" s="173" t="n">
        <v>48913</v>
      </c>
      <c r="B3992" s="174" t="n">
        <v>48913</v>
      </c>
      <c r="C3992" s="174" t="n">
        <v>1412</v>
      </c>
      <c r="D3992" s="174" t="n">
        <v>9</v>
      </c>
      <c r="E3992" s="175" t="inlineStr">
        <is>
          <t>1412/09/10</t>
        </is>
      </c>
      <c r="F3992" s="128" t="inlineStr">
        <is>
          <t>1412/09</t>
        </is>
      </c>
      <c r="G3992" s="58" t="inlineStr">
        <is>
          <t>آذر</t>
        </is>
      </c>
      <c r="H3992" s="128" t="inlineStr">
        <is>
          <t>پاییز</t>
        </is>
      </c>
      <c r="I3992" s="128" t="inlineStr">
        <is>
          <t>چهارشنبه</t>
        </is>
      </c>
      <c r="J3992" s="128" t="inlineStr">
        <is>
          <t>بله</t>
        </is>
      </c>
    </row>
    <row r="3993">
      <c r="A3993" s="176" t="n">
        <v>48914</v>
      </c>
      <c r="B3993" s="177" t="n">
        <v>48914</v>
      </c>
      <c r="C3993" s="177" t="n">
        <v>1412</v>
      </c>
      <c r="D3993" s="177" t="n">
        <v>9</v>
      </c>
      <c r="E3993" s="178" t="inlineStr">
        <is>
          <t>1412/09/11</t>
        </is>
      </c>
      <c r="F3993" s="134" t="inlineStr">
        <is>
          <t>1412/09</t>
        </is>
      </c>
      <c r="G3993" s="61" t="inlineStr">
        <is>
          <t>آذر</t>
        </is>
      </c>
      <c r="H3993" s="134" t="inlineStr">
        <is>
          <t>پاییز</t>
        </is>
      </c>
      <c r="I3993" s="134" t="inlineStr">
        <is>
          <t>پنجشنبه</t>
        </is>
      </c>
      <c r="J3993" s="134" t="inlineStr">
        <is>
          <t>بله</t>
        </is>
      </c>
    </row>
    <row r="3994">
      <c r="A3994" s="173" t="n">
        <v>48915</v>
      </c>
      <c r="B3994" s="174" t="n">
        <v>48915</v>
      </c>
      <c r="C3994" s="174" t="n">
        <v>1412</v>
      </c>
      <c r="D3994" s="174" t="n">
        <v>9</v>
      </c>
      <c r="E3994" s="175" t="inlineStr">
        <is>
          <t>1412/09/12</t>
        </is>
      </c>
      <c r="F3994" s="128" t="inlineStr">
        <is>
          <t>1412/09</t>
        </is>
      </c>
      <c r="G3994" s="58" t="inlineStr">
        <is>
          <t>آذر</t>
        </is>
      </c>
      <c r="H3994" s="128" t="inlineStr">
        <is>
          <t>پاییز</t>
        </is>
      </c>
      <c r="I3994" s="128" t="inlineStr">
        <is>
          <t>جمعه</t>
        </is>
      </c>
      <c r="J3994" s="128" t="inlineStr">
        <is>
          <t>بله</t>
        </is>
      </c>
    </row>
    <row r="3995">
      <c r="A3995" s="176" t="n">
        <v>48916</v>
      </c>
      <c r="B3995" s="177" t="n">
        <v>48916</v>
      </c>
      <c r="C3995" s="177" t="n">
        <v>1412</v>
      </c>
      <c r="D3995" s="177" t="n">
        <v>9</v>
      </c>
      <c r="E3995" s="178" t="inlineStr">
        <is>
          <t>1412/09/13</t>
        </is>
      </c>
      <c r="F3995" s="134" t="inlineStr">
        <is>
          <t>1412/09</t>
        </is>
      </c>
      <c r="G3995" s="61" t="inlineStr">
        <is>
          <t>آذر</t>
        </is>
      </c>
      <c r="H3995" s="134" t="inlineStr">
        <is>
          <t>پاییز</t>
        </is>
      </c>
      <c r="I3995" s="134" t="inlineStr">
        <is>
          <t>شنبه</t>
        </is>
      </c>
      <c r="J3995" s="134" t="inlineStr">
        <is>
          <t>خیر</t>
        </is>
      </c>
    </row>
    <row r="3996">
      <c r="A3996" s="173" t="n">
        <v>48917</v>
      </c>
      <c r="B3996" s="174" t="n">
        <v>48917</v>
      </c>
      <c r="C3996" s="174" t="n">
        <v>1412</v>
      </c>
      <c r="D3996" s="174" t="n">
        <v>9</v>
      </c>
      <c r="E3996" s="175" t="inlineStr">
        <is>
          <t>1412/09/14</t>
        </is>
      </c>
      <c r="F3996" s="128" t="inlineStr">
        <is>
          <t>1412/09</t>
        </is>
      </c>
      <c r="G3996" s="58" t="inlineStr">
        <is>
          <t>آذر</t>
        </is>
      </c>
      <c r="H3996" s="128" t="inlineStr">
        <is>
          <t>پاییز</t>
        </is>
      </c>
      <c r="I3996" s="128" t="inlineStr">
        <is>
          <t>یکشنبه</t>
        </is>
      </c>
      <c r="J3996" s="128" t="inlineStr">
        <is>
          <t>خیر</t>
        </is>
      </c>
    </row>
    <row r="3997">
      <c r="A3997" s="176" t="n">
        <v>48918</v>
      </c>
      <c r="B3997" s="177" t="n">
        <v>48918</v>
      </c>
      <c r="C3997" s="177" t="n">
        <v>1412</v>
      </c>
      <c r="D3997" s="177" t="n">
        <v>9</v>
      </c>
      <c r="E3997" s="178" t="inlineStr">
        <is>
          <t>1412/09/15</t>
        </is>
      </c>
      <c r="F3997" s="134" t="inlineStr">
        <is>
          <t>1412/09</t>
        </is>
      </c>
      <c r="G3997" s="61" t="inlineStr">
        <is>
          <t>آذر</t>
        </is>
      </c>
      <c r="H3997" s="134" t="inlineStr">
        <is>
          <t>پاییز</t>
        </is>
      </c>
      <c r="I3997" s="134" t="inlineStr">
        <is>
          <t>دوشنبه</t>
        </is>
      </c>
      <c r="J3997" s="134" t="inlineStr">
        <is>
          <t>بله</t>
        </is>
      </c>
    </row>
    <row r="3998">
      <c r="A3998" s="173" t="n">
        <v>48919</v>
      </c>
      <c r="B3998" s="174" t="n">
        <v>48919</v>
      </c>
      <c r="C3998" s="174" t="n">
        <v>1412</v>
      </c>
      <c r="D3998" s="174" t="n">
        <v>9</v>
      </c>
      <c r="E3998" s="175" t="inlineStr">
        <is>
          <t>1412/09/16</t>
        </is>
      </c>
      <c r="F3998" s="128" t="inlineStr">
        <is>
          <t>1412/09</t>
        </is>
      </c>
      <c r="G3998" s="58" t="inlineStr">
        <is>
          <t>آذر</t>
        </is>
      </c>
      <c r="H3998" s="128" t="inlineStr">
        <is>
          <t>پاییز</t>
        </is>
      </c>
      <c r="I3998" s="128" t="inlineStr">
        <is>
          <t>سه‌شنبه</t>
        </is>
      </c>
      <c r="J3998" s="128" t="inlineStr">
        <is>
          <t>بله</t>
        </is>
      </c>
    </row>
    <row r="3999">
      <c r="A3999" s="176" t="n">
        <v>48920</v>
      </c>
      <c r="B3999" s="177" t="n">
        <v>48920</v>
      </c>
      <c r="C3999" s="177" t="n">
        <v>1412</v>
      </c>
      <c r="D3999" s="177" t="n">
        <v>9</v>
      </c>
      <c r="E3999" s="178" t="inlineStr">
        <is>
          <t>1412/09/17</t>
        </is>
      </c>
      <c r="F3999" s="134" t="inlineStr">
        <is>
          <t>1412/09</t>
        </is>
      </c>
      <c r="G3999" s="61" t="inlineStr">
        <is>
          <t>آذر</t>
        </is>
      </c>
      <c r="H3999" s="134" t="inlineStr">
        <is>
          <t>پاییز</t>
        </is>
      </c>
      <c r="I3999" s="134" t="inlineStr">
        <is>
          <t>چهارشنبه</t>
        </is>
      </c>
      <c r="J3999" s="134" t="inlineStr">
        <is>
          <t>بله</t>
        </is>
      </c>
    </row>
    <row r="4000">
      <c r="A4000" s="173" t="n">
        <v>48921</v>
      </c>
      <c r="B4000" s="174" t="n">
        <v>48921</v>
      </c>
      <c r="C4000" s="174" t="n">
        <v>1412</v>
      </c>
      <c r="D4000" s="174" t="n">
        <v>9</v>
      </c>
      <c r="E4000" s="175" t="inlineStr">
        <is>
          <t>1412/09/18</t>
        </is>
      </c>
      <c r="F4000" s="128" t="inlineStr">
        <is>
          <t>1412/09</t>
        </is>
      </c>
      <c r="G4000" s="58" t="inlineStr">
        <is>
          <t>آذر</t>
        </is>
      </c>
      <c r="H4000" s="128" t="inlineStr">
        <is>
          <t>پاییز</t>
        </is>
      </c>
      <c r="I4000" s="128" t="inlineStr">
        <is>
          <t>پنجشنبه</t>
        </is>
      </c>
      <c r="J4000" s="128" t="inlineStr">
        <is>
          <t>بله</t>
        </is>
      </c>
    </row>
    <row r="4001">
      <c r="A4001" s="176" t="n">
        <v>48922</v>
      </c>
      <c r="B4001" s="177" t="n">
        <v>48922</v>
      </c>
      <c r="C4001" s="177" t="n">
        <v>1412</v>
      </c>
      <c r="D4001" s="177" t="n">
        <v>9</v>
      </c>
      <c r="E4001" s="178" t="inlineStr">
        <is>
          <t>1412/09/19</t>
        </is>
      </c>
      <c r="F4001" s="134" t="inlineStr">
        <is>
          <t>1412/09</t>
        </is>
      </c>
      <c r="G4001" s="61" t="inlineStr">
        <is>
          <t>آذر</t>
        </is>
      </c>
      <c r="H4001" s="134" t="inlineStr">
        <is>
          <t>پاییز</t>
        </is>
      </c>
      <c r="I4001" s="134" t="inlineStr">
        <is>
          <t>جمعه</t>
        </is>
      </c>
      <c r="J4001" s="134" t="inlineStr">
        <is>
          <t>بله</t>
        </is>
      </c>
    </row>
    <row r="4002">
      <c r="A4002" s="173" t="n">
        <v>48923</v>
      </c>
      <c r="B4002" s="174" t="n">
        <v>48923</v>
      </c>
      <c r="C4002" s="174" t="n">
        <v>1412</v>
      </c>
      <c r="D4002" s="174" t="n">
        <v>9</v>
      </c>
      <c r="E4002" s="175" t="inlineStr">
        <is>
          <t>1412/09/20</t>
        </is>
      </c>
      <c r="F4002" s="128" t="inlineStr">
        <is>
          <t>1412/09</t>
        </is>
      </c>
      <c r="G4002" s="58" t="inlineStr">
        <is>
          <t>آذر</t>
        </is>
      </c>
      <c r="H4002" s="128" t="inlineStr">
        <is>
          <t>پاییز</t>
        </is>
      </c>
      <c r="I4002" s="128" t="inlineStr">
        <is>
          <t>شنبه</t>
        </is>
      </c>
      <c r="J4002" s="128" t="inlineStr">
        <is>
          <t>خیر</t>
        </is>
      </c>
    </row>
    <row r="4003">
      <c r="A4003" s="176" t="n">
        <v>48924</v>
      </c>
      <c r="B4003" s="177" t="n">
        <v>48924</v>
      </c>
      <c r="C4003" s="177" t="n">
        <v>1412</v>
      </c>
      <c r="D4003" s="177" t="n">
        <v>9</v>
      </c>
      <c r="E4003" s="178" t="inlineStr">
        <is>
          <t>1412/09/21</t>
        </is>
      </c>
      <c r="F4003" s="134" t="inlineStr">
        <is>
          <t>1412/09</t>
        </is>
      </c>
      <c r="G4003" s="61" t="inlineStr">
        <is>
          <t>آذر</t>
        </is>
      </c>
      <c r="H4003" s="134" t="inlineStr">
        <is>
          <t>پاییز</t>
        </is>
      </c>
      <c r="I4003" s="134" t="inlineStr">
        <is>
          <t>یکشنبه</t>
        </is>
      </c>
      <c r="J4003" s="134" t="inlineStr">
        <is>
          <t>خیر</t>
        </is>
      </c>
    </row>
    <row r="4004">
      <c r="A4004" s="173" t="n">
        <v>48925</v>
      </c>
      <c r="B4004" s="174" t="n">
        <v>48925</v>
      </c>
      <c r="C4004" s="174" t="n">
        <v>1412</v>
      </c>
      <c r="D4004" s="174" t="n">
        <v>9</v>
      </c>
      <c r="E4004" s="175" t="inlineStr">
        <is>
          <t>1412/09/22</t>
        </is>
      </c>
      <c r="F4004" s="128" t="inlineStr">
        <is>
          <t>1412/09</t>
        </is>
      </c>
      <c r="G4004" s="58" t="inlineStr">
        <is>
          <t>آذر</t>
        </is>
      </c>
      <c r="H4004" s="128" t="inlineStr">
        <is>
          <t>پاییز</t>
        </is>
      </c>
      <c r="I4004" s="128" t="inlineStr">
        <is>
          <t>دوشنبه</t>
        </is>
      </c>
      <c r="J4004" s="128" t="inlineStr">
        <is>
          <t>بله</t>
        </is>
      </c>
    </row>
    <row r="4005">
      <c r="A4005" s="176" t="n">
        <v>48926</v>
      </c>
      <c r="B4005" s="177" t="n">
        <v>48926</v>
      </c>
      <c r="C4005" s="177" t="n">
        <v>1412</v>
      </c>
      <c r="D4005" s="177" t="n">
        <v>9</v>
      </c>
      <c r="E4005" s="178" t="inlineStr">
        <is>
          <t>1412/09/23</t>
        </is>
      </c>
      <c r="F4005" s="134" t="inlineStr">
        <is>
          <t>1412/09</t>
        </is>
      </c>
      <c r="G4005" s="61" t="inlineStr">
        <is>
          <t>آذر</t>
        </is>
      </c>
      <c r="H4005" s="134" t="inlineStr">
        <is>
          <t>پاییز</t>
        </is>
      </c>
      <c r="I4005" s="134" t="inlineStr">
        <is>
          <t>سه‌شنبه</t>
        </is>
      </c>
      <c r="J4005" s="134" t="inlineStr">
        <is>
          <t>بله</t>
        </is>
      </c>
    </row>
    <row r="4006">
      <c r="A4006" s="173" t="n">
        <v>48927</v>
      </c>
      <c r="B4006" s="174" t="n">
        <v>48927</v>
      </c>
      <c r="C4006" s="174" t="n">
        <v>1412</v>
      </c>
      <c r="D4006" s="174" t="n">
        <v>9</v>
      </c>
      <c r="E4006" s="175" t="inlineStr">
        <is>
          <t>1412/09/24</t>
        </is>
      </c>
      <c r="F4006" s="128" t="inlineStr">
        <is>
          <t>1412/09</t>
        </is>
      </c>
      <c r="G4006" s="58" t="inlineStr">
        <is>
          <t>آذر</t>
        </is>
      </c>
      <c r="H4006" s="128" t="inlineStr">
        <is>
          <t>پاییز</t>
        </is>
      </c>
      <c r="I4006" s="128" t="inlineStr">
        <is>
          <t>چهارشنبه</t>
        </is>
      </c>
      <c r="J4006" s="128" t="inlineStr">
        <is>
          <t>بله</t>
        </is>
      </c>
    </row>
    <row r="4007">
      <c r="A4007" s="176" t="n">
        <v>48928</v>
      </c>
      <c r="B4007" s="177" t="n">
        <v>48928</v>
      </c>
      <c r="C4007" s="177" t="n">
        <v>1412</v>
      </c>
      <c r="D4007" s="177" t="n">
        <v>9</v>
      </c>
      <c r="E4007" s="178" t="inlineStr">
        <is>
          <t>1412/09/25</t>
        </is>
      </c>
      <c r="F4007" s="134" t="inlineStr">
        <is>
          <t>1412/09</t>
        </is>
      </c>
      <c r="G4007" s="61" t="inlineStr">
        <is>
          <t>آذر</t>
        </is>
      </c>
      <c r="H4007" s="134" t="inlineStr">
        <is>
          <t>پاییز</t>
        </is>
      </c>
      <c r="I4007" s="134" t="inlineStr">
        <is>
          <t>پنجشنبه</t>
        </is>
      </c>
      <c r="J4007" s="134" t="inlineStr">
        <is>
          <t>بله</t>
        </is>
      </c>
    </row>
    <row r="4008">
      <c r="A4008" s="173" t="n">
        <v>48929</v>
      </c>
      <c r="B4008" s="174" t="n">
        <v>48929</v>
      </c>
      <c r="C4008" s="174" t="n">
        <v>1412</v>
      </c>
      <c r="D4008" s="174" t="n">
        <v>9</v>
      </c>
      <c r="E4008" s="175" t="inlineStr">
        <is>
          <t>1412/09/26</t>
        </is>
      </c>
      <c r="F4008" s="128" t="inlineStr">
        <is>
          <t>1412/09</t>
        </is>
      </c>
      <c r="G4008" s="58" t="inlineStr">
        <is>
          <t>آذر</t>
        </is>
      </c>
      <c r="H4008" s="128" t="inlineStr">
        <is>
          <t>پاییز</t>
        </is>
      </c>
      <c r="I4008" s="128" t="inlineStr">
        <is>
          <t>جمعه</t>
        </is>
      </c>
      <c r="J4008" s="128" t="inlineStr">
        <is>
          <t>بله</t>
        </is>
      </c>
    </row>
    <row r="4009">
      <c r="A4009" s="176" t="n">
        <v>48930</v>
      </c>
      <c r="B4009" s="177" t="n">
        <v>48930</v>
      </c>
      <c r="C4009" s="177" t="n">
        <v>1412</v>
      </c>
      <c r="D4009" s="177" t="n">
        <v>9</v>
      </c>
      <c r="E4009" s="178" t="inlineStr">
        <is>
          <t>1412/09/27</t>
        </is>
      </c>
      <c r="F4009" s="134" t="inlineStr">
        <is>
          <t>1412/09</t>
        </is>
      </c>
      <c r="G4009" s="61" t="inlineStr">
        <is>
          <t>آذر</t>
        </is>
      </c>
      <c r="H4009" s="134" t="inlineStr">
        <is>
          <t>پاییز</t>
        </is>
      </c>
      <c r="I4009" s="134" t="inlineStr">
        <is>
          <t>شنبه</t>
        </is>
      </c>
      <c r="J4009" s="134" t="inlineStr">
        <is>
          <t>خیر</t>
        </is>
      </c>
    </row>
    <row r="4010">
      <c r="A4010" s="173" t="n">
        <v>48931</v>
      </c>
      <c r="B4010" s="174" t="n">
        <v>48931</v>
      </c>
      <c r="C4010" s="174" t="n">
        <v>1412</v>
      </c>
      <c r="D4010" s="174" t="n">
        <v>9</v>
      </c>
      <c r="E4010" s="175" t="inlineStr">
        <is>
          <t>1412/09/28</t>
        </is>
      </c>
      <c r="F4010" s="128" t="inlineStr">
        <is>
          <t>1412/09</t>
        </is>
      </c>
      <c r="G4010" s="58" t="inlineStr">
        <is>
          <t>آذر</t>
        </is>
      </c>
      <c r="H4010" s="128" t="inlineStr">
        <is>
          <t>پاییز</t>
        </is>
      </c>
      <c r="I4010" s="128" t="inlineStr">
        <is>
          <t>یکشنبه</t>
        </is>
      </c>
      <c r="J4010" s="128" t="inlineStr">
        <is>
          <t>خیر</t>
        </is>
      </c>
    </row>
    <row r="4011">
      <c r="A4011" s="176" t="n">
        <v>48932</v>
      </c>
      <c r="B4011" s="177" t="n">
        <v>48932</v>
      </c>
      <c r="C4011" s="177" t="n">
        <v>1412</v>
      </c>
      <c r="D4011" s="177" t="n">
        <v>9</v>
      </c>
      <c r="E4011" s="178" t="inlineStr">
        <is>
          <t>1412/09/29</t>
        </is>
      </c>
      <c r="F4011" s="134" t="inlineStr">
        <is>
          <t>1412/09</t>
        </is>
      </c>
      <c r="G4011" s="61" t="inlineStr">
        <is>
          <t>آذر</t>
        </is>
      </c>
      <c r="H4011" s="134" t="inlineStr">
        <is>
          <t>پاییز</t>
        </is>
      </c>
      <c r="I4011" s="134" t="inlineStr">
        <is>
          <t>دوشنبه</t>
        </is>
      </c>
      <c r="J4011" s="134" t="inlineStr">
        <is>
          <t>بله</t>
        </is>
      </c>
    </row>
    <row r="4012">
      <c r="A4012" s="173" t="n">
        <v>48933</v>
      </c>
      <c r="B4012" s="174" t="n">
        <v>48933</v>
      </c>
      <c r="C4012" s="174" t="n">
        <v>1412</v>
      </c>
      <c r="D4012" s="174" t="n">
        <v>9</v>
      </c>
      <c r="E4012" s="175" t="inlineStr">
        <is>
          <t>1412/09/30</t>
        </is>
      </c>
      <c r="F4012" s="128" t="inlineStr">
        <is>
          <t>1412/09</t>
        </is>
      </c>
      <c r="G4012" s="58" t="inlineStr">
        <is>
          <t>آذر</t>
        </is>
      </c>
      <c r="H4012" s="128" t="inlineStr">
        <is>
          <t>پاییز</t>
        </is>
      </c>
      <c r="I4012" s="128" t="inlineStr">
        <is>
          <t>سه‌شنبه</t>
        </is>
      </c>
      <c r="J4012" s="128" t="inlineStr">
        <is>
          <t>بله</t>
        </is>
      </c>
    </row>
    <row r="4013">
      <c r="A4013" s="176" t="n">
        <v>48934</v>
      </c>
      <c r="B4013" s="177" t="n">
        <v>48934</v>
      </c>
      <c r="C4013" s="177" t="n">
        <v>1412</v>
      </c>
      <c r="D4013" s="177" t="n">
        <v>10</v>
      </c>
      <c r="E4013" s="178" t="inlineStr">
        <is>
          <t>1412/10/01</t>
        </is>
      </c>
      <c r="F4013" s="134" t="inlineStr">
        <is>
          <t>1412/10</t>
        </is>
      </c>
      <c r="G4013" s="61" t="inlineStr">
        <is>
          <t>دی</t>
        </is>
      </c>
      <c r="H4013" s="134" t="inlineStr">
        <is>
          <t>زمستان</t>
        </is>
      </c>
      <c r="I4013" s="134" t="inlineStr">
        <is>
          <t>چهارشنبه</t>
        </is>
      </c>
      <c r="J4013" s="134" t="inlineStr">
        <is>
          <t>بله</t>
        </is>
      </c>
    </row>
    <row r="4014">
      <c r="A4014" s="173" t="n">
        <v>48935</v>
      </c>
      <c r="B4014" s="174" t="n">
        <v>48935</v>
      </c>
      <c r="C4014" s="174" t="n">
        <v>1412</v>
      </c>
      <c r="D4014" s="174" t="n">
        <v>10</v>
      </c>
      <c r="E4014" s="175" t="inlineStr">
        <is>
          <t>1412/10/02</t>
        </is>
      </c>
      <c r="F4014" s="128" t="inlineStr">
        <is>
          <t>1412/10</t>
        </is>
      </c>
      <c r="G4014" s="58" t="inlineStr">
        <is>
          <t>دی</t>
        </is>
      </c>
      <c r="H4014" s="128" t="inlineStr">
        <is>
          <t>زمستان</t>
        </is>
      </c>
      <c r="I4014" s="128" t="inlineStr">
        <is>
          <t>پنجشنبه</t>
        </is>
      </c>
      <c r="J4014" s="128" t="inlineStr">
        <is>
          <t>بله</t>
        </is>
      </c>
    </row>
    <row r="4015">
      <c r="A4015" s="176" t="n">
        <v>48936</v>
      </c>
      <c r="B4015" s="177" t="n">
        <v>48936</v>
      </c>
      <c r="C4015" s="177" t="n">
        <v>1412</v>
      </c>
      <c r="D4015" s="177" t="n">
        <v>10</v>
      </c>
      <c r="E4015" s="178" t="inlineStr">
        <is>
          <t>1412/10/03</t>
        </is>
      </c>
      <c r="F4015" s="134" t="inlineStr">
        <is>
          <t>1412/10</t>
        </is>
      </c>
      <c r="G4015" s="61" t="inlineStr">
        <is>
          <t>دی</t>
        </is>
      </c>
      <c r="H4015" s="134" t="inlineStr">
        <is>
          <t>زمستان</t>
        </is>
      </c>
      <c r="I4015" s="134" t="inlineStr">
        <is>
          <t>جمعه</t>
        </is>
      </c>
      <c r="J4015" s="134" t="inlineStr">
        <is>
          <t>بله</t>
        </is>
      </c>
    </row>
    <row r="4016">
      <c r="A4016" s="173" t="n">
        <v>48937</v>
      </c>
      <c r="B4016" s="174" t="n">
        <v>48937</v>
      </c>
      <c r="C4016" s="174" t="n">
        <v>1412</v>
      </c>
      <c r="D4016" s="174" t="n">
        <v>10</v>
      </c>
      <c r="E4016" s="175" t="inlineStr">
        <is>
          <t>1412/10/04</t>
        </is>
      </c>
      <c r="F4016" s="128" t="inlineStr">
        <is>
          <t>1412/10</t>
        </is>
      </c>
      <c r="G4016" s="58" t="inlineStr">
        <is>
          <t>دی</t>
        </is>
      </c>
      <c r="H4016" s="128" t="inlineStr">
        <is>
          <t>زمستان</t>
        </is>
      </c>
      <c r="I4016" s="128" t="inlineStr">
        <is>
          <t>شنبه</t>
        </is>
      </c>
      <c r="J4016" s="128" t="inlineStr">
        <is>
          <t>خیر</t>
        </is>
      </c>
    </row>
    <row r="4017">
      <c r="A4017" s="176" t="n">
        <v>48938</v>
      </c>
      <c r="B4017" s="177" t="n">
        <v>48938</v>
      </c>
      <c r="C4017" s="177" t="n">
        <v>1412</v>
      </c>
      <c r="D4017" s="177" t="n">
        <v>10</v>
      </c>
      <c r="E4017" s="178" t="inlineStr">
        <is>
          <t>1412/10/05</t>
        </is>
      </c>
      <c r="F4017" s="134" t="inlineStr">
        <is>
          <t>1412/10</t>
        </is>
      </c>
      <c r="G4017" s="61" t="inlineStr">
        <is>
          <t>دی</t>
        </is>
      </c>
      <c r="H4017" s="134" t="inlineStr">
        <is>
          <t>زمستان</t>
        </is>
      </c>
      <c r="I4017" s="134" t="inlineStr">
        <is>
          <t>یکشنبه</t>
        </is>
      </c>
      <c r="J4017" s="134" t="inlineStr">
        <is>
          <t>خیر</t>
        </is>
      </c>
    </row>
    <row r="4018">
      <c r="A4018" s="173" t="n">
        <v>48939</v>
      </c>
      <c r="B4018" s="174" t="n">
        <v>48939</v>
      </c>
      <c r="C4018" s="174" t="n">
        <v>1412</v>
      </c>
      <c r="D4018" s="174" t="n">
        <v>10</v>
      </c>
      <c r="E4018" s="175" t="inlineStr">
        <is>
          <t>1412/10/06</t>
        </is>
      </c>
      <c r="F4018" s="128" t="inlineStr">
        <is>
          <t>1412/10</t>
        </is>
      </c>
      <c r="G4018" s="58" t="inlineStr">
        <is>
          <t>دی</t>
        </is>
      </c>
      <c r="H4018" s="128" t="inlineStr">
        <is>
          <t>زمستان</t>
        </is>
      </c>
      <c r="I4018" s="128" t="inlineStr">
        <is>
          <t>دوشنبه</t>
        </is>
      </c>
      <c r="J4018" s="128" t="inlineStr">
        <is>
          <t>بله</t>
        </is>
      </c>
    </row>
    <row r="4019">
      <c r="A4019" s="176" t="n">
        <v>48940</v>
      </c>
      <c r="B4019" s="177" t="n">
        <v>48940</v>
      </c>
      <c r="C4019" s="177" t="n">
        <v>1412</v>
      </c>
      <c r="D4019" s="177" t="n">
        <v>10</v>
      </c>
      <c r="E4019" s="178" t="inlineStr">
        <is>
          <t>1412/10/07</t>
        </is>
      </c>
      <c r="F4019" s="134" t="inlineStr">
        <is>
          <t>1412/10</t>
        </is>
      </c>
      <c r="G4019" s="61" t="inlineStr">
        <is>
          <t>دی</t>
        </is>
      </c>
      <c r="H4019" s="134" t="inlineStr">
        <is>
          <t>زمستان</t>
        </is>
      </c>
      <c r="I4019" s="134" t="inlineStr">
        <is>
          <t>سه‌شنبه</t>
        </is>
      </c>
      <c r="J4019" s="134" t="inlineStr">
        <is>
          <t>بله</t>
        </is>
      </c>
    </row>
    <row r="4020">
      <c r="A4020" s="173" t="n">
        <v>48941</v>
      </c>
      <c r="B4020" s="174" t="n">
        <v>48941</v>
      </c>
      <c r="C4020" s="174" t="n">
        <v>1412</v>
      </c>
      <c r="D4020" s="174" t="n">
        <v>10</v>
      </c>
      <c r="E4020" s="175" t="inlineStr">
        <is>
          <t>1412/10/08</t>
        </is>
      </c>
      <c r="F4020" s="128" t="inlineStr">
        <is>
          <t>1412/10</t>
        </is>
      </c>
      <c r="G4020" s="58" t="inlineStr">
        <is>
          <t>دی</t>
        </is>
      </c>
      <c r="H4020" s="128" t="inlineStr">
        <is>
          <t>زمستان</t>
        </is>
      </c>
      <c r="I4020" s="128" t="inlineStr">
        <is>
          <t>چهارشنبه</t>
        </is>
      </c>
      <c r="J4020" s="128" t="inlineStr">
        <is>
          <t>بله</t>
        </is>
      </c>
    </row>
    <row r="4021">
      <c r="A4021" s="176" t="n">
        <v>48942</v>
      </c>
      <c r="B4021" s="177" t="n">
        <v>48942</v>
      </c>
      <c r="C4021" s="177" t="n">
        <v>1412</v>
      </c>
      <c r="D4021" s="177" t="n">
        <v>10</v>
      </c>
      <c r="E4021" s="178" t="inlineStr">
        <is>
          <t>1412/10/09</t>
        </is>
      </c>
      <c r="F4021" s="134" t="inlineStr">
        <is>
          <t>1412/10</t>
        </is>
      </c>
      <c r="G4021" s="61" t="inlineStr">
        <is>
          <t>دی</t>
        </is>
      </c>
      <c r="H4021" s="134" t="inlineStr">
        <is>
          <t>زمستان</t>
        </is>
      </c>
      <c r="I4021" s="134" t="inlineStr">
        <is>
          <t>پنجشنبه</t>
        </is>
      </c>
      <c r="J4021" s="134" t="inlineStr">
        <is>
          <t>بله</t>
        </is>
      </c>
    </row>
    <row r="4022">
      <c r="A4022" s="173" t="n">
        <v>48943</v>
      </c>
      <c r="B4022" s="174" t="n">
        <v>48943</v>
      </c>
      <c r="C4022" s="174" t="n">
        <v>1412</v>
      </c>
      <c r="D4022" s="174" t="n">
        <v>10</v>
      </c>
      <c r="E4022" s="175" t="inlineStr">
        <is>
          <t>1412/10/10</t>
        </is>
      </c>
      <c r="F4022" s="128" t="inlineStr">
        <is>
          <t>1412/10</t>
        </is>
      </c>
      <c r="G4022" s="58" t="inlineStr">
        <is>
          <t>دی</t>
        </is>
      </c>
      <c r="H4022" s="128" t="inlineStr">
        <is>
          <t>زمستان</t>
        </is>
      </c>
      <c r="I4022" s="128" t="inlineStr">
        <is>
          <t>جمعه</t>
        </is>
      </c>
      <c r="J4022" s="128" t="inlineStr">
        <is>
          <t>بله</t>
        </is>
      </c>
    </row>
    <row r="4023">
      <c r="A4023" s="176" t="n">
        <v>48944</v>
      </c>
      <c r="B4023" s="177" t="n">
        <v>48944</v>
      </c>
      <c r="C4023" s="177" t="n">
        <v>1412</v>
      </c>
      <c r="D4023" s="177" t="n">
        <v>10</v>
      </c>
      <c r="E4023" s="178" t="inlineStr">
        <is>
          <t>1412/10/11</t>
        </is>
      </c>
      <c r="F4023" s="134" t="inlineStr">
        <is>
          <t>1412/10</t>
        </is>
      </c>
      <c r="G4023" s="61" t="inlineStr">
        <is>
          <t>دی</t>
        </is>
      </c>
      <c r="H4023" s="134" t="inlineStr">
        <is>
          <t>زمستان</t>
        </is>
      </c>
      <c r="I4023" s="134" t="inlineStr">
        <is>
          <t>شنبه</t>
        </is>
      </c>
      <c r="J4023" s="134" t="inlineStr">
        <is>
          <t>خیر</t>
        </is>
      </c>
    </row>
    <row r="4024">
      <c r="A4024" s="173" t="n">
        <v>48945</v>
      </c>
      <c r="B4024" s="174" t="n">
        <v>48945</v>
      </c>
      <c r="C4024" s="174" t="n">
        <v>1412</v>
      </c>
      <c r="D4024" s="174" t="n">
        <v>10</v>
      </c>
      <c r="E4024" s="175" t="inlineStr">
        <is>
          <t>1412/10/12</t>
        </is>
      </c>
      <c r="F4024" s="128" t="inlineStr">
        <is>
          <t>1412/10</t>
        </is>
      </c>
      <c r="G4024" s="58" t="inlineStr">
        <is>
          <t>دی</t>
        </is>
      </c>
      <c r="H4024" s="128" t="inlineStr">
        <is>
          <t>زمستان</t>
        </is>
      </c>
      <c r="I4024" s="128" t="inlineStr">
        <is>
          <t>یکشنبه</t>
        </is>
      </c>
      <c r="J4024" s="128" t="inlineStr">
        <is>
          <t>خیر</t>
        </is>
      </c>
    </row>
    <row r="4025">
      <c r="A4025" s="176" t="n">
        <v>48946</v>
      </c>
      <c r="B4025" s="177" t="n">
        <v>48946</v>
      </c>
      <c r="C4025" s="177" t="n">
        <v>1412</v>
      </c>
      <c r="D4025" s="177" t="n">
        <v>10</v>
      </c>
      <c r="E4025" s="178" t="inlineStr">
        <is>
          <t>1412/10/13</t>
        </is>
      </c>
      <c r="F4025" s="134" t="inlineStr">
        <is>
          <t>1412/10</t>
        </is>
      </c>
      <c r="G4025" s="61" t="inlineStr">
        <is>
          <t>دی</t>
        </is>
      </c>
      <c r="H4025" s="134" t="inlineStr">
        <is>
          <t>زمستان</t>
        </is>
      </c>
      <c r="I4025" s="134" t="inlineStr">
        <is>
          <t>دوشنبه</t>
        </is>
      </c>
      <c r="J4025" s="134" t="inlineStr">
        <is>
          <t>بله</t>
        </is>
      </c>
    </row>
    <row r="4026">
      <c r="A4026" s="173" t="n">
        <v>48947</v>
      </c>
      <c r="B4026" s="174" t="n">
        <v>48947</v>
      </c>
      <c r="C4026" s="174" t="n">
        <v>1412</v>
      </c>
      <c r="D4026" s="174" t="n">
        <v>10</v>
      </c>
      <c r="E4026" s="175" t="inlineStr">
        <is>
          <t>1412/10/14</t>
        </is>
      </c>
      <c r="F4026" s="128" t="inlineStr">
        <is>
          <t>1412/10</t>
        </is>
      </c>
      <c r="G4026" s="58" t="inlineStr">
        <is>
          <t>دی</t>
        </is>
      </c>
      <c r="H4026" s="128" t="inlineStr">
        <is>
          <t>زمستان</t>
        </is>
      </c>
      <c r="I4026" s="128" t="inlineStr">
        <is>
          <t>سه‌شنبه</t>
        </is>
      </c>
      <c r="J4026" s="128" t="inlineStr">
        <is>
          <t>بله</t>
        </is>
      </c>
    </row>
    <row r="4027">
      <c r="A4027" s="176" t="n">
        <v>48948</v>
      </c>
      <c r="B4027" s="177" t="n">
        <v>48948</v>
      </c>
      <c r="C4027" s="177" t="n">
        <v>1412</v>
      </c>
      <c r="D4027" s="177" t="n">
        <v>10</v>
      </c>
      <c r="E4027" s="178" t="inlineStr">
        <is>
          <t>1412/10/15</t>
        </is>
      </c>
      <c r="F4027" s="134" t="inlineStr">
        <is>
          <t>1412/10</t>
        </is>
      </c>
      <c r="G4027" s="61" t="inlineStr">
        <is>
          <t>دی</t>
        </is>
      </c>
      <c r="H4027" s="134" t="inlineStr">
        <is>
          <t>زمستان</t>
        </is>
      </c>
      <c r="I4027" s="134" t="inlineStr">
        <is>
          <t>چهارشنبه</t>
        </is>
      </c>
      <c r="J4027" s="134" t="inlineStr">
        <is>
          <t>بله</t>
        </is>
      </c>
    </row>
    <row r="4028">
      <c r="A4028" s="173" t="n">
        <v>48949</v>
      </c>
      <c r="B4028" s="174" t="n">
        <v>48949</v>
      </c>
      <c r="C4028" s="174" t="n">
        <v>1412</v>
      </c>
      <c r="D4028" s="174" t="n">
        <v>10</v>
      </c>
      <c r="E4028" s="175" t="inlineStr">
        <is>
          <t>1412/10/16</t>
        </is>
      </c>
      <c r="F4028" s="128" t="inlineStr">
        <is>
          <t>1412/10</t>
        </is>
      </c>
      <c r="G4028" s="58" t="inlineStr">
        <is>
          <t>دی</t>
        </is>
      </c>
      <c r="H4028" s="128" t="inlineStr">
        <is>
          <t>زمستان</t>
        </is>
      </c>
      <c r="I4028" s="128" t="inlineStr">
        <is>
          <t>پنجشنبه</t>
        </is>
      </c>
      <c r="J4028" s="128" t="inlineStr">
        <is>
          <t>بله</t>
        </is>
      </c>
    </row>
    <row r="4029">
      <c r="A4029" s="176" t="n">
        <v>48950</v>
      </c>
      <c r="B4029" s="177" t="n">
        <v>48950</v>
      </c>
      <c r="C4029" s="177" t="n">
        <v>1412</v>
      </c>
      <c r="D4029" s="177" t="n">
        <v>10</v>
      </c>
      <c r="E4029" s="178" t="inlineStr">
        <is>
          <t>1412/10/17</t>
        </is>
      </c>
      <c r="F4029" s="134" t="inlineStr">
        <is>
          <t>1412/10</t>
        </is>
      </c>
      <c r="G4029" s="61" t="inlineStr">
        <is>
          <t>دی</t>
        </is>
      </c>
      <c r="H4029" s="134" t="inlineStr">
        <is>
          <t>زمستان</t>
        </is>
      </c>
      <c r="I4029" s="134" t="inlineStr">
        <is>
          <t>جمعه</t>
        </is>
      </c>
      <c r="J4029" s="134" t="inlineStr">
        <is>
          <t>بله</t>
        </is>
      </c>
    </row>
    <row r="4030">
      <c r="A4030" s="173" t="n">
        <v>48951</v>
      </c>
      <c r="B4030" s="174" t="n">
        <v>48951</v>
      </c>
      <c r="C4030" s="174" t="n">
        <v>1412</v>
      </c>
      <c r="D4030" s="174" t="n">
        <v>10</v>
      </c>
      <c r="E4030" s="175" t="inlineStr">
        <is>
          <t>1412/10/18</t>
        </is>
      </c>
      <c r="F4030" s="128" t="inlineStr">
        <is>
          <t>1412/10</t>
        </is>
      </c>
      <c r="G4030" s="58" t="inlineStr">
        <is>
          <t>دی</t>
        </is>
      </c>
      <c r="H4030" s="128" t="inlineStr">
        <is>
          <t>زمستان</t>
        </is>
      </c>
      <c r="I4030" s="128" t="inlineStr">
        <is>
          <t>شنبه</t>
        </is>
      </c>
      <c r="J4030" s="128" t="inlineStr">
        <is>
          <t>خیر</t>
        </is>
      </c>
    </row>
    <row r="4031">
      <c r="A4031" s="176" t="n">
        <v>48952</v>
      </c>
      <c r="B4031" s="177" t="n">
        <v>48952</v>
      </c>
      <c r="C4031" s="177" t="n">
        <v>1412</v>
      </c>
      <c r="D4031" s="177" t="n">
        <v>10</v>
      </c>
      <c r="E4031" s="178" t="inlineStr">
        <is>
          <t>1412/10/19</t>
        </is>
      </c>
      <c r="F4031" s="134" t="inlineStr">
        <is>
          <t>1412/10</t>
        </is>
      </c>
      <c r="G4031" s="61" t="inlineStr">
        <is>
          <t>دی</t>
        </is>
      </c>
      <c r="H4031" s="134" t="inlineStr">
        <is>
          <t>زمستان</t>
        </is>
      </c>
      <c r="I4031" s="134" t="inlineStr">
        <is>
          <t>یکشنبه</t>
        </is>
      </c>
      <c r="J4031" s="134" t="inlineStr">
        <is>
          <t>خیر</t>
        </is>
      </c>
    </row>
    <row r="4032">
      <c r="A4032" s="173" t="n">
        <v>48953</v>
      </c>
      <c r="B4032" s="174" t="n">
        <v>48953</v>
      </c>
      <c r="C4032" s="174" t="n">
        <v>1412</v>
      </c>
      <c r="D4032" s="174" t="n">
        <v>10</v>
      </c>
      <c r="E4032" s="175" t="inlineStr">
        <is>
          <t>1412/10/20</t>
        </is>
      </c>
      <c r="F4032" s="128" t="inlineStr">
        <is>
          <t>1412/10</t>
        </is>
      </c>
      <c r="G4032" s="58" t="inlineStr">
        <is>
          <t>دی</t>
        </is>
      </c>
      <c r="H4032" s="128" t="inlineStr">
        <is>
          <t>زمستان</t>
        </is>
      </c>
      <c r="I4032" s="128" t="inlineStr">
        <is>
          <t>دوشنبه</t>
        </is>
      </c>
      <c r="J4032" s="128" t="inlineStr">
        <is>
          <t>بله</t>
        </is>
      </c>
    </row>
    <row r="4033">
      <c r="A4033" s="176" t="n">
        <v>48954</v>
      </c>
      <c r="B4033" s="177" t="n">
        <v>48954</v>
      </c>
      <c r="C4033" s="177" t="n">
        <v>1412</v>
      </c>
      <c r="D4033" s="177" t="n">
        <v>10</v>
      </c>
      <c r="E4033" s="178" t="inlineStr">
        <is>
          <t>1412/10/21</t>
        </is>
      </c>
      <c r="F4033" s="134" t="inlineStr">
        <is>
          <t>1412/10</t>
        </is>
      </c>
      <c r="G4033" s="61" t="inlineStr">
        <is>
          <t>دی</t>
        </is>
      </c>
      <c r="H4033" s="134" t="inlineStr">
        <is>
          <t>زمستان</t>
        </is>
      </c>
      <c r="I4033" s="134" t="inlineStr">
        <is>
          <t>سه‌شنبه</t>
        </is>
      </c>
      <c r="J4033" s="134" t="inlineStr">
        <is>
          <t>بله</t>
        </is>
      </c>
    </row>
    <row r="4034">
      <c r="A4034" s="173" t="n">
        <v>48955</v>
      </c>
      <c r="B4034" s="174" t="n">
        <v>48955</v>
      </c>
      <c r="C4034" s="174" t="n">
        <v>1412</v>
      </c>
      <c r="D4034" s="174" t="n">
        <v>10</v>
      </c>
      <c r="E4034" s="175" t="inlineStr">
        <is>
          <t>1412/10/22</t>
        </is>
      </c>
      <c r="F4034" s="128" t="inlineStr">
        <is>
          <t>1412/10</t>
        </is>
      </c>
      <c r="G4034" s="58" t="inlineStr">
        <is>
          <t>دی</t>
        </is>
      </c>
      <c r="H4034" s="128" t="inlineStr">
        <is>
          <t>زمستان</t>
        </is>
      </c>
      <c r="I4034" s="128" t="inlineStr">
        <is>
          <t>چهارشنبه</t>
        </is>
      </c>
      <c r="J4034" s="128" t="inlineStr">
        <is>
          <t>بله</t>
        </is>
      </c>
    </row>
    <row r="4035">
      <c r="A4035" s="176" t="n">
        <v>48956</v>
      </c>
      <c r="B4035" s="177" t="n">
        <v>48956</v>
      </c>
      <c r="C4035" s="177" t="n">
        <v>1412</v>
      </c>
      <c r="D4035" s="177" t="n">
        <v>10</v>
      </c>
      <c r="E4035" s="178" t="inlineStr">
        <is>
          <t>1412/10/23</t>
        </is>
      </c>
      <c r="F4035" s="134" t="inlineStr">
        <is>
          <t>1412/10</t>
        </is>
      </c>
      <c r="G4035" s="61" t="inlineStr">
        <is>
          <t>دی</t>
        </is>
      </c>
      <c r="H4035" s="134" t="inlineStr">
        <is>
          <t>زمستان</t>
        </is>
      </c>
      <c r="I4035" s="134" t="inlineStr">
        <is>
          <t>پنجشنبه</t>
        </is>
      </c>
      <c r="J4035" s="134" t="inlineStr">
        <is>
          <t>بله</t>
        </is>
      </c>
    </row>
    <row r="4036">
      <c r="A4036" s="173" t="n">
        <v>48957</v>
      </c>
      <c r="B4036" s="174" t="n">
        <v>48957</v>
      </c>
      <c r="C4036" s="174" t="n">
        <v>1412</v>
      </c>
      <c r="D4036" s="174" t="n">
        <v>10</v>
      </c>
      <c r="E4036" s="175" t="inlineStr">
        <is>
          <t>1412/10/24</t>
        </is>
      </c>
      <c r="F4036" s="128" t="inlineStr">
        <is>
          <t>1412/10</t>
        </is>
      </c>
      <c r="G4036" s="58" t="inlineStr">
        <is>
          <t>دی</t>
        </is>
      </c>
      <c r="H4036" s="128" t="inlineStr">
        <is>
          <t>زمستان</t>
        </is>
      </c>
      <c r="I4036" s="128" t="inlineStr">
        <is>
          <t>جمعه</t>
        </is>
      </c>
      <c r="J4036" s="128" t="inlineStr">
        <is>
          <t>بله</t>
        </is>
      </c>
    </row>
    <row r="4037">
      <c r="A4037" s="176" t="n">
        <v>48958</v>
      </c>
      <c r="B4037" s="177" t="n">
        <v>48958</v>
      </c>
      <c r="C4037" s="177" t="n">
        <v>1412</v>
      </c>
      <c r="D4037" s="177" t="n">
        <v>10</v>
      </c>
      <c r="E4037" s="178" t="inlineStr">
        <is>
          <t>1412/10/25</t>
        </is>
      </c>
      <c r="F4037" s="134" t="inlineStr">
        <is>
          <t>1412/10</t>
        </is>
      </c>
      <c r="G4037" s="61" t="inlineStr">
        <is>
          <t>دی</t>
        </is>
      </c>
      <c r="H4037" s="134" t="inlineStr">
        <is>
          <t>زمستان</t>
        </is>
      </c>
      <c r="I4037" s="134" t="inlineStr">
        <is>
          <t>شنبه</t>
        </is>
      </c>
      <c r="J4037" s="134" t="inlineStr">
        <is>
          <t>خیر</t>
        </is>
      </c>
    </row>
    <row r="4038">
      <c r="A4038" s="173" t="n">
        <v>48959</v>
      </c>
      <c r="B4038" s="174" t="n">
        <v>48959</v>
      </c>
      <c r="C4038" s="174" t="n">
        <v>1412</v>
      </c>
      <c r="D4038" s="174" t="n">
        <v>10</v>
      </c>
      <c r="E4038" s="175" t="inlineStr">
        <is>
          <t>1412/10/26</t>
        </is>
      </c>
      <c r="F4038" s="128" t="inlineStr">
        <is>
          <t>1412/10</t>
        </is>
      </c>
      <c r="G4038" s="58" t="inlineStr">
        <is>
          <t>دی</t>
        </is>
      </c>
      <c r="H4038" s="128" t="inlineStr">
        <is>
          <t>زمستان</t>
        </is>
      </c>
      <c r="I4038" s="128" t="inlineStr">
        <is>
          <t>یکشنبه</t>
        </is>
      </c>
      <c r="J4038" s="128" t="inlineStr">
        <is>
          <t>خیر</t>
        </is>
      </c>
    </row>
    <row r="4039">
      <c r="A4039" s="176" t="n">
        <v>48960</v>
      </c>
      <c r="B4039" s="177" t="n">
        <v>48960</v>
      </c>
      <c r="C4039" s="177" t="n">
        <v>1412</v>
      </c>
      <c r="D4039" s="177" t="n">
        <v>10</v>
      </c>
      <c r="E4039" s="178" t="inlineStr">
        <is>
          <t>1412/10/27</t>
        </is>
      </c>
      <c r="F4039" s="134" t="inlineStr">
        <is>
          <t>1412/10</t>
        </is>
      </c>
      <c r="G4039" s="61" t="inlineStr">
        <is>
          <t>دی</t>
        </is>
      </c>
      <c r="H4039" s="134" t="inlineStr">
        <is>
          <t>زمستان</t>
        </is>
      </c>
      <c r="I4039" s="134" t="inlineStr">
        <is>
          <t>دوشنبه</t>
        </is>
      </c>
      <c r="J4039" s="134" t="inlineStr">
        <is>
          <t>بله</t>
        </is>
      </c>
    </row>
    <row r="4040">
      <c r="A4040" s="173" t="n">
        <v>48961</v>
      </c>
      <c r="B4040" s="174" t="n">
        <v>48961</v>
      </c>
      <c r="C4040" s="174" t="n">
        <v>1412</v>
      </c>
      <c r="D4040" s="174" t="n">
        <v>10</v>
      </c>
      <c r="E4040" s="175" t="inlineStr">
        <is>
          <t>1412/10/28</t>
        </is>
      </c>
      <c r="F4040" s="128" t="inlineStr">
        <is>
          <t>1412/10</t>
        </is>
      </c>
      <c r="G4040" s="58" t="inlineStr">
        <is>
          <t>دی</t>
        </is>
      </c>
      <c r="H4040" s="128" t="inlineStr">
        <is>
          <t>زمستان</t>
        </is>
      </c>
      <c r="I4040" s="128" t="inlineStr">
        <is>
          <t>سه‌شنبه</t>
        </is>
      </c>
      <c r="J4040" s="128" t="inlineStr">
        <is>
          <t>بله</t>
        </is>
      </c>
    </row>
    <row r="4041">
      <c r="A4041" s="176" t="n">
        <v>48962</v>
      </c>
      <c r="B4041" s="177" t="n">
        <v>48962</v>
      </c>
      <c r="C4041" s="177" t="n">
        <v>1412</v>
      </c>
      <c r="D4041" s="177" t="n">
        <v>10</v>
      </c>
      <c r="E4041" s="178" t="inlineStr">
        <is>
          <t>1412/10/29</t>
        </is>
      </c>
      <c r="F4041" s="134" t="inlineStr">
        <is>
          <t>1412/10</t>
        </is>
      </c>
      <c r="G4041" s="61" t="inlineStr">
        <is>
          <t>دی</t>
        </is>
      </c>
      <c r="H4041" s="134" t="inlineStr">
        <is>
          <t>زمستان</t>
        </is>
      </c>
      <c r="I4041" s="134" t="inlineStr">
        <is>
          <t>چهارشنبه</t>
        </is>
      </c>
      <c r="J4041" s="134" t="inlineStr">
        <is>
          <t>بله</t>
        </is>
      </c>
    </row>
    <row r="4042">
      <c r="A4042" s="173" t="n">
        <v>48963</v>
      </c>
      <c r="B4042" s="174" t="n">
        <v>48963</v>
      </c>
      <c r="C4042" s="174" t="n">
        <v>1412</v>
      </c>
      <c r="D4042" s="174" t="n">
        <v>10</v>
      </c>
      <c r="E4042" s="175" t="inlineStr">
        <is>
          <t>1412/10/30</t>
        </is>
      </c>
      <c r="F4042" s="128" t="inlineStr">
        <is>
          <t>1412/10</t>
        </is>
      </c>
      <c r="G4042" s="58" t="inlineStr">
        <is>
          <t>دی</t>
        </is>
      </c>
      <c r="H4042" s="128" t="inlineStr">
        <is>
          <t>زمستان</t>
        </is>
      </c>
      <c r="I4042" s="128" t="inlineStr">
        <is>
          <t>پنجشنبه</t>
        </is>
      </c>
      <c r="J4042" s="128" t="inlineStr">
        <is>
          <t>بله</t>
        </is>
      </c>
    </row>
    <row r="4043">
      <c r="A4043" s="176" t="n">
        <v>48964</v>
      </c>
      <c r="B4043" s="177" t="n">
        <v>48964</v>
      </c>
      <c r="C4043" s="177" t="n">
        <v>1412</v>
      </c>
      <c r="D4043" s="177" t="n">
        <v>11</v>
      </c>
      <c r="E4043" s="178" t="inlineStr">
        <is>
          <t>1412/11/01</t>
        </is>
      </c>
      <c r="F4043" s="134" t="inlineStr">
        <is>
          <t>1412/11</t>
        </is>
      </c>
      <c r="G4043" s="61" t="inlineStr">
        <is>
          <t>بهمن</t>
        </is>
      </c>
      <c r="H4043" s="134" t="inlineStr">
        <is>
          <t>زمستان</t>
        </is>
      </c>
      <c r="I4043" s="134" t="inlineStr">
        <is>
          <t>جمعه</t>
        </is>
      </c>
      <c r="J4043" s="134" t="inlineStr">
        <is>
          <t>بله</t>
        </is>
      </c>
    </row>
    <row r="4044">
      <c r="A4044" s="173" t="n">
        <v>48965</v>
      </c>
      <c r="B4044" s="174" t="n">
        <v>48965</v>
      </c>
      <c r="C4044" s="174" t="n">
        <v>1412</v>
      </c>
      <c r="D4044" s="174" t="n">
        <v>11</v>
      </c>
      <c r="E4044" s="175" t="inlineStr">
        <is>
          <t>1412/11/02</t>
        </is>
      </c>
      <c r="F4044" s="128" t="inlineStr">
        <is>
          <t>1412/11</t>
        </is>
      </c>
      <c r="G4044" s="58" t="inlineStr">
        <is>
          <t>بهمن</t>
        </is>
      </c>
      <c r="H4044" s="128" t="inlineStr">
        <is>
          <t>زمستان</t>
        </is>
      </c>
      <c r="I4044" s="128" t="inlineStr">
        <is>
          <t>شنبه</t>
        </is>
      </c>
      <c r="J4044" s="128" t="inlineStr">
        <is>
          <t>خیر</t>
        </is>
      </c>
    </row>
    <row r="4045">
      <c r="A4045" s="176" t="n">
        <v>48966</v>
      </c>
      <c r="B4045" s="177" t="n">
        <v>48966</v>
      </c>
      <c r="C4045" s="177" t="n">
        <v>1412</v>
      </c>
      <c r="D4045" s="177" t="n">
        <v>11</v>
      </c>
      <c r="E4045" s="178" t="inlineStr">
        <is>
          <t>1412/11/03</t>
        </is>
      </c>
      <c r="F4045" s="134" t="inlineStr">
        <is>
          <t>1412/11</t>
        </is>
      </c>
      <c r="G4045" s="61" t="inlineStr">
        <is>
          <t>بهمن</t>
        </is>
      </c>
      <c r="H4045" s="134" t="inlineStr">
        <is>
          <t>زمستان</t>
        </is>
      </c>
      <c r="I4045" s="134" t="inlineStr">
        <is>
          <t>یکشنبه</t>
        </is>
      </c>
      <c r="J4045" s="134" t="inlineStr">
        <is>
          <t>خیر</t>
        </is>
      </c>
    </row>
    <row r="4046">
      <c r="A4046" s="173" t="n">
        <v>48967</v>
      </c>
      <c r="B4046" s="174" t="n">
        <v>48967</v>
      </c>
      <c r="C4046" s="174" t="n">
        <v>1412</v>
      </c>
      <c r="D4046" s="174" t="n">
        <v>11</v>
      </c>
      <c r="E4046" s="175" t="inlineStr">
        <is>
          <t>1412/11/04</t>
        </is>
      </c>
      <c r="F4046" s="128" t="inlineStr">
        <is>
          <t>1412/11</t>
        </is>
      </c>
      <c r="G4046" s="58" t="inlineStr">
        <is>
          <t>بهمن</t>
        </is>
      </c>
      <c r="H4046" s="128" t="inlineStr">
        <is>
          <t>زمستان</t>
        </is>
      </c>
      <c r="I4046" s="128" t="inlineStr">
        <is>
          <t>دوشنبه</t>
        </is>
      </c>
      <c r="J4046" s="128" t="inlineStr">
        <is>
          <t>بله</t>
        </is>
      </c>
    </row>
    <row r="4047">
      <c r="A4047" s="176" t="n">
        <v>48968</v>
      </c>
      <c r="B4047" s="177" t="n">
        <v>48968</v>
      </c>
      <c r="C4047" s="177" t="n">
        <v>1412</v>
      </c>
      <c r="D4047" s="177" t="n">
        <v>11</v>
      </c>
      <c r="E4047" s="178" t="inlineStr">
        <is>
          <t>1412/11/05</t>
        </is>
      </c>
      <c r="F4047" s="134" t="inlineStr">
        <is>
          <t>1412/11</t>
        </is>
      </c>
      <c r="G4047" s="61" t="inlineStr">
        <is>
          <t>بهمن</t>
        </is>
      </c>
      <c r="H4047" s="134" t="inlineStr">
        <is>
          <t>زمستان</t>
        </is>
      </c>
      <c r="I4047" s="134" t="inlineStr">
        <is>
          <t>سه‌شنبه</t>
        </is>
      </c>
      <c r="J4047" s="134" t="inlineStr">
        <is>
          <t>بله</t>
        </is>
      </c>
    </row>
    <row r="4048">
      <c r="A4048" s="173" t="n">
        <v>48969</v>
      </c>
      <c r="B4048" s="174" t="n">
        <v>48969</v>
      </c>
      <c r="C4048" s="174" t="n">
        <v>1412</v>
      </c>
      <c r="D4048" s="174" t="n">
        <v>11</v>
      </c>
      <c r="E4048" s="175" t="inlineStr">
        <is>
          <t>1412/11/06</t>
        </is>
      </c>
      <c r="F4048" s="128" t="inlineStr">
        <is>
          <t>1412/11</t>
        </is>
      </c>
      <c r="G4048" s="58" t="inlineStr">
        <is>
          <t>بهمن</t>
        </is>
      </c>
      <c r="H4048" s="128" t="inlineStr">
        <is>
          <t>زمستان</t>
        </is>
      </c>
      <c r="I4048" s="128" t="inlineStr">
        <is>
          <t>چهارشنبه</t>
        </is>
      </c>
      <c r="J4048" s="128" t="inlineStr">
        <is>
          <t>بله</t>
        </is>
      </c>
    </row>
    <row r="4049">
      <c r="A4049" s="176" t="n">
        <v>48970</v>
      </c>
      <c r="B4049" s="177" t="n">
        <v>48970</v>
      </c>
      <c r="C4049" s="177" t="n">
        <v>1412</v>
      </c>
      <c r="D4049" s="177" t="n">
        <v>11</v>
      </c>
      <c r="E4049" s="178" t="inlineStr">
        <is>
          <t>1412/11/07</t>
        </is>
      </c>
      <c r="F4049" s="134" t="inlineStr">
        <is>
          <t>1412/11</t>
        </is>
      </c>
      <c r="G4049" s="61" t="inlineStr">
        <is>
          <t>بهمن</t>
        </is>
      </c>
      <c r="H4049" s="134" t="inlineStr">
        <is>
          <t>زمستان</t>
        </is>
      </c>
      <c r="I4049" s="134" t="inlineStr">
        <is>
          <t>پنجشنبه</t>
        </is>
      </c>
      <c r="J4049" s="134" t="inlineStr">
        <is>
          <t>بله</t>
        </is>
      </c>
    </row>
    <row r="4050">
      <c r="A4050" s="173" t="n">
        <v>48971</v>
      </c>
      <c r="B4050" s="174" t="n">
        <v>48971</v>
      </c>
      <c r="C4050" s="174" t="n">
        <v>1412</v>
      </c>
      <c r="D4050" s="174" t="n">
        <v>11</v>
      </c>
      <c r="E4050" s="175" t="inlineStr">
        <is>
          <t>1412/11/08</t>
        </is>
      </c>
      <c r="F4050" s="128" t="inlineStr">
        <is>
          <t>1412/11</t>
        </is>
      </c>
      <c r="G4050" s="58" t="inlineStr">
        <is>
          <t>بهمن</t>
        </is>
      </c>
      <c r="H4050" s="128" t="inlineStr">
        <is>
          <t>زمستان</t>
        </is>
      </c>
      <c r="I4050" s="128" t="inlineStr">
        <is>
          <t>جمعه</t>
        </is>
      </c>
      <c r="J4050" s="128" t="inlineStr">
        <is>
          <t>بله</t>
        </is>
      </c>
    </row>
    <row r="4051">
      <c r="A4051" s="176" t="n">
        <v>48972</v>
      </c>
      <c r="B4051" s="177" t="n">
        <v>48972</v>
      </c>
      <c r="C4051" s="177" t="n">
        <v>1412</v>
      </c>
      <c r="D4051" s="177" t="n">
        <v>11</v>
      </c>
      <c r="E4051" s="178" t="inlineStr">
        <is>
          <t>1412/11/09</t>
        </is>
      </c>
      <c r="F4051" s="134" t="inlineStr">
        <is>
          <t>1412/11</t>
        </is>
      </c>
      <c r="G4051" s="61" t="inlineStr">
        <is>
          <t>بهمن</t>
        </is>
      </c>
      <c r="H4051" s="134" t="inlineStr">
        <is>
          <t>زمستان</t>
        </is>
      </c>
      <c r="I4051" s="134" t="inlineStr">
        <is>
          <t>شنبه</t>
        </is>
      </c>
      <c r="J4051" s="134" t="inlineStr">
        <is>
          <t>خیر</t>
        </is>
      </c>
    </row>
    <row r="4052">
      <c r="A4052" s="173" t="n">
        <v>48973</v>
      </c>
      <c r="B4052" s="174" t="n">
        <v>48973</v>
      </c>
      <c r="C4052" s="174" t="n">
        <v>1412</v>
      </c>
      <c r="D4052" s="174" t="n">
        <v>11</v>
      </c>
      <c r="E4052" s="175" t="inlineStr">
        <is>
          <t>1412/11/10</t>
        </is>
      </c>
      <c r="F4052" s="128" t="inlineStr">
        <is>
          <t>1412/11</t>
        </is>
      </c>
      <c r="G4052" s="58" t="inlineStr">
        <is>
          <t>بهمن</t>
        </is>
      </c>
      <c r="H4052" s="128" t="inlineStr">
        <is>
          <t>زمستان</t>
        </is>
      </c>
      <c r="I4052" s="128" t="inlineStr">
        <is>
          <t>یکشنبه</t>
        </is>
      </c>
      <c r="J4052" s="128" t="inlineStr">
        <is>
          <t>خیر</t>
        </is>
      </c>
    </row>
    <row r="4053">
      <c r="A4053" s="176" t="n">
        <v>48974</v>
      </c>
      <c r="B4053" s="177" t="n">
        <v>48974</v>
      </c>
      <c r="C4053" s="177" t="n">
        <v>1412</v>
      </c>
      <c r="D4053" s="177" t="n">
        <v>11</v>
      </c>
      <c r="E4053" s="178" t="inlineStr">
        <is>
          <t>1412/11/11</t>
        </is>
      </c>
      <c r="F4053" s="134" t="inlineStr">
        <is>
          <t>1412/11</t>
        </is>
      </c>
      <c r="G4053" s="61" t="inlineStr">
        <is>
          <t>بهمن</t>
        </is>
      </c>
      <c r="H4053" s="134" t="inlineStr">
        <is>
          <t>زمستان</t>
        </is>
      </c>
      <c r="I4053" s="134" t="inlineStr">
        <is>
          <t>دوشنبه</t>
        </is>
      </c>
      <c r="J4053" s="134" t="inlineStr">
        <is>
          <t>بله</t>
        </is>
      </c>
    </row>
    <row r="4054">
      <c r="A4054" s="173" t="n">
        <v>48975</v>
      </c>
      <c r="B4054" s="174" t="n">
        <v>48975</v>
      </c>
      <c r="C4054" s="174" t="n">
        <v>1412</v>
      </c>
      <c r="D4054" s="174" t="n">
        <v>11</v>
      </c>
      <c r="E4054" s="175" t="inlineStr">
        <is>
          <t>1412/11/12</t>
        </is>
      </c>
      <c r="F4054" s="128" t="inlineStr">
        <is>
          <t>1412/11</t>
        </is>
      </c>
      <c r="G4054" s="58" t="inlineStr">
        <is>
          <t>بهمن</t>
        </is>
      </c>
      <c r="H4054" s="128" t="inlineStr">
        <is>
          <t>زمستان</t>
        </is>
      </c>
      <c r="I4054" s="128" t="inlineStr">
        <is>
          <t>سه‌شنبه</t>
        </is>
      </c>
      <c r="J4054" s="128" t="inlineStr">
        <is>
          <t>بله</t>
        </is>
      </c>
    </row>
    <row r="4055">
      <c r="A4055" s="176" t="n">
        <v>48976</v>
      </c>
      <c r="B4055" s="177" t="n">
        <v>48976</v>
      </c>
      <c r="C4055" s="177" t="n">
        <v>1412</v>
      </c>
      <c r="D4055" s="177" t="n">
        <v>11</v>
      </c>
      <c r="E4055" s="178" t="inlineStr">
        <is>
          <t>1412/11/13</t>
        </is>
      </c>
      <c r="F4055" s="134" t="inlineStr">
        <is>
          <t>1412/11</t>
        </is>
      </c>
      <c r="G4055" s="61" t="inlineStr">
        <is>
          <t>بهمن</t>
        </is>
      </c>
      <c r="H4055" s="134" t="inlineStr">
        <is>
          <t>زمستان</t>
        </is>
      </c>
      <c r="I4055" s="134" t="inlineStr">
        <is>
          <t>چهارشنبه</t>
        </is>
      </c>
      <c r="J4055" s="134" t="inlineStr">
        <is>
          <t>بله</t>
        </is>
      </c>
    </row>
    <row r="4056">
      <c r="A4056" s="173" t="n">
        <v>48977</v>
      </c>
      <c r="B4056" s="174" t="n">
        <v>48977</v>
      </c>
      <c r="C4056" s="174" t="n">
        <v>1412</v>
      </c>
      <c r="D4056" s="174" t="n">
        <v>11</v>
      </c>
      <c r="E4056" s="175" t="inlineStr">
        <is>
          <t>1412/11/14</t>
        </is>
      </c>
      <c r="F4056" s="128" t="inlineStr">
        <is>
          <t>1412/11</t>
        </is>
      </c>
      <c r="G4056" s="58" t="inlineStr">
        <is>
          <t>بهمن</t>
        </is>
      </c>
      <c r="H4056" s="128" t="inlineStr">
        <is>
          <t>زمستان</t>
        </is>
      </c>
      <c r="I4056" s="128" t="inlineStr">
        <is>
          <t>پنجشنبه</t>
        </is>
      </c>
      <c r="J4056" s="128" t="inlineStr">
        <is>
          <t>بله</t>
        </is>
      </c>
    </row>
    <row r="4057">
      <c r="A4057" s="176" t="n">
        <v>48978</v>
      </c>
      <c r="B4057" s="177" t="n">
        <v>48978</v>
      </c>
      <c r="C4057" s="177" t="n">
        <v>1412</v>
      </c>
      <c r="D4057" s="177" t="n">
        <v>11</v>
      </c>
      <c r="E4057" s="178" t="inlineStr">
        <is>
          <t>1412/11/15</t>
        </is>
      </c>
      <c r="F4057" s="134" t="inlineStr">
        <is>
          <t>1412/11</t>
        </is>
      </c>
      <c r="G4057" s="61" t="inlineStr">
        <is>
          <t>بهمن</t>
        </is>
      </c>
      <c r="H4057" s="134" t="inlineStr">
        <is>
          <t>زمستان</t>
        </is>
      </c>
      <c r="I4057" s="134" t="inlineStr">
        <is>
          <t>جمعه</t>
        </is>
      </c>
      <c r="J4057" s="134" t="inlineStr">
        <is>
          <t>بله</t>
        </is>
      </c>
    </row>
    <row r="4058">
      <c r="A4058" s="173" t="n">
        <v>48979</v>
      </c>
      <c r="B4058" s="174" t="n">
        <v>48979</v>
      </c>
      <c r="C4058" s="174" t="n">
        <v>1412</v>
      </c>
      <c r="D4058" s="174" t="n">
        <v>11</v>
      </c>
      <c r="E4058" s="175" t="inlineStr">
        <is>
          <t>1412/11/16</t>
        </is>
      </c>
      <c r="F4058" s="128" t="inlineStr">
        <is>
          <t>1412/11</t>
        </is>
      </c>
      <c r="G4058" s="58" t="inlineStr">
        <is>
          <t>بهمن</t>
        </is>
      </c>
      <c r="H4058" s="128" t="inlineStr">
        <is>
          <t>زمستان</t>
        </is>
      </c>
      <c r="I4058" s="128" t="inlineStr">
        <is>
          <t>شنبه</t>
        </is>
      </c>
      <c r="J4058" s="128" t="inlineStr">
        <is>
          <t>خیر</t>
        </is>
      </c>
    </row>
    <row r="4059">
      <c r="A4059" s="176" t="n">
        <v>48980</v>
      </c>
      <c r="B4059" s="177" t="n">
        <v>48980</v>
      </c>
      <c r="C4059" s="177" t="n">
        <v>1412</v>
      </c>
      <c r="D4059" s="177" t="n">
        <v>11</v>
      </c>
      <c r="E4059" s="178" t="inlineStr">
        <is>
          <t>1412/11/17</t>
        </is>
      </c>
      <c r="F4059" s="134" t="inlineStr">
        <is>
          <t>1412/11</t>
        </is>
      </c>
      <c r="G4059" s="61" t="inlineStr">
        <is>
          <t>بهمن</t>
        </is>
      </c>
      <c r="H4059" s="134" t="inlineStr">
        <is>
          <t>زمستان</t>
        </is>
      </c>
      <c r="I4059" s="134" t="inlineStr">
        <is>
          <t>یکشنبه</t>
        </is>
      </c>
      <c r="J4059" s="134" t="inlineStr">
        <is>
          <t>خیر</t>
        </is>
      </c>
    </row>
    <row r="4060">
      <c r="A4060" s="173" t="n">
        <v>48981</v>
      </c>
      <c r="B4060" s="174" t="n">
        <v>48981</v>
      </c>
      <c r="C4060" s="174" t="n">
        <v>1412</v>
      </c>
      <c r="D4060" s="174" t="n">
        <v>11</v>
      </c>
      <c r="E4060" s="175" t="inlineStr">
        <is>
          <t>1412/11/18</t>
        </is>
      </c>
      <c r="F4060" s="128" t="inlineStr">
        <is>
          <t>1412/11</t>
        </is>
      </c>
      <c r="G4060" s="58" t="inlineStr">
        <is>
          <t>بهمن</t>
        </is>
      </c>
      <c r="H4060" s="128" t="inlineStr">
        <is>
          <t>زمستان</t>
        </is>
      </c>
      <c r="I4060" s="128" t="inlineStr">
        <is>
          <t>دوشنبه</t>
        </is>
      </c>
      <c r="J4060" s="128" t="inlineStr">
        <is>
          <t>بله</t>
        </is>
      </c>
    </row>
    <row r="4061">
      <c r="A4061" s="176" t="n">
        <v>48982</v>
      </c>
      <c r="B4061" s="177" t="n">
        <v>48982</v>
      </c>
      <c r="C4061" s="177" t="n">
        <v>1412</v>
      </c>
      <c r="D4061" s="177" t="n">
        <v>11</v>
      </c>
      <c r="E4061" s="178" t="inlineStr">
        <is>
          <t>1412/11/19</t>
        </is>
      </c>
      <c r="F4061" s="134" t="inlineStr">
        <is>
          <t>1412/11</t>
        </is>
      </c>
      <c r="G4061" s="61" t="inlineStr">
        <is>
          <t>بهمن</t>
        </is>
      </c>
      <c r="H4061" s="134" t="inlineStr">
        <is>
          <t>زمستان</t>
        </is>
      </c>
      <c r="I4061" s="134" t="inlineStr">
        <is>
          <t>سه‌شنبه</t>
        </is>
      </c>
      <c r="J4061" s="134" t="inlineStr">
        <is>
          <t>بله</t>
        </is>
      </c>
    </row>
    <row r="4062">
      <c r="A4062" s="173" t="n">
        <v>48983</v>
      </c>
      <c r="B4062" s="174" t="n">
        <v>48983</v>
      </c>
      <c r="C4062" s="174" t="n">
        <v>1412</v>
      </c>
      <c r="D4062" s="174" t="n">
        <v>11</v>
      </c>
      <c r="E4062" s="175" t="inlineStr">
        <is>
          <t>1412/11/20</t>
        </is>
      </c>
      <c r="F4062" s="128" t="inlineStr">
        <is>
          <t>1412/11</t>
        </is>
      </c>
      <c r="G4062" s="58" t="inlineStr">
        <is>
          <t>بهمن</t>
        </is>
      </c>
      <c r="H4062" s="128" t="inlineStr">
        <is>
          <t>زمستان</t>
        </is>
      </c>
      <c r="I4062" s="128" t="inlineStr">
        <is>
          <t>چهارشنبه</t>
        </is>
      </c>
      <c r="J4062" s="128" t="inlineStr">
        <is>
          <t>بله</t>
        </is>
      </c>
    </row>
    <row r="4063">
      <c r="A4063" s="176" t="n">
        <v>48984</v>
      </c>
      <c r="B4063" s="177" t="n">
        <v>48984</v>
      </c>
      <c r="C4063" s="177" t="n">
        <v>1412</v>
      </c>
      <c r="D4063" s="177" t="n">
        <v>11</v>
      </c>
      <c r="E4063" s="178" t="inlineStr">
        <is>
          <t>1412/11/21</t>
        </is>
      </c>
      <c r="F4063" s="134" t="inlineStr">
        <is>
          <t>1412/11</t>
        </is>
      </c>
      <c r="G4063" s="61" t="inlineStr">
        <is>
          <t>بهمن</t>
        </is>
      </c>
      <c r="H4063" s="134" t="inlineStr">
        <is>
          <t>زمستان</t>
        </is>
      </c>
      <c r="I4063" s="134" t="inlineStr">
        <is>
          <t>پنجشنبه</t>
        </is>
      </c>
      <c r="J4063" s="134" t="inlineStr">
        <is>
          <t>بله</t>
        </is>
      </c>
    </row>
    <row r="4064">
      <c r="A4064" s="173" t="n">
        <v>48985</v>
      </c>
      <c r="B4064" s="174" t="n">
        <v>48985</v>
      </c>
      <c r="C4064" s="174" t="n">
        <v>1412</v>
      </c>
      <c r="D4064" s="174" t="n">
        <v>11</v>
      </c>
      <c r="E4064" s="175" t="inlineStr">
        <is>
          <t>1412/11/22</t>
        </is>
      </c>
      <c r="F4064" s="128" t="inlineStr">
        <is>
          <t>1412/11</t>
        </is>
      </c>
      <c r="G4064" s="58" t="inlineStr">
        <is>
          <t>بهمن</t>
        </is>
      </c>
      <c r="H4064" s="128" t="inlineStr">
        <is>
          <t>زمستان</t>
        </is>
      </c>
      <c r="I4064" s="128" t="inlineStr">
        <is>
          <t>جمعه</t>
        </is>
      </c>
      <c r="J4064" s="128" t="inlineStr">
        <is>
          <t>بله</t>
        </is>
      </c>
    </row>
    <row r="4065">
      <c r="A4065" s="176" t="n">
        <v>48986</v>
      </c>
      <c r="B4065" s="177" t="n">
        <v>48986</v>
      </c>
      <c r="C4065" s="177" t="n">
        <v>1412</v>
      </c>
      <c r="D4065" s="177" t="n">
        <v>11</v>
      </c>
      <c r="E4065" s="178" t="inlineStr">
        <is>
          <t>1412/11/23</t>
        </is>
      </c>
      <c r="F4065" s="134" t="inlineStr">
        <is>
          <t>1412/11</t>
        </is>
      </c>
      <c r="G4065" s="61" t="inlineStr">
        <is>
          <t>بهمن</t>
        </is>
      </c>
      <c r="H4065" s="134" t="inlineStr">
        <is>
          <t>زمستان</t>
        </is>
      </c>
      <c r="I4065" s="134" t="inlineStr">
        <is>
          <t>شنبه</t>
        </is>
      </c>
      <c r="J4065" s="134" t="inlineStr">
        <is>
          <t>خیر</t>
        </is>
      </c>
    </row>
    <row r="4066">
      <c r="A4066" s="173" t="n">
        <v>48987</v>
      </c>
      <c r="B4066" s="174" t="n">
        <v>48987</v>
      </c>
      <c r="C4066" s="174" t="n">
        <v>1412</v>
      </c>
      <c r="D4066" s="174" t="n">
        <v>11</v>
      </c>
      <c r="E4066" s="175" t="inlineStr">
        <is>
          <t>1412/11/24</t>
        </is>
      </c>
      <c r="F4066" s="128" t="inlineStr">
        <is>
          <t>1412/11</t>
        </is>
      </c>
      <c r="G4066" s="58" t="inlineStr">
        <is>
          <t>بهمن</t>
        </is>
      </c>
      <c r="H4066" s="128" t="inlineStr">
        <is>
          <t>زمستان</t>
        </is>
      </c>
      <c r="I4066" s="128" t="inlineStr">
        <is>
          <t>یکشنبه</t>
        </is>
      </c>
      <c r="J4066" s="128" t="inlineStr">
        <is>
          <t>خیر</t>
        </is>
      </c>
    </row>
    <row r="4067">
      <c r="A4067" s="176" t="n">
        <v>48988</v>
      </c>
      <c r="B4067" s="177" t="n">
        <v>48988</v>
      </c>
      <c r="C4067" s="177" t="n">
        <v>1412</v>
      </c>
      <c r="D4067" s="177" t="n">
        <v>11</v>
      </c>
      <c r="E4067" s="178" t="inlineStr">
        <is>
          <t>1412/11/25</t>
        </is>
      </c>
      <c r="F4067" s="134" t="inlineStr">
        <is>
          <t>1412/11</t>
        </is>
      </c>
      <c r="G4067" s="61" t="inlineStr">
        <is>
          <t>بهمن</t>
        </is>
      </c>
      <c r="H4067" s="134" t="inlineStr">
        <is>
          <t>زمستان</t>
        </is>
      </c>
      <c r="I4067" s="134" t="inlineStr">
        <is>
          <t>دوشنبه</t>
        </is>
      </c>
      <c r="J4067" s="134" t="inlineStr">
        <is>
          <t>بله</t>
        </is>
      </c>
    </row>
    <row r="4068">
      <c r="A4068" s="173" t="n">
        <v>48989</v>
      </c>
      <c r="B4068" s="174" t="n">
        <v>48989</v>
      </c>
      <c r="C4068" s="174" t="n">
        <v>1412</v>
      </c>
      <c r="D4068" s="174" t="n">
        <v>11</v>
      </c>
      <c r="E4068" s="175" t="inlineStr">
        <is>
          <t>1412/11/26</t>
        </is>
      </c>
      <c r="F4068" s="128" t="inlineStr">
        <is>
          <t>1412/11</t>
        </is>
      </c>
      <c r="G4068" s="58" t="inlineStr">
        <is>
          <t>بهمن</t>
        </is>
      </c>
      <c r="H4068" s="128" t="inlineStr">
        <is>
          <t>زمستان</t>
        </is>
      </c>
      <c r="I4068" s="128" t="inlineStr">
        <is>
          <t>سه‌شنبه</t>
        </is>
      </c>
      <c r="J4068" s="128" t="inlineStr">
        <is>
          <t>بله</t>
        </is>
      </c>
    </row>
    <row r="4069">
      <c r="A4069" s="176" t="n">
        <v>48990</v>
      </c>
      <c r="B4069" s="177" t="n">
        <v>48990</v>
      </c>
      <c r="C4069" s="177" t="n">
        <v>1412</v>
      </c>
      <c r="D4069" s="177" t="n">
        <v>11</v>
      </c>
      <c r="E4069" s="178" t="inlineStr">
        <is>
          <t>1412/11/27</t>
        </is>
      </c>
      <c r="F4069" s="134" t="inlineStr">
        <is>
          <t>1412/11</t>
        </is>
      </c>
      <c r="G4069" s="61" t="inlineStr">
        <is>
          <t>بهمن</t>
        </is>
      </c>
      <c r="H4069" s="134" t="inlineStr">
        <is>
          <t>زمستان</t>
        </is>
      </c>
      <c r="I4069" s="134" t="inlineStr">
        <is>
          <t>چهارشنبه</t>
        </is>
      </c>
      <c r="J4069" s="134" t="inlineStr">
        <is>
          <t>بله</t>
        </is>
      </c>
    </row>
    <row r="4070">
      <c r="A4070" s="173" t="n">
        <v>48991</v>
      </c>
      <c r="B4070" s="174" t="n">
        <v>48991</v>
      </c>
      <c r="C4070" s="174" t="n">
        <v>1412</v>
      </c>
      <c r="D4070" s="174" t="n">
        <v>11</v>
      </c>
      <c r="E4070" s="175" t="inlineStr">
        <is>
          <t>1412/11/28</t>
        </is>
      </c>
      <c r="F4070" s="128" t="inlineStr">
        <is>
          <t>1412/11</t>
        </is>
      </c>
      <c r="G4070" s="58" t="inlineStr">
        <is>
          <t>بهمن</t>
        </is>
      </c>
      <c r="H4070" s="128" t="inlineStr">
        <is>
          <t>زمستان</t>
        </is>
      </c>
      <c r="I4070" s="128" t="inlineStr">
        <is>
          <t>پنجشنبه</t>
        </is>
      </c>
      <c r="J4070" s="128" t="inlineStr">
        <is>
          <t>بله</t>
        </is>
      </c>
    </row>
    <row r="4071">
      <c r="A4071" s="176" t="n">
        <v>48992</v>
      </c>
      <c r="B4071" s="177" t="n">
        <v>48992</v>
      </c>
      <c r="C4071" s="177" t="n">
        <v>1412</v>
      </c>
      <c r="D4071" s="177" t="n">
        <v>11</v>
      </c>
      <c r="E4071" s="178" t="inlineStr">
        <is>
          <t>1412/11/29</t>
        </is>
      </c>
      <c r="F4071" s="134" t="inlineStr">
        <is>
          <t>1412/11</t>
        </is>
      </c>
      <c r="G4071" s="61" t="inlineStr">
        <is>
          <t>بهمن</t>
        </is>
      </c>
      <c r="H4071" s="134" t="inlineStr">
        <is>
          <t>زمستان</t>
        </is>
      </c>
      <c r="I4071" s="134" t="inlineStr">
        <is>
          <t>جمعه</t>
        </is>
      </c>
      <c r="J4071" s="134" t="inlineStr">
        <is>
          <t>بله</t>
        </is>
      </c>
    </row>
    <row r="4072">
      <c r="A4072" s="173" t="n">
        <v>48993</v>
      </c>
      <c r="B4072" s="174" t="n">
        <v>48993</v>
      </c>
      <c r="C4072" s="174" t="n">
        <v>1412</v>
      </c>
      <c r="D4072" s="174" t="n">
        <v>11</v>
      </c>
      <c r="E4072" s="175" t="inlineStr">
        <is>
          <t>1412/11/30</t>
        </is>
      </c>
      <c r="F4072" s="128" t="inlineStr">
        <is>
          <t>1412/11</t>
        </is>
      </c>
      <c r="G4072" s="58" t="inlineStr">
        <is>
          <t>بهمن</t>
        </is>
      </c>
      <c r="H4072" s="128" t="inlineStr">
        <is>
          <t>زمستان</t>
        </is>
      </c>
      <c r="I4072" s="128" t="inlineStr">
        <is>
          <t>شنبه</t>
        </is>
      </c>
      <c r="J4072" s="128" t="inlineStr">
        <is>
          <t>خیر</t>
        </is>
      </c>
    </row>
    <row r="4073">
      <c r="A4073" s="176" t="n">
        <v>48994</v>
      </c>
      <c r="B4073" s="177" t="n">
        <v>48994</v>
      </c>
      <c r="C4073" s="177" t="n">
        <v>1412</v>
      </c>
      <c r="D4073" s="177" t="n">
        <v>12</v>
      </c>
      <c r="E4073" s="178" t="inlineStr">
        <is>
          <t>1412/12/01</t>
        </is>
      </c>
      <c r="F4073" s="134" t="inlineStr">
        <is>
          <t>1412/12</t>
        </is>
      </c>
      <c r="G4073" s="61" t="inlineStr">
        <is>
          <t>اسفند</t>
        </is>
      </c>
      <c r="H4073" s="134" t="inlineStr">
        <is>
          <t>زمستان</t>
        </is>
      </c>
      <c r="I4073" s="134" t="inlineStr">
        <is>
          <t>یکشنبه</t>
        </is>
      </c>
      <c r="J4073" s="134" t="inlineStr">
        <is>
          <t>خیر</t>
        </is>
      </c>
    </row>
    <row r="4074">
      <c r="A4074" s="173" t="n">
        <v>48995</v>
      </c>
      <c r="B4074" s="174" t="n">
        <v>48995</v>
      </c>
      <c r="C4074" s="174" t="n">
        <v>1412</v>
      </c>
      <c r="D4074" s="174" t="n">
        <v>12</v>
      </c>
      <c r="E4074" s="175" t="inlineStr">
        <is>
          <t>1412/12/02</t>
        </is>
      </c>
      <c r="F4074" s="128" t="inlineStr">
        <is>
          <t>1412/12</t>
        </is>
      </c>
      <c r="G4074" s="58" t="inlineStr">
        <is>
          <t>اسفند</t>
        </is>
      </c>
      <c r="H4074" s="128" t="inlineStr">
        <is>
          <t>زمستان</t>
        </is>
      </c>
      <c r="I4074" s="128" t="inlineStr">
        <is>
          <t>دوشنبه</t>
        </is>
      </c>
      <c r="J4074" s="128" t="inlineStr">
        <is>
          <t>بله</t>
        </is>
      </c>
    </row>
    <row r="4075">
      <c r="A4075" s="176" t="n">
        <v>48996</v>
      </c>
      <c r="B4075" s="177" t="n">
        <v>48996</v>
      </c>
      <c r="C4075" s="177" t="n">
        <v>1412</v>
      </c>
      <c r="D4075" s="177" t="n">
        <v>12</v>
      </c>
      <c r="E4075" s="178" t="inlineStr">
        <is>
          <t>1412/12/03</t>
        </is>
      </c>
      <c r="F4075" s="134" t="inlineStr">
        <is>
          <t>1412/12</t>
        </is>
      </c>
      <c r="G4075" s="61" t="inlineStr">
        <is>
          <t>اسفند</t>
        </is>
      </c>
      <c r="H4075" s="134" t="inlineStr">
        <is>
          <t>زمستان</t>
        </is>
      </c>
      <c r="I4075" s="134" t="inlineStr">
        <is>
          <t>سه‌شنبه</t>
        </is>
      </c>
      <c r="J4075" s="134" t="inlineStr">
        <is>
          <t>بله</t>
        </is>
      </c>
    </row>
    <row r="4076">
      <c r="A4076" s="173" t="n">
        <v>48997</v>
      </c>
      <c r="B4076" s="174" t="n">
        <v>48997</v>
      </c>
      <c r="C4076" s="174" t="n">
        <v>1412</v>
      </c>
      <c r="D4076" s="174" t="n">
        <v>12</v>
      </c>
      <c r="E4076" s="175" t="inlineStr">
        <is>
          <t>1412/12/04</t>
        </is>
      </c>
      <c r="F4076" s="128" t="inlineStr">
        <is>
          <t>1412/12</t>
        </is>
      </c>
      <c r="G4076" s="58" t="inlineStr">
        <is>
          <t>اسفند</t>
        </is>
      </c>
      <c r="H4076" s="128" t="inlineStr">
        <is>
          <t>زمستان</t>
        </is>
      </c>
      <c r="I4076" s="128" t="inlineStr">
        <is>
          <t>چهارشنبه</t>
        </is>
      </c>
      <c r="J4076" s="128" t="inlineStr">
        <is>
          <t>بله</t>
        </is>
      </c>
    </row>
    <row r="4077">
      <c r="A4077" s="176" t="n">
        <v>48998</v>
      </c>
      <c r="B4077" s="177" t="n">
        <v>48998</v>
      </c>
      <c r="C4077" s="177" t="n">
        <v>1412</v>
      </c>
      <c r="D4077" s="177" t="n">
        <v>12</v>
      </c>
      <c r="E4077" s="178" t="inlineStr">
        <is>
          <t>1412/12/05</t>
        </is>
      </c>
      <c r="F4077" s="134" t="inlineStr">
        <is>
          <t>1412/12</t>
        </is>
      </c>
      <c r="G4077" s="61" t="inlineStr">
        <is>
          <t>اسفند</t>
        </is>
      </c>
      <c r="H4077" s="134" t="inlineStr">
        <is>
          <t>زمستان</t>
        </is>
      </c>
      <c r="I4077" s="134" t="inlineStr">
        <is>
          <t>پنجشنبه</t>
        </is>
      </c>
      <c r="J4077" s="134" t="inlineStr">
        <is>
          <t>بله</t>
        </is>
      </c>
    </row>
    <row r="4078">
      <c r="A4078" s="173" t="n">
        <v>48999</v>
      </c>
      <c r="B4078" s="174" t="n">
        <v>48999</v>
      </c>
      <c r="C4078" s="174" t="n">
        <v>1412</v>
      </c>
      <c r="D4078" s="174" t="n">
        <v>12</v>
      </c>
      <c r="E4078" s="175" t="inlineStr">
        <is>
          <t>1412/12/06</t>
        </is>
      </c>
      <c r="F4078" s="128" t="inlineStr">
        <is>
          <t>1412/12</t>
        </is>
      </c>
      <c r="G4078" s="58" t="inlineStr">
        <is>
          <t>اسفند</t>
        </is>
      </c>
      <c r="H4078" s="128" t="inlineStr">
        <is>
          <t>زمستان</t>
        </is>
      </c>
      <c r="I4078" s="128" t="inlineStr">
        <is>
          <t>جمعه</t>
        </is>
      </c>
      <c r="J4078" s="128" t="inlineStr">
        <is>
          <t>بله</t>
        </is>
      </c>
    </row>
    <row r="4079">
      <c r="A4079" s="176" t="n">
        <v>49000</v>
      </c>
      <c r="B4079" s="177" t="n">
        <v>49000</v>
      </c>
      <c r="C4079" s="177" t="n">
        <v>1412</v>
      </c>
      <c r="D4079" s="177" t="n">
        <v>12</v>
      </c>
      <c r="E4079" s="178" t="inlineStr">
        <is>
          <t>1412/12/07</t>
        </is>
      </c>
      <c r="F4079" s="134" t="inlineStr">
        <is>
          <t>1412/12</t>
        </is>
      </c>
      <c r="G4079" s="61" t="inlineStr">
        <is>
          <t>اسفند</t>
        </is>
      </c>
      <c r="H4079" s="134" t="inlineStr">
        <is>
          <t>زمستان</t>
        </is>
      </c>
      <c r="I4079" s="134" t="inlineStr">
        <is>
          <t>شنبه</t>
        </is>
      </c>
      <c r="J4079" s="134" t="inlineStr">
        <is>
          <t>خیر</t>
        </is>
      </c>
    </row>
    <row r="4080">
      <c r="A4080" s="173" t="n">
        <v>49001</v>
      </c>
      <c r="B4080" s="174" t="n">
        <v>49001</v>
      </c>
      <c r="C4080" s="174" t="n">
        <v>1412</v>
      </c>
      <c r="D4080" s="174" t="n">
        <v>12</v>
      </c>
      <c r="E4080" s="175" t="inlineStr">
        <is>
          <t>1412/12/08</t>
        </is>
      </c>
      <c r="F4080" s="128" t="inlineStr">
        <is>
          <t>1412/12</t>
        </is>
      </c>
      <c r="G4080" s="58" t="inlineStr">
        <is>
          <t>اسفند</t>
        </is>
      </c>
      <c r="H4080" s="128" t="inlineStr">
        <is>
          <t>زمستان</t>
        </is>
      </c>
      <c r="I4080" s="128" t="inlineStr">
        <is>
          <t>یکشنبه</t>
        </is>
      </c>
      <c r="J4080" s="128" t="inlineStr">
        <is>
          <t>خیر</t>
        </is>
      </c>
    </row>
    <row r="4081">
      <c r="A4081" s="176" t="n">
        <v>49002</v>
      </c>
      <c r="B4081" s="177" t="n">
        <v>49002</v>
      </c>
      <c r="C4081" s="177" t="n">
        <v>1412</v>
      </c>
      <c r="D4081" s="177" t="n">
        <v>12</v>
      </c>
      <c r="E4081" s="178" t="inlineStr">
        <is>
          <t>1412/12/09</t>
        </is>
      </c>
      <c r="F4081" s="134" t="inlineStr">
        <is>
          <t>1412/12</t>
        </is>
      </c>
      <c r="G4081" s="61" t="inlineStr">
        <is>
          <t>اسفند</t>
        </is>
      </c>
      <c r="H4081" s="134" t="inlineStr">
        <is>
          <t>زمستان</t>
        </is>
      </c>
      <c r="I4081" s="134" t="inlineStr">
        <is>
          <t>دوشنبه</t>
        </is>
      </c>
      <c r="J4081" s="134" t="inlineStr">
        <is>
          <t>بله</t>
        </is>
      </c>
    </row>
    <row r="4082">
      <c r="A4082" s="173" t="n">
        <v>49003</v>
      </c>
      <c r="B4082" s="174" t="n">
        <v>49003</v>
      </c>
      <c r="C4082" s="174" t="n">
        <v>1412</v>
      </c>
      <c r="D4082" s="174" t="n">
        <v>12</v>
      </c>
      <c r="E4082" s="175" t="inlineStr">
        <is>
          <t>1412/12/10</t>
        </is>
      </c>
      <c r="F4082" s="128" t="inlineStr">
        <is>
          <t>1412/12</t>
        </is>
      </c>
      <c r="G4082" s="58" t="inlineStr">
        <is>
          <t>اسفند</t>
        </is>
      </c>
      <c r="H4082" s="128" t="inlineStr">
        <is>
          <t>زمستان</t>
        </is>
      </c>
      <c r="I4082" s="128" t="inlineStr">
        <is>
          <t>سه‌شنبه</t>
        </is>
      </c>
      <c r="J4082" s="128" t="inlineStr">
        <is>
          <t>بله</t>
        </is>
      </c>
    </row>
    <row r="4083">
      <c r="A4083" s="176" t="n">
        <v>49004</v>
      </c>
      <c r="B4083" s="177" t="n">
        <v>49004</v>
      </c>
      <c r="C4083" s="177" t="n">
        <v>1412</v>
      </c>
      <c r="D4083" s="177" t="n">
        <v>12</v>
      </c>
      <c r="E4083" s="178" t="inlineStr">
        <is>
          <t>1412/12/11</t>
        </is>
      </c>
      <c r="F4083" s="134" t="inlineStr">
        <is>
          <t>1412/12</t>
        </is>
      </c>
      <c r="G4083" s="61" t="inlineStr">
        <is>
          <t>اسفند</t>
        </is>
      </c>
      <c r="H4083" s="134" t="inlineStr">
        <is>
          <t>زمستان</t>
        </is>
      </c>
      <c r="I4083" s="134" t="inlineStr">
        <is>
          <t>چهارشنبه</t>
        </is>
      </c>
      <c r="J4083" s="134" t="inlineStr">
        <is>
          <t>بله</t>
        </is>
      </c>
    </row>
    <row r="4084">
      <c r="A4084" s="173" t="n">
        <v>49005</v>
      </c>
      <c r="B4084" s="174" t="n">
        <v>49005</v>
      </c>
      <c r="C4084" s="174" t="n">
        <v>1412</v>
      </c>
      <c r="D4084" s="174" t="n">
        <v>12</v>
      </c>
      <c r="E4084" s="175" t="inlineStr">
        <is>
          <t>1412/12/12</t>
        </is>
      </c>
      <c r="F4084" s="128" t="inlineStr">
        <is>
          <t>1412/12</t>
        </is>
      </c>
      <c r="G4084" s="58" t="inlineStr">
        <is>
          <t>اسفند</t>
        </is>
      </c>
      <c r="H4084" s="128" t="inlineStr">
        <is>
          <t>زمستان</t>
        </is>
      </c>
      <c r="I4084" s="128" t="inlineStr">
        <is>
          <t>پنجشنبه</t>
        </is>
      </c>
      <c r="J4084" s="128" t="inlineStr">
        <is>
          <t>بله</t>
        </is>
      </c>
    </row>
    <row r="4085">
      <c r="A4085" s="176" t="n">
        <v>49006</v>
      </c>
      <c r="B4085" s="177" t="n">
        <v>49006</v>
      </c>
      <c r="C4085" s="177" t="n">
        <v>1412</v>
      </c>
      <c r="D4085" s="177" t="n">
        <v>12</v>
      </c>
      <c r="E4085" s="178" t="inlineStr">
        <is>
          <t>1412/12/13</t>
        </is>
      </c>
      <c r="F4085" s="134" t="inlineStr">
        <is>
          <t>1412/12</t>
        </is>
      </c>
      <c r="G4085" s="61" t="inlineStr">
        <is>
          <t>اسفند</t>
        </is>
      </c>
      <c r="H4085" s="134" t="inlineStr">
        <is>
          <t>زمستان</t>
        </is>
      </c>
      <c r="I4085" s="134" t="inlineStr">
        <is>
          <t>جمعه</t>
        </is>
      </c>
      <c r="J4085" s="134" t="inlineStr">
        <is>
          <t>بله</t>
        </is>
      </c>
    </row>
    <row r="4086">
      <c r="A4086" s="173" t="n">
        <v>49007</v>
      </c>
      <c r="B4086" s="174" t="n">
        <v>49007</v>
      </c>
      <c r="C4086" s="174" t="n">
        <v>1412</v>
      </c>
      <c r="D4086" s="174" t="n">
        <v>12</v>
      </c>
      <c r="E4086" s="175" t="inlineStr">
        <is>
          <t>1412/12/14</t>
        </is>
      </c>
      <c r="F4086" s="128" t="inlineStr">
        <is>
          <t>1412/12</t>
        </is>
      </c>
      <c r="G4086" s="58" t="inlineStr">
        <is>
          <t>اسفند</t>
        </is>
      </c>
      <c r="H4086" s="128" t="inlineStr">
        <is>
          <t>زمستان</t>
        </is>
      </c>
      <c r="I4086" s="128" t="inlineStr">
        <is>
          <t>شنبه</t>
        </is>
      </c>
      <c r="J4086" s="128" t="inlineStr">
        <is>
          <t>خیر</t>
        </is>
      </c>
    </row>
    <row r="4087">
      <c r="A4087" s="176" t="n">
        <v>49008</v>
      </c>
      <c r="B4087" s="177" t="n">
        <v>49008</v>
      </c>
      <c r="C4087" s="177" t="n">
        <v>1412</v>
      </c>
      <c r="D4087" s="177" t="n">
        <v>12</v>
      </c>
      <c r="E4087" s="178" t="inlineStr">
        <is>
          <t>1412/12/15</t>
        </is>
      </c>
      <c r="F4087" s="134" t="inlineStr">
        <is>
          <t>1412/12</t>
        </is>
      </c>
      <c r="G4087" s="61" t="inlineStr">
        <is>
          <t>اسفند</t>
        </is>
      </c>
      <c r="H4087" s="134" t="inlineStr">
        <is>
          <t>زمستان</t>
        </is>
      </c>
      <c r="I4087" s="134" t="inlineStr">
        <is>
          <t>یکشنبه</t>
        </is>
      </c>
      <c r="J4087" s="134" t="inlineStr">
        <is>
          <t>خیر</t>
        </is>
      </c>
    </row>
    <row r="4088">
      <c r="A4088" s="173" t="n">
        <v>49009</v>
      </c>
      <c r="B4088" s="174" t="n">
        <v>49009</v>
      </c>
      <c r="C4088" s="174" t="n">
        <v>1412</v>
      </c>
      <c r="D4088" s="174" t="n">
        <v>12</v>
      </c>
      <c r="E4088" s="175" t="inlineStr">
        <is>
          <t>1412/12/16</t>
        </is>
      </c>
      <c r="F4088" s="128" t="inlineStr">
        <is>
          <t>1412/12</t>
        </is>
      </c>
      <c r="G4088" s="58" t="inlineStr">
        <is>
          <t>اسفند</t>
        </is>
      </c>
      <c r="H4088" s="128" t="inlineStr">
        <is>
          <t>زمستان</t>
        </is>
      </c>
      <c r="I4088" s="128" t="inlineStr">
        <is>
          <t>دوشنبه</t>
        </is>
      </c>
      <c r="J4088" s="128" t="inlineStr">
        <is>
          <t>بله</t>
        </is>
      </c>
    </row>
    <row r="4089">
      <c r="A4089" s="176" t="n">
        <v>49010</v>
      </c>
      <c r="B4089" s="177" t="n">
        <v>49010</v>
      </c>
      <c r="C4089" s="177" t="n">
        <v>1412</v>
      </c>
      <c r="D4089" s="177" t="n">
        <v>12</v>
      </c>
      <c r="E4089" s="178" t="inlineStr">
        <is>
          <t>1412/12/17</t>
        </is>
      </c>
      <c r="F4089" s="134" t="inlineStr">
        <is>
          <t>1412/12</t>
        </is>
      </c>
      <c r="G4089" s="61" t="inlineStr">
        <is>
          <t>اسفند</t>
        </is>
      </c>
      <c r="H4089" s="134" t="inlineStr">
        <is>
          <t>زمستان</t>
        </is>
      </c>
      <c r="I4089" s="134" t="inlineStr">
        <is>
          <t>سه‌شنبه</t>
        </is>
      </c>
      <c r="J4089" s="134" t="inlineStr">
        <is>
          <t>بله</t>
        </is>
      </c>
    </row>
    <row r="4090">
      <c r="A4090" s="173" t="n">
        <v>49011</v>
      </c>
      <c r="B4090" s="174" t="n">
        <v>49011</v>
      </c>
      <c r="C4090" s="174" t="n">
        <v>1412</v>
      </c>
      <c r="D4090" s="174" t="n">
        <v>12</v>
      </c>
      <c r="E4090" s="175" t="inlineStr">
        <is>
          <t>1412/12/18</t>
        </is>
      </c>
      <c r="F4090" s="128" t="inlineStr">
        <is>
          <t>1412/12</t>
        </is>
      </c>
      <c r="G4090" s="58" t="inlineStr">
        <is>
          <t>اسفند</t>
        </is>
      </c>
      <c r="H4090" s="128" t="inlineStr">
        <is>
          <t>زمستان</t>
        </is>
      </c>
      <c r="I4090" s="128" t="inlineStr">
        <is>
          <t>چهارشنبه</t>
        </is>
      </c>
      <c r="J4090" s="128" t="inlineStr">
        <is>
          <t>بله</t>
        </is>
      </c>
    </row>
    <row r="4091">
      <c r="A4091" s="176" t="n">
        <v>49012</v>
      </c>
      <c r="B4091" s="177" t="n">
        <v>49012</v>
      </c>
      <c r="C4091" s="177" t="n">
        <v>1412</v>
      </c>
      <c r="D4091" s="177" t="n">
        <v>12</v>
      </c>
      <c r="E4091" s="178" t="inlineStr">
        <is>
          <t>1412/12/19</t>
        </is>
      </c>
      <c r="F4091" s="134" t="inlineStr">
        <is>
          <t>1412/12</t>
        </is>
      </c>
      <c r="G4091" s="61" t="inlineStr">
        <is>
          <t>اسفند</t>
        </is>
      </c>
      <c r="H4091" s="134" t="inlineStr">
        <is>
          <t>زمستان</t>
        </is>
      </c>
      <c r="I4091" s="134" t="inlineStr">
        <is>
          <t>پنجشنبه</t>
        </is>
      </c>
      <c r="J4091" s="134" t="inlineStr">
        <is>
          <t>بله</t>
        </is>
      </c>
    </row>
    <row r="4092">
      <c r="A4092" s="173" t="n">
        <v>49013</v>
      </c>
      <c r="B4092" s="174" t="n">
        <v>49013</v>
      </c>
      <c r="C4092" s="174" t="n">
        <v>1412</v>
      </c>
      <c r="D4092" s="174" t="n">
        <v>12</v>
      </c>
      <c r="E4092" s="175" t="inlineStr">
        <is>
          <t>1412/12/20</t>
        </is>
      </c>
      <c r="F4092" s="128" t="inlineStr">
        <is>
          <t>1412/12</t>
        </is>
      </c>
      <c r="G4092" s="58" t="inlineStr">
        <is>
          <t>اسفند</t>
        </is>
      </c>
      <c r="H4092" s="128" t="inlineStr">
        <is>
          <t>زمستان</t>
        </is>
      </c>
      <c r="I4092" s="128" t="inlineStr">
        <is>
          <t>جمعه</t>
        </is>
      </c>
      <c r="J4092" s="128" t="inlineStr">
        <is>
          <t>بله</t>
        </is>
      </c>
    </row>
    <row r="4093">
      <c r="A4093" s="176" t="n">
        <v>49014</v>
      </c>
      <c r="B4093" s="177" t="n">
        <v>49014</v>
      </c>
      <c r="C4093" s="177" t="n">
        <v>1412</v>
      </c>
      <c r="D4093" s="177" t="n">
        <v>12</v>
      </c>
      <c r="E4093" s="178" t="inlineStr">
        <is>
          <t>1412/12/21</t>
        </is>
      </c>
      <c r="F4093" s="134" t="inlineStr">
        <is>
          <t>1412/12</t>
        </is>
      </c>
      <c r="G4093" s="61" t="inlineStr">
        <is>
          <t>اسفند</t>
        </is>
      </c>
      <c r="H4093" s="134" t="inlineStr">
        <is>
          <t>زمستان</t>
        </is>
      </c>
      <c r="I4093" s="134" t="inlineStr">
        <is>
          <t>شنبه</t>
        </is>
      </c>
      <c r="J4093" s="134" t="inlineStr">
        <is>
          <t>خیر</t>
        </is>
      </c>
    </row>
    <row r="4094">
      <c r="A4094" s="173" t="n">
        <v>49015</v>
      </c>
      <c r="B4094" s="174" t="n">
        <v>49015</v>
      </c>
      <c r="C4094" s="174" t="n">
        <v>1412</v>
      </c>
      <c r="D4094" s="174" t="n">
        <v>12</v>
      </c>
      <c r="E4094" s="175" t="inlineStr">
        <is>
          <t>1412/12/22</t>
        </is>
      </c>
      <c r="F4094" s="128" t="inlineStr">
        <is>
          <t>1412/12</t>
        </is>
      </c>
      <c r="G4094" s="58" t="inlineStr">
        <is>
          <t>اسفند</t>
        </is>
      </c>
      <c r="H4094" s="128" t="inlineStr">
        <is>
          <t>زمستان</t>
        </is>
      </c>
      <c r="I4094" s="128" t="inlineStr">
        <is>
          <t>یکشنبه</t>
        </is>
      </c>
      <c r="J4094" s="128" t="inlineStr">
        <is>
          <t>خیر</t>
        </is>
      </c>
    </row>
    <row r="4095">
      <c r="A4095" s="176" t="n">
        <v>49016</v>
      </c>
      <c r="B4095" s="177" t="n">
        <v>49016</v>
      </c>
      <c r="C4095" s="177" t="n">
        <v>1412</v>
      </c>
      <c r="D4095" s="177" t="n">
        <v>12</v>
      </c>
      <c r="E4095" s="178" t="inlineStr">
        <is>
          <t>1412/12/23</t>
        </is>
      </c>
      <c r="F4095" s="134" t="inlineStr">
        <is>
          <t>1412/12</t>
        </is>
      </c>
      <c r="G4095" s="61" t="inlineStr">
        <is>
          <t>اسفند</t>
        </is>
      </c>
      <c r="H4095" s="134" t="inlineStr">
        <is>
          <t>زمستان</t>
        </is>
      </c>
      <c r="I4095" s="134" t="inlineStr">
        <is>
          <t>دوشنبه</t>
        </is>
      </c>
      <c r="J4095" s="134" t="inlineStr">
        <is>
          <t>بله</t>
        </is>
      </c>
    </row>
    <row r="4096">
      <c r="A4096" s="173" t="n">
        <v>49017</v>
      </c>
      <c r="B4096" s="174" t="n">
        <v>49017</v>
      </c>
      <c r="C4096" s="174" t="n">
        <v>1412</v>
      </c>
      <c r="D4096" s="174" t="n">
        <v>12</v>
      </c>
      <c r="E4096" s="175" t="inlineStr">
        <is>
          <t>1412/12/24</t>
        </is>
      </c>
      <c r="F4096" s="128" t="inlineStr">
        <is>
          <t>1412/12</t>
        </is>
      </c>
      <c r="G4096" s="58" t="inlineStr">
        <is>
          <t>اسفند</t>
        </is>
      </c>
      <c r="H4096" s="128" t="inlineStr">
        <is>
          <t>زمستان</t>
        </is>
      </c>
      <c r="I4096" s="128" t="inlineStr">
        <is>
          <t>سه‌شنبه</t>
        </is>
      </c>
      <c r="J4096" s="128" t="inlineStr">
        <is>
          <t>بله</t>
        </is>
      </c>
    </row>
    <row r="4097">
      <c r="A4097" s="176" t="n">
        <v>49018</v>
      </c>
      <c r="B4097" s="177" t="n">
        <v>49018</v>
      </c>
      <c r="C4097" s="177" t="n">
        <v>1412</v>
      </c>
      <c r="D4097" s="177" t="n">
        <v>12</v>
      </c>
      <c r="E4097" s="178" t="inlineStr">
        <is>
          <t>1412/12/25</t>
        </is>
      </c>
      <c r="F4097" s="134" t="inlineStr">
        <is>
          <t>1412/12</t>
        </is>
      </c>
      <c r="G4097" s="61" t="inlineStr">
        <is>
          <t>اسفند</t>
        </is>
      </c>
      <c r="H4097" s="134" t="inlineStr">
        <is>
          <t>زمستان</t>
        </is>
      </c>
      <c r="I4097" s="134" t="inlineStr">
        <is>
          <t>چهارشنبه</t>
        </is>
      </c>
      <c r="J4097" s="134" t="inlineStr">
        <is>
          <t>بله</t>
        </is>
      </c>
    </row>
    <row r="4098">
      <c r="A4098" s="173" t="n">
        <v>49019</v>
      </c>
      <c r="B4098" s="174" t="n">
        <v>49019</v>
      </c>
      <c r="C4098" s="174" t="n">
        <v>1412</v>
      </c>
      <c r="D4098" s="174" t="n">
        <v>12</v>
      </c>
      <c r="E4098" s="175" t="inlineStr">
        <is>
          <t>1412/12/26</t>
        </is>
      </c>
      <c r="F4098" s="128" t="inlineStr">
        <is>
          <t>1412/12</t>
        </is>
      </c>
      <c r="G4098" s="58" t="inlineStr">
        <is>
          <t>اسفند</t>
        </is>
      </c>
      <c r="H4098" s="128" t="inlineStr">
        <is>
          <t>زمستان</t>
        </is>
      </c>
      <c r="I4098" s="128" t="inlineStr">
        <is>
          <t>پنجشنبه</t>
        </is>
      </c>
      <c r="J4098" s="128" t="inlineStr">
        <is>
          <t>بله</t>
        </is>
      </c>
    </row>
    <row r="4099">
      <c r="A4099" s="176" t="n">
        <v>49020</v>
      </c>
      <c r="B4099" s="177" t="n">
        <v>49020</v>
      </c>
      <c r="C4099" s="177" t="n">
        <v>1412</v>
      </c>
      <c r="D4099" s="177" t="n">
        <v>12</v>
      </c>
      <c r="E4099" s="178" t="inlineStr">
        <is>
          <t>1412/12/27</t>
        </is>
      </c>
      <c r="F4099" s="134" t="inlineStr">
        <is>
          <t>1412/12</t>
        </is>
      </c>
      <c r="G4099" s="61" t="inlineStr">
        <is>
          <t>اسفند</t>
        </is>
      </c>
      <c r="H4099" s="134" t="inlineStr">
        <is>
          <t>زمستان</t>
        </is>
      </c>
      <c r="I4099" s="134" t="inlineStr">
        <is>
          <t>جمعه</t>
        </is>
      </c>
      <c r="J4099" s="134" t="inlineStr">
        <is>
          <t>بله</t>
        </is>
      </c>
    </row>
    <row r="4100">
      <c r="A4100" s="173" t="n">
        <v>49021</v>
      </c>
      <c r="B4100" s="174" t="n">
        <v>49021</v>
      </c>
      <c r="C4100" s="174" t="n">
        <v>1412</v>
      </c>
      <c r="D4100" s="174" t="n">
        <v>12</v>
      </c>
      <c r="E4100" s="175" t="inlineStr">
        <is>
          <t>1412/12/28</t>
        </is>
      </c>
      <c r="F4100" s="128" t="inlineStr">
        <is>
          <t>1412/12</t>
        </is>
      </c>
      <c r="G4100" s="58" t="inlineStr">
        <is>
          <t>اسفند</t>
        </is>
      </c>
      <c r="H4100" s="128" t="inlineStr">
        <is>
          <t>زمستان</t>
        </is>
      </c>
      <c r="I4100" s="128" t="inlineStr">
        <is>
          <t>شنبه</t>
        </is>
      </c>
      <c r="J4100" s="128" t="inlineStr">
        <is>
          <t>خیر</t>
        </is>
      </c>
    </row>
    <row r="4101">
      <c r="A4101" s="176" t="n">
        <v>49022</v>
      </c>
      <c r="B4101" s="177" t="n">
        <v>49022</v>
      </c>
      <c r="C4101" s="177" t="n">
        <v>1412</v>
      </c>
      <c r="D4101" s="177" t="n">
        <v>12</v>
      </c>
      <c r="E4101" s="178" t="inlineStr">
        <is>
          <t>1412/12/29</t>
        </is>
      </c>
      <c r="F4101" s="134" t="inlineStr">
        <is>
          <t>1412/12</t>
        </is>
      </c>
      <c r="G4101" s="61" t="inlineStr">
        <is>
          <t>اسفند</t>
        </is>
      </c>
      <c r="H4101" s="134" t="inlineStr">
        <is>
          <t>زمستان</t>
        </is>
      </c>
      <c r="I4101" s="134" t="inlineStr">
        <is>
          <t>یکشنبه</t>
        </is>
      </c>
      <c r="J4101" s="134" t="inlineStr">
        <is>
          <t>خیر</t>
        </is>
      </c>
    </row>
    <row r="4102">
      <c r="A4102" s="173" t="n">
        <v>49023</v>
      </c>
      <c r="B4102" s="174" t="n">
        <v>49023</v>
      </c>
      <c r="C4102" s="174" t="n">
        <v>1412</v>
      </c>
      <c r="D4102" s="174" t="n">
        <v>12</v>
      </c>
      <c r="E4102" s="175" t="inlineStr">
        <is>
          <t>1412/12/30</t>
        </is>
      </c>
      <c r="F4102" s="128" t="inlineStr">
        <is>
          <t>1412/12</t>
        </is>
      </c>
      <c r="G4102" s="58" t="inlineStr">
        <is>
          <t>اسفند</t>
        </is>
      </c>
      <c r="H4102" s="128" t="inlineStr">
        <is>
          <t>زمستان</t>
        </is>
      </c>
      <c r="I4102" s="128" t="inlineStr">
        <is>
          <t>دوشنبه</t>
        </is>
      </c>
      <c r="J4102" s="128" t="inlineStr">
        <is>
          <t>بله</t>
        </is>
      </c>
    </row>
    <row r="4103">
      <c r="A4103" s="176" t="n">
        <v>49024</v>
      </c>
      <c r="B4103" s="177" t="n">
        <v>49024</v>
      </c>
      <c r="C4103" s="177" t="n">
        <v>1413</v>
      </c>
      <c r="D4103" s="177" t="n">
        <v>1</v>
      </c>
      <c r="E4103" s="178" t="inlineStr">
        <is>
          <t>1413/01/01</t>
        </is>
      </c>
      <c r="F4103" s="134" t="inlineStr">
        <is>
          <t>1413/01</t>
        </is>
      </c>
      <c r="G4103" s="61" t="inlineStr">
        <is>
          <t>فروردین</t>
        </is>
      </c>
      <c r="H4103" s="134" t="inlineStr">
        <is>
          <t>بهار</t>
        </is>
      </c>
      <c r="I4103" s="134" t="inlineStr">
        <is>
          <t>سه‌شنبه</t>
        </is>
      </c>
      <c r="J4103" s="134" t="inlineStr">
        <is>
          <t>بله</t>
        </is>
      </c>
    </row>
    <row r="4104">
      <c r="A4104" s="173" t="n">
        <v>49025</v>
      </c>
      <c r="B4104" s="174" t="n">
        <v>49025</v>
      </c>
      <c r="C4104" s="174" t="n">
        <v>1413</v>
      </c>
      <c r="D4104" s="174" t="n">
        <v>1</v>
      </c>
      <c r="E4104" s="175" t="inlineStr">
        <is>
          <t>1413/01/02</t>
        </is>
      </c>
      <c r="F4104" s="128" t="inlineStr">
        <is>
          <t>1413/01</t>
        </is>
      </c>
      <c r="G4104" s="58" t="inlineStr">
        <is>
          <t>فروردین</t>
        </is>
      </c>
      <c r="H4104" s="128" t="inlineStr">
        <is>
          <t>بهار</t>
        </is>
      </c>
      <c r="I4104" s="128" t="inlineStr">
        <is>
          <t>چهارشنبه</t>
        </is>
      </c>
      <c r="J4104" s="128" t="inlineStr">
        <is>
          <t>بله</t>
        </is>
      </c>
    </row>
    <row r="4105">
      <c r="A4105" s="176" t="n">
        <v>49026</v>
      </c>
      <c r="B4105" s="177" t="n">
        <v>49026</v>
      </c>
      <c r="C4105" s="177" t="n">
        <v>1413</v>
      </c>
      <c r="D4105" s="177" t="n">
        <v>1</v>
      </c>
      <c r="E4105" s="178" t="inlineStr">
        <is>
          <t>1413/01/03</t>
        </is>
      </c>
      <c r="F4105" s="134" t="inlineStr">
        <is>
          <t>1413/01</t>
        </is>
      </c>
      <c r="G4105" s="61" t="inlineStr">
        <is>
          <t>فروردین</t>
        </is>
      </c>
      <c r="H4105" s="134" t="inlineStr">
        <is>
          <t>بهار</t>
        </is>
      </c>
      <c r="I4105" s="134" t="inlineStr">
        <is>
          <t>پنجشنبه</t>
        </is>
      </c>
      <c r="J4105" s="134" t="inlineStr">
        <is>
          <t>بله</t>
        </is>
      </c>
    </row>
    <row r="4106">
      <c r="A4106" s="173" t="n">
        <v>49027</v>
      </c>
      <c r="B4106" s="174" t="n">
        <v>49027</v>
      </c>
      <c r="C4106" s="174" t="n">
        <v>1413</v>
      </c>
      <c r="D4106" s="174" t="n">
        <v>1</v>
      </c>
      <c r="E4106" s="175" t="inlineStr">
        <is>
          <t>1413/01/04</t>
        </is>
      </c>
      <c r="F4106" s="128" t="inlineStr">
        <is>
          <t>1413/01</t>
        </is>
      </c>
      <c r="G4106" s="58" t="inlineStr">
        <is>
          <t>فروردین</t>
        </is>
      </c>
      <c r="H4106" s="128" t="inlineStr">
        <is>
          <t>بهار</t>
        </is>
      </c>
      <c r="I4106" s="128" t="inlineStr">
        <is>
          <t>جمعه</t>
        </is>
      </c>
      <c r="J4106" s="128" t="inlineStr">
        <is>
          <t>بله</t>
        </is>
      </c>
    </row>
    <row r="4107">
      <c r="A4107" s="176" t="n">
        <v>49028</v>
      </c>
      <c r="B4107" s="177" t="n">
        <v>49028</v>
      </c>
      <c r="C4107" s="177" t="n">
        <v>1413</v>
      </c>
      <c r="D4107" s="177" t="n">
        <v>1</v>
      </c>
      <c r="E4107" s="178" t="inlineStr">
        <is>
          <t>1413/01/05</t>
        </is>
      </c>
      <c r="F4107" s="134" t="inlineStr">
        <is>
          <t>1413/01</t>
        </is>
      </c>
      <c r="G4107" s="61" t="inlineStr">
        <is>
          <t>فروردین</t>
        </is>
      </c>
      <c r="H4107" s="134" t="inlineStr">
        <is>
          <t>بهار</t>
        </is>
      </c>
      <c r="I4107" s="134" t="inlineStr">
        <is>
          <t>شنبه</t>
        </is>
      </c>
      <c r="J4107" s="134" t="inlineStr">
        <is>
          <t>خیر</t>
        </is>
      </c>
    </row>
    <row r="4108">
      <c r="A4108" s="173" t="n">
        <v>49029</v>
      </c>
      <c r="B4108" s="174" t="n">
        <v>49029</v>
      </c>
      <c r="C4108" s="174" t="n">
        <v>1413</v>
      </c>
      <c r="D4108" s="174" t="n">
        <v>1</v>
      </c>
      <c r="E4108" s="175" t="inlineStr">
        <is>
          <t>1413/01/06</t>
        </is>
      </c>
      <c r="F4108" s="128" t="inlineStr">
        <is>
          <t>1413/01</t>
        </is>
      </c>
      <c r="G4108" s="58" t="inlineStr">
        <is>
          <t>فروردین</t>
        </is>
      </c>
      <c r="H4108" s="128" t="inlineStr">
        <is>
          <t>بهار</t>
        </is>
      </c>
      <c r="I4108" s="128" t="inlineStr">
        <is>
          <t>یکشنبه</t>
        </is>
      </c>
      <c r="J4108" s="128" t="inlineStr">
        <is>
          <t>خیر</t>
        </is>
      </c>
    </row>
    <row r="4109">
      <c r="A4109" s="176" t="n">
        <v>49030</v>
      </c>
      <c r="B4109" s="177" t="n">
        <v>49030</v>
      </c>
      <c r="C4109" s="177" t="n">
        <v>1413</v>
      </c>
      <c r="D4109" s="177" t="n">
        <v>1</v>
      </c>
      <c r="E4109" s="178" t="inlineStr">
        <is>
          <t>1413/01/07</t>
        </is>
      </c>
      <c r="F4109" s="134" t="inlineStr">
        <is>
          <t>1413/01</t>
        </is>
      </c>
      <c r="G4109" s="61" t="inlineStr">
        <is>
          <t>فروردین</t>
        </is>
      </c>
      <c r="H4109" s="134" t="inlineStr">
        <is>
          <t>بهار</t>
        </is>
      </c>
      <c r="I4109" s="134" t="inlineStr">
        <is>
          <t>دوشنبه</t>
        </is>
      </c>
      <c r="J4109" s="134" t="inlineStr">
        <is>
          <t>بله</t>
        </is>
      </c>
    </row>
    <row r="4110">
      <c r="A4110" s="173" t="n">
        <v>49031</v>
      </c>
      <c r="B4110" s="174" t="n">
        <v>49031</v>
      </c>
      <c r="C4110" s="174" t="n">
        <v>1413</v>
      </c>
      <c r="D4110" s="174" t="n">
        <v>1</v>
      </c>
      <c r="E4110" s="175" t="inlineStr">
        <is>
          <t>1413/01/08</t>
        </is>
      </c>
      <c r="F4110" s="128" t="inlineStr">
        <is>
          <t>1413/01</t>
        </is>
      </c>
      <c r="G4110" s="58" t="inlineStr">
        <is>
          <t>فروردین</t>
        </is>
      </c>
      <c r="H4110" s="128" t="inlineStr">
        <is>
          <t>بهار</t>
        </is>
      </c>
      <c r="I4110" s="128" t="inlineStr">
        <is>
          <t>سه‌شنبه</t>
        </is>
      </c>
      <c r="J4110" s="128" t="inlineStr">
        <is>
          <t>بله</t>
        </is>
      </c>
    </row>
    <row r="4111">
      <c r="A4111" s="176" t="n">
        <v>49032</v>
      </c>
      <c r="B4111" s="177" t="n">
        <v>49032</v>
      </c>
      <c r="C4111" s="177" t="n">
        <v>1413</v>
      </c>
      <c r="D4111" s="177" t="n">
        <v>1</v>
      </c>
      <c r="E4111" s="178" t="inlineStr">
        <is>
          <t>1413/01/09</t>
        </is>
      </c>
      <c r="F4111" s="134" t="inlineStr">
        <is>
          <t>1413/01</t>
        </is>
      </c>
      <c r="G4111" s="61" t="inlineStr">
        <is>
          <t>فروردین</t>
        </is>
      </c>
      <c r="H4111" s="134" t="inlineStr">
        <is>
          <t>بهار</t>
        </is>
      </c>
      <c r="I4111" s="134" t="inlineStr">
        <is>
          <t>چهارشنبه</t>
        </is>
      </c>
      <c r="J4111" s="134" t="inlineStr">
        <is>
          <t>بله</t>
        </is>
      </c>
    </row>
    <row r="4112">
      <c r="A4112" s="173" t="n">
        <v>49033</v>
      </c>
      <c r="B4112" s="174" t="n">
        <v>49033</v>
      </c>
      <c r="C4112" s="174" t="n">
        <v>1413</v>
      </c>
      <c r="D4112" s="174" t="n">
        <v>1</v>
      </c>
      <c r="E4112" s="175" t="inlineStr">
        <is>
          <t>1413/01/10</t>
        </is>
      </c>
      <c r="F4112" s="128" t="inlineStr">
        <is>
          <t>1413/01</t>
        </is>
      </c>
      <c r="G4112" s="58" t="inlineStr">
        <is>
          <t>فروردین</t>
        </is>
      </c>
      <c r="H4112" s="128" t="inlineStr">
        <is>
          <t>بهار</t>
        </is>
      </c>
      <c r="I4112" s="128" t="inlineStr">
        <is>
          <t>پنجشنبه</t>
        </is>
      </c>
      <c r="J4112" s="128" t="inlineStr">
        <is>
          <t>بله</t>
        </is>
      </c>
    </row>
    <row r="4113">
      <c r="A4113" s="176" t="n">
        <v>49034</v>
      </c>
      <c r="B4113" s="177" t="n">
        <v>49034</v>
      </c>
      <c r="C4113" s="177" t="n">
        <v>1413</v>
      </c>
      <c r="D4113" s="177" t="n">
        <v>1</v>
      </c>
      <c r="E4113" s="178" t="inlineStr">
        <is>
          <t>1413/01/11</t>
        </is>
      </c>
      <c r="F4113" s="134" t="inlineStr">
        <is>
          <t>1413/01</t>
        </is>
      </c>
      <c r="G4113" s="61" t="inlineStr">
        <is>
          <t>فروردین</t>
        </is>
      </c>
      <c r="H4113" s="134" t="inlineStr">
        <is>
          <t>بهار</t>
        </is>
      </c>
      <c r="I4113" s="134" t="inlineStr">
        <is>
          <t>جمعه</t>
        </is>
      </c>
      <c r="J4113" s="134" t="inlineStr">
        <is>
          <t>بله</t>
        </is>
      </c>
    </row>
    <row r="4114">
      <c r="A4114" s="173" t="n">
        <v>49035</v>
      </c>
      <c r="B4114" s="174" t="n">
        <v>49035</v>
      </c>
      <c r="C4114" s="174" t="n">
        <v>1413</v>
      </c>
      <c r="D4114" s="174" t="n">
        <v>1</v>
      </c>
      <c r="E4114" s="175" t="inlineStr">
        <is>
          <t>1413/01/12</t>
        </is>
      </c>
      <c r="F4114" s="128" t="inlineStr">
        <is>
          <t>1413/01</t>
        </is>
      </c>
      <c r="G4114" s="58" t="inlineStr">
        <is>
          <t>فروردین</t>
        </is>
      </c>
      <c r="H4114" s="128" t="inlineStr">
        <is>
          <t>بهار</t>
        </is>
      </c>
      <c r="I4114" s="128" t="inlineStr">
        <is>
          <t>شنبه</t>
        </is>
      </c>
      <c r="J4114" s="128" t="inlineStr">
        <is>
          <t>خیر</t>
        </is>
      </c>
    </row>
    <row r="4115">
      <c r="A4115" s="176" t="n">
        <v>49036</v>
      </c>
      <c r="B4115" s="177" t="n">
        <v>49036</v>
      </c>
      <c r="C4115" s="177" t="n">
        <v>1413</v>
      </c>
      <c r="D4115" s="177" t="n">
        <v>1</v>
      </c>
      <c r="E4115" s="178" t="inlineStr">
        <is>
          <t>1413/01/13</t>
        </is>
      </c>
      <c r="F4115" s="134" t="inlineStr">
        <is>
          <t>1413/01</t>
        </is>
      </c>
      <c r="G4115" s="61" t="inlineStr">
        <is>
          <t>فروردین</t>
        </is>
      </c>
      <c r="H4115" s="134" t="inlineStr">
        <is>
          <t>بهار</t>
        </is>
      </c>
      <c r="I4115" s="134" t="inlineStr">
        <is>
          <t>یکشنبه</t>
        </is>
      </c>
      <c r="J4115" s="134" t="inlineStr">
        <is>
          <t>خیر</t>
        </is>
      </c>
    </row>
    <row r="4116">
      <c r="A4116" s="173" t="n">
        <v>49037</v>
      </c>
      <c r="B4116" s="174" t="n">
        <v>49037</v>
      </c>
      <c r="C4116" s="174" t="n">
        <v>1413</v>
      </c>
      <c r="D4116" s="174" t="n">
        <v>1</v>
      </c>
      <c r="E4116" s="175" t="inlineStr">
        <is>
          <t>1413/01/14</t>
        </is>
      </c>
      <c r="F4116" s="128" t="inlineStr">
        <is>
          <t>1413/01</t>
        </is>
      </c>
      <c r="G4116" s="58" t="inlineStr">
        <is>
          <t>فروردین</t>
        </is>
      </c>
      <c r="H4116" s="128" t="inlineStr">
        <is>
          <t>بهار</t>
        </is>
      </c>
      <c r="I4116" s="128" t="inlineStr">
        <is>
          <t>دوشنبه</t>
        </is>
      </c>
      <c r="J4116" s="128" t="inlineStr">
        <is>
          <t>بله</t>
        </is>
      </c>
    </row>
    <row r="4117">
      <c r="A4117" s="176" t="n">
        <v>49038</v>
      </c>
      <c r="B4117" s="177" t="n">
        <v>49038</v>
      </c>
      <c r="C4117" s="177" t="n">
        <v>1413</v>
      </c>
      <c r="D4117" s="177" t="n">
        <v>1</v>
      </c>
      <c r="E4117" s="178" t="inlineStr">
        <is>
          <t>1413/01/15</t>
        </is>
      </c>
      <c r="F4117" s="134" t="inlineStr">
        <is>
          <t>1413/01</t>
        </is>
      </c>
      <c r="G4117" s="61" t="inlineStr">
        <is>
          <t>فروردین</t>
        </is>
      </c>
      <c r="H4117" s="134" t="inlineStr">
        <is>
          <t>بهار</t>
        </is>
      </c>
      <c r="I4117" s="134" t="inlineStr">
        <is>
          <t>سه‌شنبه</t>
        </is>
      </c>
      <c r="J4117" s="134" t="inlineStr">
        <is>
          <t>بله</t>
        </is>
      </c>
    </row>
    <row r="4118">
      <c r="A4118" s="173" t="n">
        <v>49039</v>
      </c>
      <c r="B4118" s="174" t="n">
        <v>49039</v>
      </c>
      <c r="C4118" s="174" t="n">
        <v>1413</v>
      </c>
      <c r="D4118" s="174" t="n">
        <v>1</v>
      </c>
      <c r="E4118" s="175" t="inlineStr">
        <is>
          <t>1413/01/16</t>
        </is>
      </c>
      <c r="F4118" s="128" t="inlineStr">
        <is>
          <t>1413/01</t>
        </is>
      </c>
      <c r="G4118" s="58" t="inlineStr">
        <is>
          <t>فروردین</t>
        </is>
      </c>
      <c r="H4118" s="128" t="inlineStr">
        <is>
          <t>بهار</t>
        </is>
      </c>
      <c r="I4118" s="128" t="inlineStr">
        <is>
          <t>چهارشنبه</t>
        </is>
      </c>
      <c r="J4118" s="128" t="inlineStr">
        <is>
          <t>بله</t>
        </is>
      </c>
    </row>
    <row r="4119">
      <c r="A4119" s="176" t="n">
        <v>49040</v>
      </c>
      <c r="B4119" s="177" t="n">
        <v>49040</v>
      </c>
      <c r="C4119" s="177" t="n">
        <v>1413</v>
      </c>
      <c r="D4119" s="177" t="n">
        <v>1</v>
      </c>
      <c r="E4119" s="178" t="inlineStr">
        <is>
          <t>1413/01/17</t>
        </is>
      </c>
      <c r="F4119" s="134" t="inlineStr">
        <is>
          <t>1413/01</t>
        </is>
      </c>
      <c r="G4119" s="61" t="inlineStr">
        <is>
          <t>فروردین</t>
        </is>
      </c>
      <c r="H4119" s="134" t="inlineStr">
        <is>
          <t>بهار</t>
        </is>
      </c>
      <c r="I4119" s="134" t="inlineStr">
        <is>
          <t>پنجشنبه</t>
        </is>
      </c>
      <c r="J4119" s="134" t="inlineStr">
        <is>
          <t>بله</t>
        </is>
      </c>
    </row>
    <row r="4120">
      <c r="A4120" s="173" t="n">
        <v>49041</v>
      </c>
      <c r="B4120" s="174" t="n">
        <v>49041</v>
      </c>
      <c r="C4120" s="174" t="n">
        <v>1413</v>
      </c>
      <c r="D4120" s="174" t="n">
        <v>1</v>
      </c>
      <c r="E4120" s="175" t="inlineStr">
        <is>
          <t>1413/01/18</t>
        </is>
      </c>
      <c r="F4120" s="128" t="inlineStr">
        <is>
          <t>1413/01</t>
        </is>
      </c>
      <c r="G4120" s="58" t="inlineStr">
        <is>
          <t>فروردین</t>
        </is>
      </c>
      <c r="H4120" s="128" t="inlineStr">
        <is>
          <t>بهار</t>
        </is>
      </c>
      <c r="I4120" s="128" t="inlineStr">
        <is>
          <t>جمعه</t>
        </is>
      </c>
      <c r="J4120" s="128" t="inlineStr">
        <is>
          <t>بله</t>
        </is>
      </c>
    </row>
    <row r="4121">
      <c r="A4121" s="176" t="n">
        <v>49042</v>
      </c>
      <c r="B4121" s="177" t="n">
        <v>49042</v>
      </c>
      <c r="C4121" s="177" t="n">
        <v>1413</v>
      </c>
      <c r="D4121" s="177" t="n">
        <v>1</v>
      </c>
      <c r="E4121" s="178" t="inlineStr">
        <is>
          <t>1413/01/19</t>
        </is>
      </c>
      <c r="F4121" s="134" t="inlineStr">
        <is>
          <t>1413/01</t>
        </is>
      </c>
      <c r="G4121" s="61" t="inlineStr">
        <is>
          <t>فروردین</t>
        </is>
      </c>
      <c r="H4121" s="134" t="inlineStr">
        <is>
          <t>بهار</t>
        </is>
      </c>
      <c r="I4121" s="134" t="inlineStr">
        <is>
          <t>شنبه</t>
        </is>
      </c>
      <c r="J4121" s="134" t="inlineStr">
        <is>
          <t>خیر</t>
        </is>
      </c>
    </row>
    <row r="4122">
      <c r="A4122" s="173" t="n">
        <v>49043</v>
      </c>
      <c r="B4122" s="174" t="n">
        <v>49043</v>
      </c>
      <c r="C4122" s="174" t="n">
        <v>1413</v>
      </c>
      <c r="D4122" s="174" t="n">
        <v>1</v>
      </c>
      <c r="E4122" s="175" t="inlineStr">
        <is>
          <t>1413/01/20</t>
        </is>
      </c>
      <c r="F4122" s="128" t="inlineStr">
        <is>
          <t>1413/01</t>
        </is>
      </c>
      <c r="G4122" s="58" t="inlineStr">
        <is>
          <t>فروردین</t>
        </is>
      </c>
      <c r="H4122" s="128" t="inlineStr">
        <is>
          <t>بهار</t>
        </is>
      </c>
      <c r="I4122" s="128" t="inlineStr">
        <is>
          <t>یکشنبه</t>
        </is>
      </c>
      <c r="J4122" s="128" t="inlineStr">
        <is>
          <t>خیر</t>
        </is>
      </c>
    </row>
    <row r="4123">
      <c r="A4123" s="176" t="n">
        <v>49044</v>
      </c>
      <c r="B4123" s="177" t="n">
        <v>49044</v>
      </c>
      <c r="C4123" s="177" t="n">
        <v>1413</v>
      </c>
      <c r="D4123" s="177" t="n">
        <v>1</v>
      </c>
      <c r="E4123" s="178" t="inlineStr">
        <is>
          <t>1413/01/21</t>
        </is>
      </c>
      <c r="F4123" s="134" t="inlineStr">
        <is>
          <t>1413/01</t>
        </is>
      </c>
      <c r="G4123" s="61" t="inlineStr">
        <is>
          <t>فروردین</t>
        </is>
      </c>
      <c r="H4123" s="134" t="inlineStr">
        <is>
          <t>بهار</t>
        </is>
      </c>
      <c r="I4123" s="134" t="inlineStr">
        <is>
          <t>دوشنبه</t>
        </is>
      </c>
      <c r="J4123" s="134" t="inlineStr">
        <is>
          <t>بله</t>
        </is>
      </c>
    </row>
    <row r="4124">
      <c r="A4124" s="173" t="n">
        <v>49045</v>
      </c>
      <c r="B4124" s="174" t="n">
        <v>49045</v>
      </c>
      <c r="C4124" s="174" t="n">
        <v>1413</v>
      </c>
      <c r="D4124" s="174" t="n">
        <v>1</v>
      </c>
      <c r="E4124" s="175" t="inlineStr">
        <is>
          <t>1413/01/22</t>
        </is>
      </c>
      <c r="F4124" s="128" t="inlineStr">
        <is>
          <t>1413/01</t>
        </is>
      </c>
      <c r="G4124" s="58" t="inlineStr">
        <is>
          <t>فروردین</t>
        </is>
      </c>
      <c r="H4124" s="128" t="inlineStr">
        <is>
          <t>بهار</t>
        </is>
      </c>
      <c r="I4124" s="128" t="inlineStr">
        <is>
          <t>سه‌شنبه</t>
        </is>
      </c>
      <c r="J4124" s="128" t="inlineStr">
        <is>
          <t>بله</t>
        </is>
      </c>
    </row>
    <row r="4125">
      <c r="A4125" s="176" t="n">
        <v>49046</v>
      </c>
      <c r="B4125" s="177" t="n">
        <v>49046</v>
      </c>
      <c r="C4125" s="177" t="n">
        <v>1413</v>
      </c>
      <c r="D4125" s="177" t="n">
        <v>1</v>
      </c>
      <c r="E4125" s="178" t="inlineStr">
        <is>
          <t>1413/01/23</t>
        </is>
      </c>
      <c r="F4125" s="134" t="inlineStr">
        <is>
          <t>1413/01</t>
        </is>
      </c>
      <c r="G4125" s="61" t="inlineStr">
        <is>
          <t>فروردین</t>
        </is>
      </c>
      <c r="H4125" s="134" t="inlineStr">
        <is>
          <t>بهار</t>
        </is>
      </c>
      <c r="I4125" s="134" t="inlineStr">
        <is>
          <t>چهارشنبه</t>
        </is>
      </c>
      <c r="J4125" s="134" t="inlineStr">
        <is>
          <t>بله</t>
        </is>
      </c>
    </row>
    <row r="4126">
      <c r="A4126" s="173" t="n">
        <v>49047</v>
      </c>
      <c r="B4126" s="174" t="n">
        <v>49047</v>
      </c>
      <c r="C4126" s="174" t="n">
        <v>1413</v>
      </c>
      <c r="D4126" s="174" t="n">
        <v>1</v>
      </c>
      <c r="E4126" s="175" t="inlineStr">
        <is>
          <t>1413/01/24</t>
        </is>
      </c>
      <c r="F4126" s="128" t="inlineStr">
        <is>
          <t>1413/01</t>
        </is>
      </c>
      <c r="G4126" s="58" t="inlineStr">
        <is>
          <t>فروردین</t>
        </is>
      </c>
      <c r="H4126" s="128" t="inlineStr">
        <is>
          <t>بهار</t>
        </is>
      </c>
      <c r="I4126" s="128" t="inlineStr">
        <is>
          <t>پنجشنبه</t>
        </is>
      </c>
      <c r="J4126" s="128" t="inlineStr">
        <is>
          <t>بله</t>
        </is>
      </c>
    </row>
    <row r="4127">
      <c r="A4127" s="176" t="n">
        <v>49048</v>
      </c>
      <c r="B4127" s="177" t="n">
        <v>49048</v>
      </c>
      <c r="C4127" s="177" t="n">
        <v>1413</v>
      </c>
      <c r="D4127" s="177" t="n">
        <v>1</v>
      </c>
      <c r="E4127" s="178" t="inlineStr">
        <is>
          <t>1413/01/25</t>
        </is>
      </c>
      <c r="F4127" s="134" t="inlineStr">
        <is>
          <t>1413/01</t>
        </is>
      </c>
      <c r="G4127" s="61" t="inlineStr">
        <is>
          <t>فروردین</t>
        </is>
      </c>
      <c r="H4127" s="134" t="inlineStr">
        <is>
          <t>بهار</t>
        </is>
      </c>
      <c r="I4127" s="134" t="inlineStr">
        <is>
          <t>جمعه</t>
        </is>
      </c>
      <c r="J4127" s="134" t="inlineStr">
        <is>
          <t>بله</t>
        </is>
      </c>
    </row>
    <row r="4128">
      <c r="A4128" s="173" t="n">
        <v>49049</v>
      </c>
      <c r="B4128" s="174" t="n">
        <v>49049</v>
      </c>
      <c r="C4128" s="174" t="n">
        <v>1413</v>
      </c>
      <c r="D4128" s="174" t="n">
        <v>1</v>
      </c>
      <c r="E4128" s="175" t="inlineStr">
        <is>
          <t>1413/01/26</t>
        </is>
      </c>
      <c r="F4128" s="128" t="inlineStr">
        <is>
          <t>1413/01</t>
        </is>
      </c>
      <c r="G4128" s="58" t="inlineStr">
        <is>
          <t>فروردین</t>
        </is>
      </c>
      <c r="H4128" s="128" t="inlineStr">
        <is>
          <t>بهار</t>
        </is>
      </c>
      <c r="I4128" s="128" t="inlineStr">
        <is>
          <t>شنبه</t>
        </is>
      </c>
      <c r="J4128" s="128" t="inlineStr">
        <is>
          <t>خیر</t>
        </is>
      </c>
    </row>
    <row r="4129">
      <c r="A4129" s="176" t="n">
        <v>49050</v>
      </c>
      <c r="B4129" s="177" t="n">
        <v>49050</v>
      </c>
      <c r="C4129" s="177" t="n">
        <v>1413</v>
      </c>
      <c r="D4129" s="177" t="n">
        <v>1</v>
      </c>
      <c r="E4129" s="178" t="inlineStr">
        <is>
          <t>1413/01/27</t>
        </is>
      </c>
      <c r="F4129" s="134" t="inlineStr">
        <is>
          <t>1413/01</t>
        </is>
      </c>
      <c r="G4129" s="61" t="inlineStr">
        <is>
          <t>فروردین</t>
        </is>
      </c>
      <c r="H4129" s="134" t="inlineStr">
        <is>
          <t>بهار</t>
        </is>
      </c>
      <c r="I4129" s="134" t="inlineStr">
        <is>
          <t>یکشنبه</t>
        </is>
      </c>
      <c r="J4129" s="134" t="inlineStr">
        <is>
          <t>خیر</t>
        </is>
      </c>
    </row>
    <row r="4130">
      <c r="A4130" s="173" t="n">
        <v>49051</v>
      </c>
      <c r="B4130" s="174" t="n">
        <v>49051</v>
      </c>
      <c r="C4130" s="174" t="n">
        <v>1413</v>
      </c>
      <c r="D4130" s="174" t="n">
        <v>1</v>
      </c>
      <c r="E4130" s="175" t="inlineStr">
        <is>
          <t>1413/01/28</t>
        </is>
      </c>
      <c r="F4130" s="128" t="inlineStr">
        <is>
          <t>1413/01</t>
        </is>
      </c>
      <c r="G4130" s="58" t="inlineStr">
        <is>
          <t>فروردین</t>
        </is>
      </c>
      <c r="H4130" s="128" t="inlineStr">
        <is>
          <t>بهار</t>
        </is>
      </c>
      <c r="I4130" s="128" t="inlineStr">
        <is>
          <t>دوشنبه</t>
        </is>
      </c>
      <c r="J4130" s="128" t="inlineStr">
        <is>
          <t>بله</t>
        </is>
      </c>
    </row>
    <row r="4131">
      <c r="A4131" s="176" t="n">
        <v>49052</v>
      </c>
      <c r="B4131" s="177" t="n">
        <v>49052</v>
      </c>
      <c r="C4131" s="177" t="n">
        <v>1413</v>
      </c>
      <c r="D4131" s="177" t="n">
        <v>1</v>
      </c>
      <c r="E4131" s="178" t="inlineStr">
        <is>
          <t>1413/01/29</t>
        </is>
      </c>
      <c r="F4131" s="134" t="inlineStr">
        <is>
          <t>1413/01</t>
        </is>
      </c>
      <c r="G4131" s="61" t="inlineStr">
        <is>
          <t>فروردین</t>
        </is>
      </c>
      <c r="H4131" s="134" t="inlineStr">
        <is>
          <t>بهار</t>
        </is>
      </c>
      <c r="I4131" s="134" t="inlineStr">
        <is>
          <t>سه‌شنبه</t>
        </is>
      </c>
      <c r="J4131" s="134" t="inlineStr">
        <is>
          <t>بله</t>
        </is>
      </c>
    </row>
    <row r="4132">
      <c r="A4132" s="173" t="n">
        <v>49053</v>
      </c>
      <c r="B4132" s="174" t="n">
        <v>49053</v>
      </c>
      <c r="C4132" s="174" t="n">
        <v>1413</v>
      </c>
      <c r="D4132" s="174" t="n">
        <v>1</v>
      </c>
      <c r="E4132" s="175" t="inlineStr">
        <is>
          <t>1413/01/30</t>
        </is>
      </c>
      <c r="F4132" s="128" t="inlineStr">
        <is>
          <t>1413/01</t>
        </is>
      </c>
      <c r="G4132" s="58" t="inlineStr">
        <is>
          <t>فروردین</t>
        </is>
      </c>
      <c r="H4132" s="128" t="inlineStr">
        <is>
          <t>بهار</t>
        </is>
      </c>
      <c r="I4132" s="128" t="inlineStr">
        <is>
          <t>چهارشنبه</t>
        </is>
      </c>
      <c r="J4132" s="128" t="inlineStr">
        <is>
          <t>بله</t>
        </is>
      </c>
    </row>
    <row r="4133">
      <c r="A4133" s="176" t="n">
        <v>49054</v>
      </c>
      <c r="B4133" s="177" t="n">
        <v>49054</v>
      </c>
      <c r="C4133" s="177" t="n">
        <v>1413</v>
      </c>
      <c r="D4133" s="177" t="n">
        <v>1</v>
      </c>
      <c r="E4133" s="178" t="inlineStr">
        <is>
          <t>1413/01/31</t>
        </is>
      </c>
      <c r="F4133" s="134" t="inlineStr">
        <is>
          <t>1413/01</t>
        </is>
      </c>
      <c r="G4133" s="61" t="inlineStr">
        <is>
          <t>فروردین</t>
        </is>
      </c>
      <c r="H4133" s="134" t="inlineStr">
        <is>
          <t>بهار</t>
        </is>
      </c>
      <c r="I4133" s="134" t="inlineStr">
        <is>
          <t>پنجشنبه</t>
        </is>
      </c>
      <c r="J4133" s="134" t="inlineStr">
        <is>
          <t>بله</t>
        </is>
      </c>
    </row>
    <row r="4134">
      <c r="A4134" s="173" t="n">
        <v>49055</v>
      </c>
      <c r="B4134" s="174" t="n">
        <v>49055</v>
      </c>
      <c r="C4134" s="174" t="n">
        <v>1413</v>
      </c>
      <c r="D4134" s="174" t="n">
        <v>2</v>
      </c>
      <c r="E4134" s="175" t="inlineStr">
        <is>
          <t>1413/02/01</t>
        </is>
      </c>
      <c r="F4134" s="128" t="inlineStr">
        <is>
          <t>1413/02</t>
        </is>
      </c>
      <c r="G4134" s="58" t="inlineStr">
        <is>
          <t>اردیبهشت</t>
        </is>
      </c>
      <c r="H4134" s="128" t="inlineStr">
        <is>
          <t>بهار</t>
        </is>
      </c>
      <c r="I4134" s="128" t="inlineStr">
        <is>
          <t>جمعه</t>
        </is>
      </c>
      <c r="J4134" s="128" t="inlineStr">
        <is>
          <t>بله</t>
        </is>
      </c>
    </row>
    <row r="4135">
      <c r="A4135" s="176" t="n">
        <v>49056</v>
      </c>
      <c r="B4135" s="177" t="n">
        <v>49056</v>
      </c>
      <c r="C4135" s="177" t="n">
        <v>1413</v>
      </c>
      <c r="D4135" s="177" t="n">
        <v>2</v>
      </c>
      <c r="E4135" s="178" t="inlineStr">
        <is>
          <t>1413/02/02</t>
        </is>
      </c>
      <c r="F4135" s="134" t="inlineStr">
        <is>
          <t>1413/02</t>
        </is>
      </c>
      <c r="G4135" s="61" t="inlineStr">
        <is>
          <t>اردیبهشت</t>
        </is>
      </c>
      <c r="H4135" s="134" t="inlineStr">
        <is>
          <t>بهار</t>
        </is>
      </c>
      <c r="I4135" s="134" t="inlineStr">
        <is>
          <t>شنبه</t>
        </is>
      </c>
      <c r="J4135" s="134" t="inlineStr">
        <is>
          <t>خیر</t>
        </is>
      </c>
    </row>
    <row r="4136">
      <c r="A4136" s="173" t="n">
        <v>49057</v>
      </c>
      <c r="B4136" s="174" t="n">
        <v>49057</v>
      </c>
      <c r="C4136" s="174" t="n">
        <v>1413</v>
      </c>
      <c r="D4136" s="174" t="n">
        <v>2</v>
      </c>
      <c r="E4136" s="175" t="inlineStr">
        <is>
          <t>1413/02/03</t>
        </is>
      </c>
      <c r="F4136" s="128" t="inlineStr">
        <is>
          <t>1413/02</t>
        </is>
      </c>
      <c r="G4136" s="58" t="inlineStr">
        <is>
          <t>اردیبهشت</t>
        </is>
      </c>
      <c r="H4136" s="128" t="inlineStr">
        <is>
          <t>بهار</t>
        </is>
      </c>
      <c r="I4136" s="128" t="inlineStr">
        <is>
          <t>یکشنبه</t>
        </is>
      </c>
      <c r="J4136" s="128" t="inlineStr">
        <is>
          <t>خیر</t>
        </is>
      </c>
    </row>
    <row r="4137">
      <c r="A4137" s="176" t="n">
        <v>49058</v>
      </c>
      <c r="B4137" s="177" t="n">
        <v>49058</v>
      </c>
      <c r="C4137" s="177" t="n">
        <v>1413</v>
      </c>
      <c r="D4137" s="177" t="n">
        <v>2</v>
      </c>
      <c r="E4137" s="178" t="inlineStr">
        <is>
          <t>1413/02/04</t>
        </is>
      </c>
      <c r="F4137" s="134" t="inlineStr">
        <is>
          <t>1413/02</t>
        </is>
      </c>
      <c r="G4137" s="61" t="inlineStr">
        <is>
          <t>اردیبهشت</t>
        </is>
      </c>
      <c r="H4137" s="134" t="inlineStr">
        <is>
          <t>بهار</t>
        </is>
      </c>
      <c r="I4137" s="134" t="inlineStr">
        <is>
          <t>دوشنبه</t>
        </is>
      </c>
      <c r="J4137" s="134" t="inlineStr">
        <is>
          <t>بله</t>
        </is>
      </c>
    </row>
    <row r="4138">
      <c r="A4138" s="173" t="n">
        <v>49059</v>
      </c>
      <c r="B4138" s="174" t="n">
        <v>49059</v>
      </c>
      <c r="C4138" s="174" t="n">
        <v>1413</v>
      </c>
      <c r="D4138" s="174" t="n">
        <v>2</v>
      </c>
      <c r="E4138" s="175" t="inlineStr">
        <is>
          <t>1413/02/05</t>
        </is>
      </c>
      <c r="F4138" s="128" t="inlineStr">
        <is>
          <t>1413/02</t>
        </is>
      </c>
      <c r="G4138" s="58" t="inlineStr">
        <is>
          <t>اردیبهشت</t>
        </is>
      </c>
      <c r="H4138" s="128" t="inlineStr">
        <is>
          <t>بهار</t>
        </is>
      </c>
      <c r="I4138" s="128" t="inlineStr">
        <is>
          <t>سه‌شنبه</t>
        </is>
      </c>
      <c r="J4138" s="128" t="inlineStr">
        <is>
          <t>بله</t>
        </is>
      </c>
    </row>
    <row r="4139">
      <c r="A4139" s="176" t="n">
        <v>49060</v>
      </c>
      <c r="B4139" s="177" t="n">
        <v>49060</v>
      </c>
      <c r="C4139" s="177" t="n">
        <v>1413</v>
      </c>
      <c r="D4139" s="177" t="n">
        <v>2</v>
      </c>
      <c r="E4139" s="178" t="inlineStr">
        <is>
          <t>1413/02/06</t>
        </is>
      </c>
      <c r="F4139" s="134" t="inlineStr">
        <is>
          <t>1413/02</t>
        </is>
      </c>
      <c r="G4139" s="61" t="inlineStr">
        <is>
          <t>اردیبهشت</t>
        </is>
      </c>
      <c r="H4139" s="134" t="inlineStr">
        <is>
          <t>بهار</t>
        </is>
      </c>
      <c r="I4139" s="134" t="inlineStr">
        <is>
          <t>چهارشنبه</t>
        </is>
      </c>
      <c r="J4139" s="134" t="inlineStr">
        <is>
          <t>بله</t>
        </is>
      </c>
    </row>
    <row r="4140">
      <c r="A4140" s="173" t="n">
        <v>49061</v>
      </c>
      <c r="B4140" s="174" t="n">
        <v>49061</v>
      </c>
      <c r="C4140" s="174" t="n">
        <v>1413</v>
      </c>
      <c r="D4140" s="174" t="n">
        <v>2</v>
      </c>
      <c r="E4140" s="175" t="inlineStr">
        <is>
          <t>1413/02/07</t>
        </is>
      </c>
      <c r="F4140" s="128" t="inlineStr">
        <is>
          <t>1413/02</t>
        </is>
      </c>
      <c r="G4140" s="58" t="inlineStr">
        <is>
          <t>اردیبهشت</t>
        </is>
      </c>
      <c r="H4140" s="128" t="inlineStr">
        <is>
          <t>بهار</t>
        </is>
      </c>
      <c r="I4140" s="128" t="inlineStr">
        <is>
          <t>پنجشنبه</t>
        </is>
      </c>
      <c r="J4140" s="128" t="inlineStr">
        <is>
          <t>بله</t>
        </is>
      </c>
    </row>
    <row r="4141">
      <c r="A4141" s="176" t="n">
        <v>49062</v>
      </c>
      <c r="B4141" s="177" t="n">
        <v>49062</v>
      </c>
      <c r="C4141" s="177" t="n">
        <v>1413</v>
      </c>
      <c r="D4141" s="177" t="n">
        <v>2</v>
      </c>
      <c r="E4141" s="178" t="inlineStr">
        <is>
          <t>1413/02/08</t>
        </is>
      </c>
      <c r="F4141" s="134" t="inlineStr">
        <is>
          <t>1413/02</t>
        </is>
      </c>
      <c r="G4141" s="61" t="inlineStr">
        <is>
          <t>اردیبهشت</t>
        </is>
      </c>
      <c r="H4141" s="134" t="inlineStr">
        <is>
          <t>بهار</t>
        </is>
      </c>
      <c r="I4141" s="134" t="inlineStr">
        <is>
          <t>جمعه</t>
        </is>
      </c>
      <c r="J4141" s="134" t="inlineStr">
        <is>
          <t>بله</t>
        </is>
      </c>
    </row>
    <row r="4142">
      <c r="A4142" s="173" t="n">
        <v>49063</v>
      </c>
      <c r="B4142" s="174" t="n">
        <v>49063</v>
      </c>
      <c r="C4142" s="174" t="n">
        <v>1413</v>
      </c>
      <c r="D4142" s="174" t="n">
        <v>2</v>
      </c>
      <c r="E4142" s="175" t="inlineStr">
        <is>
          <t>1413/02/09</t>
        </is>
      </c>
      <c r="F4142" s="128" t="inlineStr">
        <is>
          <t>1413/02</t>
        </is>
      </c>
      <c r="G4142" s="58" t="inlineStr">
        <is>
          <t>اردیبهشت</t>
        </is>
      </c>
      <c r="H4142" s="128" t="inlineStr">
        <is>
          <t>بهار</t>
        </is>
      </c>
      <c r="I4142" s="128" t="inlineStr">
        <is>
          <t>شنبه</t>
        </is>
      </c>
      <c r="J4142" s="128" t="inlineStr">
        <is>
          <t>خیر</t>
        </is>
      </c>
    </row>
    <row r="4143">
      <c r="A4143" s="176" t="n">
        <v>49064</v>
      </c>
      <c r="B4143" s="177" t="n">
        <v>49064</v>
      </c>
      <c r="C4143" s="177" t="n">
        <v>1413</v>
      </c>
      <c r="D4143" s="177" t="n">
        <v>2</v>
      </c>
      <c r="E4143" s="178" t="inlineStr">
        <is>
          <t>1413/02/10</t>
        </is>
      </c>
      <c r="F4143" s="134" t="inlineStr">
        <is>
          <t>1413/02</t>
        </is>
      </c>
      <c r="G4143" s="61" t="inlineStr">
        <is>
          <t>اردیبهشت</t>
        </is>
      </c>
      <c r="H4143" s="134" t="inlineStr">
        <is>
          <t>بهار</t>
        </is>
      </c>
      <c r="I4143" s="134" t="inlineStr">
        <is>
          <t>یکشنبه</t>
        </is>
      </c>
      <c r="J4143" s="134" t="inlineStr">
        <is>
          <t>خیر</t>
        </is>
      </c>
    </row>
    <row r="4144">
      <c r="A4144" s="173" t="n">
        <v>49065</v>
      </c>
      <c r="B4144" s="174" t="n">
        <v>49065</v>
      </c>
      <c r="C4144" s="174" t="n">
        <v>1413</v>
      </c>
      <c r="D4144" s="174" t="n">
        <v>2</v>
      </c>
      <c r="E4144" s="175" t="inlineStr">
        <is>
          <t>1413/02/11</t>
        </is>
      </c>
      <c r="F4144" s="128" t="inlineStr">
        <is>
          <t>1413/02</t>
        </is>
      </c>
      <c r="G4144" s="58" t="inlineStr">
        <is>
          <t>اردیبهشت</t>
        </is>
      </c>
      <c r="H4144" s="128" t="inlineStr">
        <is>
          <t>بهار</t>
        </is>
      </c>
      <c r="I4144" s="128" t="inlineStr">
        <is>
          <t>دوشنبه</t>
        </is>
      </c>
      <c r="J4144" s="128" t="inlineStr">
        <is>
          <t>بله</t>
        </is>
      </c>
    </row>
    <row r="4145">
      <c r="A4145" s="176" t="n">
        <v>49066</v>
      </c>
      <c r="B4145" s="177" t="n">
        <v>49066</v>
      </c>
      <c r="C4145" s="177" t="n">
        <v>1413</v>
      </c>
      <c r="D4145" s="177" t="n">
        <v>2</v>
      </c>
      <c r="E4145" s="178" t="inlineStr">
        <is>
          <t>1413/02/12</t>
        </is>
      </c>
      <c r="F4145" s="134" t="inlineStr">
        <is>
          <t>1413/02</t>
        </is>
      </c>
      <c r="G4145" s="61" t="inlineStr">
        <is>
          <t>اردیبهشت</t>
        </is>
      </c>
      <c r="H4145" s="134" t="inlineStr">
        <is>
          <t>بهار</t>
        </is>
      </c>
      <c r="I4145" s="134" t="inlineStr">
        <is>
          <t>سه‌شنبه</t>
        </is>
      </c>
      <c r="J4145" s="134" t="inlineStr">
        <is>
          <t>بله</t>
        </is>
      </c>
    </row>
    <row r="4146">
      <c r="A4146" s="173" t="n">
        <v>49067</v>
      </c>
      <c r="B4146" s="174" t="n">
        <v>49067</v>
      </c>
      <c r="C4146" s="174" t="n">
        <v>1413</v>
      </c>
      <c r="D4146" s="174" t="n">
        <v>2</v>
      </c>
      <c r="E4146" s="175" t="inlineStr">
        <is>
          <t>1413/02/13</t>
        </is>
      </c>
      <c r="F4146" s="128" t="inlineStr">
        <is>
          <t>1413/02</t>
        </is>
      </c>
      <c r="G4146" s="58" t="inlineStr">
        <is>
          <t>اردیبهشت</t>
        </is>
      </c>
      <c r="H4146" s="128" t="inlineStr">
        <is>
          <t>بهار</t>
        </is>
      </c>
      <c r="I4146" s="128" t="inlineStr">
        <is>
          <t>چهارشنبه</t>
        </is>
      </c>
      <c r="J4146" s="128" t="inlineStr">
        <is>
          <t>بله</t>
        </is>
      </c>
    </row>
    <row r="4147">
      <c r="A4147" s="176" t="n">
        <v>49068</v>
      </c>
      <c r="B4147" s="177" t="n">
        <v>49068</v>
      </c>
      <c r="C4147" s="177" t="n">
        <v>1413</v>
      </c>
      <c r="D4147" s="177" t="n">
        <v>2</v>
      </c>
      <c r="E4147" s="178" t="inlineStr">
        <is>
          <t>1413/02/14</t>
        </is>
      </c>
      <c r="F4147" s="134" t="inlineStr">
        <is>
          <t>1413/02</t>
        </is>
      </c>
      <c r="G4147" s="61" t="inlineStr">
        <is>
          <t>اردیبهشت</t>
        </is>
      </c>
      <c r="H4147" s="134" t="inlineStr">
        <is>
          <t>بهار</t>
        </is>
      </c>
      <c r="I4147" s="134" t="inlineStr">
        <is>
          <t>پنجشنبه</t>
        </is>
      </c>
      <c r="J4147" s="134" t="inlineStr">
        <is>
          <t>بله</t>
        </is>
      </c>
    </row>
    <row r="4148">
      <c r="A4148" s="173" t="n">
        <v>49069</v>
      </c>
      <c r="B4148" s="174" t="n">
        <v>49069</v>
      </c>
      <c r="C4148" s="174" t="n">
        <v>1413</v>
      </c>
      <c r="D4148" s="174" t="n">
        <v>2</v>
      </c>
      <c r="E4148" s="175" t="inlineStr">
        <is>
          <t>1413/02/15</t>
        </is>
      </c>
      <c r="F4148" s="128" t="inlineStr">
        <is>
          <t>1413/02</t>
        </is>
      </c>
      <c r="G4148" s="58" t="inlineStr">
        <is>
          <t>اردیبهشت</t>
        </is>
      </c>
      <c r="H4148" s="128" t="inlineStr">
        <is>
          <t>بهار</t>
        </is>
      </c>
      <c r="I4148" s="128" t="inlineStr">
        <is>
          <t>جمعه</t>
        </is>
      </c>
      <c r="J4148" s="128" t="inlineStr">
        <is>
          <t>بله</t>
        </is>
      </c>
    </row>
    <row r="4149">
      <c r="A4149" s="176" t="n">
        <v>49070</v>
      </c>
      <c r="B4149" s="177" t="n">
        <v>49070</v>
      </c>
      <c r="C4149" s="177" t="n">
        <v>1413</v>
      </c>
      <c r="D4149" s="177" t="n">
        <v>2</v>
      </c>
      <c r="E4149" s="178" t="inlineStr">
        <is>
          <t>1413/02/16</t>
        </is>
      </c>
      <c r="F4149" s="134" t="inlineStr">
        <is>
          <t>1413/02</t>
        </is>
      </c>
      <c r="G4149" s="61" t="inlineStr">
        <is>
          <t>اردیبهشت</t>
        </is>
      </c>
      <c r="H4149" s="134" t="inlineStr">
        <is>
          <t>بهار</t>
        </is>
      </c>
      <c r="I4149" s="134" t="inlineStr">
        <is>
          <t>شنبه</t>
        </is>
      </c>
      <c r="J4149" s="134" t="inlineStr">
        <is>
          <t>خیر</t>
        </is>
      </c>
    </row>
    <row r="4150">
      <c r="A4150" s="173" t="n">
        <v>49071</v>
      </c>
      <c r="B4150" s="174" t="n">
        <v>49071</v>
      </c>
      <c r="C4150" s="174" t="n">
        <v>1413</v>
      </c>
      <c r="D4150" s="174" t="n">
        <v>2</v>
      </c>
      <c r="E4150" s="175" t="inlineStr">
        <is>
          <t>1413/02/17</t>
        </is>
      </c>
      <c r="F4150" s="128" t="inlineStr">
        <is>
          <t>1413/02</t>
        </is>
      </c>
      <c r="G4150" s="58" t="inlineStr">
        <is>
          <t>اردیبهشت</t>
        </is>
      </c>
      <c r="H4150" s="128" t="inlineStr">
        <is>
          <t>بهار</t>
        </is>
      </c>
      <c r="I4150" s="128" t="inlineStr">
        <is>
          <t>یکشنبه</t>
        </is>
      </c>
      <c r="J4150" s="128" t="inlineStr">
        <is>
          <t>خیر</t>
        </is>
      </c>
    </row>
    <row r="4151">
      <c r="A4151" s="176" t="n">
        <v>49072</v>
      </c>
      <c r="B4151" s="177" t="n">
        <v>49072</v>
      </c>
      <c r="C4151" s="177" t="n">
        <v>1413</v>
      </c>
      <c r="D4151" s="177" t="n">
        <v>2</v>
      </c>
      <c r="E4151" s="178" t="inlineStr">
        <is>
          <t>1413/02/18</t>
        </is>
      </c>
      <c r="F4151" s="134" t="inlineStr">
        <is>
          <t>1413/02</t>
        </is>
      </c>
      <c r="G4151" s="61" t="inlineStr">
        <is>
          <t>اردیبهشت</t>
        </is>
      </c>
      <c r="H4151" s="134" t="inlineStr">
        <is>
          <t>بهار</t>
        </is>
      </c>
      <c r="I4151" s="134" t="inlineStr">
        <is>
          <t>دوشنبه</t>
        </is>
      </c>
      <c r="J4151" s="134" t="inlineStr">
        <is>
          <t>بله</t>
        </is>
      </c>
    </row>
    <row r="4152">
      <c r="A4152" s="173" t="n">
        <v>49073</v>
      </c>
      <c r="B4152" s="174" t="n">
        <v>49073</v>
      </c>
      <c r="C4152" s="174" t="n">
        <v>1413</v>
      </c>
      <c r="D4152" s="174" t="n">
        <v>2</v>
      </c>
      <c r="E4152" s="175" t="inlineStr">
        <is>
          <t>1413/02/19</t>
        </is>
      </c>
      <c r="F4152" s="128" t="inlineStr">
        <is>
          <t>1413/02</t>
        </is>
      </c>
      <c r="G4152" s="58" t="inlineStr">
        <is>
          <t>اردیبهشت</t>
        </is>
      </c>
      <c r="H4152" s="128" t="inlineStr">
        <is>
          <t>بهار</t>
        </is>
      </c>
      <c r="I4152" s="128" t="inlineStr">
        <is>
          <t>سه‌شنبه</t>
        </is>
      </c>
      <c r="J4152" s="128" t="inlineStr">
        <is>
          <t>بله</t>
        </is>
      </c>
    </row>
    <row r="4153">
      <c r="A4153" s="176" t="n">
        <v>49074</v>
      </c>
      <c r="B4153" s="177" t="n">
        <v>49074</v>
      </c>
      <c r="C4153" s="177" t="n">
        <v>1413</v>
      </c>
      <c r="D4153" s="177" t="n">
        <v>2</v>
      </c>
      <c r="E4153" s="178" t="inlineStr">
        <is>
          <t>1413/02/20</t>
        </is>
      </c>
      <c r="F4153" s="134" t="inlineStr">
        <is>
          <t>1413/02</t>
        </is>
      </c>
      <c r="G4153" s="61" t="inlineStr">
        <is>
          <t>اردیبهشت</t>
        </is>
      </c>
      <c r="H4153" s="134" t="inlineStr">
        <is>
          <t>بهار</t>
        </is>
      </c>
      <c r="I4153" s="134" t="inlineStr">
        <is>
          <t>چهارشنبه</t>
        </is>
      </c>
      <c r="J4153" s="134" t="inlineStr">
        <is>
          <t>بله</t>
        </is>
      </c>
    </row>
    <row r="4154">
      <c r="A4154" s="173" t="n">
        <v>49075</v>
      </c>
      <c r="B4154" s="174" t="n">
        <v>49075</v>
      </c>
      <c r="C4154" s="174" t="n">
        <v>1413</v>
      </c>
      <c r="D4154" s="174" t="n">
        <v>2</v>
      </c>
      <c r="E4154" s="175" t="inlineStr">
        <is>
          <t>1413/02/21</t>
        </is>
      </c>
      <c r="F4154" s="128" t="inlineStr">
        <is>
          <t>1413/02</t>
        </is>
      </c>
      <c r="G4154" s="58" t="inlineStr">
        <is>
          <t>اردیبهشت</t>
        </is>
      </c>
      <c r="H4154" s="128" t="inlineStr">
        <is>
          <t>بهار</t>
        </is>
      </c>
      <c r="I4154" s="128" t="inlineStr">
        <is>
          <t>پنجشنبه</t>
        </is>
      </c>
      <c r="J4154" s="128" t="inlineStr">
        <is>
          <t>بله</t>
        </is>
      </c>
    </row>
    <row r="4155">
      <c r="A4155" s="176" t="n">
        <v>49076</v>
      </c>
      <c r="B4155" s="177" t="n">
        <v>49076</v>
      </c>
      <c r="C4155" s="177" t="n">
        <v>1413</v>
      </c>
      <c r="D4155" s="177" t="n">
        <v>2</v>
      </c>
      <c r="E4155" s="178" t="inlineStr">
        <is>
          <t>1413/02/22</t>
        </is>
      </c>
      <c r="F4155" s="134" t="inlineStr">
        <is>
          <t>1413/02</t>
        </is>
      </c>
      <c r="G4155" s="61" t="inlineStr">
        <is>
          <t>اردیبهشت</t>
        </is>
      </c>
      <c r="H4155" s="134" t="inlineStr">
        <is>
          <t>بهار</t>
        </is>
      </c>
      <c r="I4155" s="134" t="inlineStr">
        <is>
          <t>جمعه</t>
        </is>
      </c>
      <c r="J4155" s="134" t="inlineStr">
        <is>
          <t>بله</t>
        </is>
      </c>
    </row>
    <row r="4156">
      <c r="A4156" s="173" t="n">
        <v>49077</v>
      </c>
      <c r="B4156" s="174" t="n">
        <v>49077</v>
      </c>
      <c r="C4156" s="174" t="n">
        <v>1413</v>
      </c>
      <c r="D4156" s="174" t="n">
        <v>2</v>
      </c>
      <c r="E4156" s="175" t="inlineStr">
        <is>
          <t>1413/02/23</t>
        </is>
      </c>
      <c r="F4156" s="128" t="inlineStr">
        <is>
          <t>1413/02</t>
        </is>
      </c>
      <c r="G4156" s="58" t="inlineStr">
        <is>
          <t>اردیبهشت</t>
        </is>
      </c>
      <c r="H4156" s="128" t="inlineStr">
        <is>
          <t>بهار</t>
        </is>
      </c>
      <c r="I4156" s="128" t="inlineStr">
        <is>
          <t>شنبه</t>
        </is>
      </c>
      <c r="J4156" s="128" t="inlineStr">
        <is>
          <t>خیر</t>
        </is>
      </c>
    </row>
    <row r="4157">
      <c r="A4157" s="176" t="n">
        <v>49078</v>
      </c>
      <c r="B4157" s="177" t="n">
        <v>49078</v>
      </c>
      <c r="C4157" s="177" t="n">
        <v>1413</v>
      </c>
      <c r="D4157" s="177" t="n">
        <v>2</v>
      </c>
      <c r="E4157" s="178" t="inlineStr">
        <is>
          <t>1413/02/24</t>
        </is>
      </c>
      <c r="F4157" s="134" t="inlineStr">
        <is>
          <t>1413/02</t>
        </is>
      </c>
      <c r="G4157" s="61" t="inlineStr">
        <is>
          <t>اردیبهشت</t>
        </is>
      </c>
      <c r="H4157" s="134" t="inlineStr">
        <is>
          <t>بهار</t>
        </is>
      </c>
      <c r="I4157" s="134" t="inlineStr">
        <is>
          <t>یکشنبه</t>
        </is>
      </c>
      <c r="J4157" s="134" t="inlineStr">
        <is>
          <t>خیر</t>
        </is>
      </c>
    </row>
    <row r="4158">
      <c r="A4158" s="173" t="n">
        <v>49079</v>
      </c>
      <c r="B4158" s="174" t="n">
        <v>49079</v>
      </c>
      <c r="C4158" s="174" t="n">
        <v>1413</v>
      </c>
      <c r="D4158" s="174" t="n">
        <v>2</v>
      </c>
      <c r="E4158" s="175" t="inlineStr">
        <is>
          <t>1413/02/25</t>
        </is>
      </c>
      <c r="F4158" s="128" t="inlineStr">
        <is>
          <t>1413/02</t>
        </is>
      </c>
      <c r="G4158" s="58" t="inlineStr">
        <is>
          <t>اردیبهشت</t>
        </is>
      </c>
      <c r="H4158" s="128" t="inlineStr">
        <is>
          <t>بهار</t>
        </is>
      </c>
      <c r="I4158" s="128" t="inlineStr">
        <is>
          <t>دوشنبه</t>
        </is>
      </c>
      <c r="J4158" s="128" t="inlineStr">
        <is>
          <t>بله</t>
        </is>
      </c>
    </row>
    <row r="4159">
      <c r="A4159" s="176" t="n">
        <v>49080</v>
      </c>
      <c r="B4159" s="177" t="n">
        <v>49080</v>
      </c>
      <c r="C4159" s="177" t="n">
        <v>1413</v>
      </c>
      <c r="D4159" s="177" t="n">
        <v>2</v>
      </c>
      <c r="E4159" s="178" t="inlineStr">
        <is>
          <t>1413/02/26</t>
        </is>
      </c>
      <c r="F4159" s="134" t="inlineStr">
        <is>
          <t>1413/02</t>
        </is>
      </c>
      <c r="G4159" s="61" t="inlineStr">
        <is>
          <t>اردیبهشت</t>
        </is>
      </c>
      <c r="H4159" s="134" t="inlineStr">
        <is>
          <t>بهار</t>
        </is>
      </c>
      <c r="I4159" s="134" t="inlineStr">
        <is>
          <t>سه‌شنبه</t>
        </is>
      </c>
      <c r="J4159" s="134" t="inlineStr">
        <is>
          <t>بله</t>
        </is>
      </c>
    </row>
    <row r="4160">
      <c r="A4160" s="173" t="n">
        <v>49081</v>
      </c>
      <c r="B4160" s="174" t="n">
        <v>49081</v>
      </c>
      <c r="C4160" s="174" t="n">
        <v>1413</v>
      </c>
      <c r="D4160" s="174" t="n">
        <v>2</v>
      </c>
      <c r="E4160" s="175" t="inlineStr">
        <is>
          <t>1413/02/27</t>
        </is>
      </c>
      <c r="F4160" s="128" t="inlineStr">
        <is>
          <t>1413/02</t>
        </is>
      </c>
      <c r="G4160" s="58" t="inlineStr">
        <is>
          <t>اردیبهشت</t>
        </is>
      </c>
      <c r="H4160" s="128" t="inlineStr">
        <is>
          <t>بهار</t>
        </is>
      </c>
      <c r="I4160" s="128" t="inlineStr">
        <is>
          <t>چهارشنبه</t>
        </is>
      </c>
      <c r="J4160" s="128" t="inlineStr">
        <is>
          <t>بله</t>
        </is>
      </c>
    </row>
    <row r="4161">
      <c r="A4161" s="176" t="n">
        <v>49082</v>
      </c>
      <c r="B4161" s="177" t="n">
        <v>49082</v>
      </c>
      <c r="C4161" s="177" t="n">
        <v>1413</v>
      </c>
      <c r="D4161" s="177" t="n">
        <v>2</v>
      </c>
      <c r="E4161" s="178" t="inlineStr">
        <is>
          <t>1413/02/28</t>
        </is>
      </c>
      <c r="F4161" s="134" t="inlineStr">
        <is>
          <t>1413/02</t>
        </is>
      </c>
      <c r="G4161" s="61" t="inlineStr">
        <is>
          <t>اردیبهشت</t>
        </is>
      </c>
      <c r="H4161" s="134" t="inlineStr">
        <is>
          <t>بهار</t>
        </is>
      </c>
      <c r="I4161" s="134" t="inlineStr">
        <is>
          <t>پنجشنبه</t>
        </is>
      </c>
      <c r="J4161" s="134" t="inlineStr">
        <is>
          <t>بله</t>
        </is>
      </c>
    </row>
    <row r="4162">
      <c r="A4162" s="173" t="n">
        <v>49083</v>
      </c>
      <c r="B4162" s="174" t="n">
        <v>49083</v>
      </c>
      <c r="C4162" s="174" t="n">
        <v>1413</v>
      </c>
      <c r="D4162" s="174" t="n">
        <v>2</v>
      </c>
      <c r="E4162" s="175" t="inlineStr">
        <is>
          <t>1413/02/29</t>
        </is>
      </c>
      <c r="F4162" s="128" t="inlineStr">
        <is>
          <t>1413/02</t>
        </is>
      </c>
      <c r="G4162" s="58" t="inlineStr">
        <is>
          <t>اردیبهشت</t>
        </is>
      </c>
      <c r="H4162" s="128" t="inlineStr">
        <is>
          <t>بهار</t>
        </is>
      </c>
      <c r="I4162" s="128" t="inlineStr">
        <is>
          <t>جمعه</t>
        </is>
      </c>
      <c r="J4162" s="128" t="inlineStr">
        <is>
          <t>بله</t>
        </is>
      </c>
    </row>
    <row r="4163">
      <c r="A4163" s="176" t="n">
        <v>49084</v>
      </c>
      <c r="B4163" s="177" t="n">
        <v>49084</v>
      </c>
      <c r="C4163" s="177" t="n">
        <v>1413</v>
      </c>
      <c r="D4163" s="177" t="n">
        <v>2</v>
      </c>
      <c r="E4163" s="178" t="inlineStr">
        <is>
          <t>1413/02/30</t>
        </is>
      </c>
      <c r="F4163" s="134" t="inlineStr">
        <is>
          <t>1413/02</t>
        </is>
      </c>
      <c r="G4163" s="61" t="inlineStr">
        <is>
          <t>اردیبهشت</t>
        </is>
      </c>
      <c r="H4163" s="134" t="inlineStr">
        <is>
          <t>بهار</t>
        </is>
      </c>
      <c r="I4163" s="134" t="inlineStr">
        <is>
          <t>شنبه</t>
        </is>
      </c>
      <c r="J4163" s="134" t="inlineStr">
        <is>
          <t>خیر</t>
        </is>
      </c>
    </row>
    <row r="4164">
      <c r="A4164" s="173" t="n">
        <v>49085</v>
      </c>
      <c r="B4164" s="174" t="n">
        <v>49085</v>
      </c>
      <c r="C4164" s="174" t="n">
        <v>1413</v>
      </c>
      <c r="D4164" s="174" t="n">
        <v>2</v>
      </c>
      <c r="E4164" s="175" t="inlineStr">
        <is>
          <t>1413/02/31</t>
        </is>
      </c>
      <c r="F4164" s="128" t="inlineStr">
        <is>
          <t>1413/02</t>
        </is>
      </c>
      <c r="G4164" s="58" t="inlineStr">
        <is>
          <t>اردیبهشت</t>
        </is>
      </c>
      <c r="H4164" s="128" t="inlineStr">
        <is>
          <t>بهار</t>
        </is>
      </c>
      <c r="I4164" s="128" t="inlineStr">
        <is>
          <t>یکشنبه</t>
        </is>
      </c>
      <c r="J4164" s="128" t="inlineStr">
        <is>
          <t>خیر</t>
        </is>
      </c>
    </row>
    <row r="4165">
      <c r="A4165" s="176" t="n">
        <v>49086</v>
      </c>
      <c r="B4165" s="177" t="n">
        <v>49086</v>
      </c>
      <c r="C4165" s="177" t="n">
        <v>1413</v>
      </c>
      <c r="D4165" s="177" t="n">
        <v>3</v>
      </c>
      <c r="E4165" s="178" t="inlineStr">
        <is>
          <t>1413/03/01</t>
        </is>
      </c>
      <c r="F4165" s="134" t="inlineStr">
        <is>
          <t>1413/03</t>
        </is>
      </c>
      <c r="G4165" s="61" t="inlineStr">
        <is>
          <t>خرداد</t>
        </is>
      </c>
      <c r="H4165" s="134" t="inlineStr">
        <is>
          <t>بهار</t>
        </is>
      </c>
      <c r="I4165" s="134" t="inlineStr">
        <is>
          <t>دوشنبه</t>
        </is>
      </c>
      <c r="J4165" s="134" t="inlineStr">
        <is>
          <t>بله</t>
        </is>
      </c>
    </row>
    <row r="4166">
      <c r="A4166" s="173" t="n">
        <v>49087</v>
      </c>
      <c r="B4166" s="174" t="n">
        <v>49087</v>
      </c>
      <c r="C4166" s="174" t="n">
        <v>1413</v>
      </c>
      <c r="D4166" s="174" t="n">
        <v>3</v>
      </c>
      <c r="E4166" s="175" t="inlineStr">
        <is>
          <t>1413/03/02</t>
        </is>
      </c>
      <c r="F4166" s="128" t="inlineStr">
        <is>
          <t>1413/03</t>
        </is>
      </c>
      <c r="G4166" s="58" t="inlineStr">
        <is>
          <t>خرداد</t>
        </is>
      </c>
      <c r="H4166" s="128" t="inlineStr">
        <is>
          <t>بهار</t>
        </is>
      </c>
      <c r="I4166" s="128" t="inlineStr">
        <is>
          <t>سه‌شنبه</t>
        </is>
      </c>
      <c r="J4166" s="128" t="inlineStr">
        <is>
          <t>بله</t>
        </is>
      </c>
    </row>
    <row r="4167">
      <c r="A4167" s="176" t="n">
        <v>49088</v>
      </c>
      <c r="B4167" s="177" t="n">
        <v>49088</v>
      </c>
      <c r="C4167" s="177" t="n">
        <v>1413</v>
      </c>
      <c r="D4167" s="177" t="n">
        <v>3</v>
      </c>
      <c r="E4167" s="178" t="inlineStr">
        <is>
          <t>1413/03/03</t>
        </is>
      </c>
      <c r="F4167" s="134" t="inlineStr">
        <is>
          <t>1413/03</t>
        </is>
      </c>
      <c r="G4167" s="61" t="inlineStr">
        <is>
          <t>خرداد</t>
        </is>
      </c>
      <c r="H4167" s="134" t="inlineStr">
        <is>
          <t>بهار</t>
        </is>
      </c>
      <c r="I4167" s="134" t="inlineStr">
        <is>
          <t>چهارشنبه</t>
        </is>
      </c>
      <c r="J4167" s="134" t="inlineStr">
        <is>
          <t>بله</t>
        </is>
      </c>
    </row>
    <row r="4168">
      <c r="A4168" s="173" t="n">
        <v>49089</v>
      </c>
      <c r="B4168" s="174" t="n">
        <v>49089</v>
      </c>
      <c r="C4168" s="174" t="n">
        <v>1413</v>
      </c>
      <c r="D4168" s="174" t="n">
        <v>3</v>
      </c>
      <c r="E4168" s="175" t="inlineStr">
        <is>
          <t>1413/03/04</t>
        </is>
      </c>
      <c r="F4168" s="128" t="inlineStr">
        <is>
          <t>1413/03</t>
        </is>
      </c>
      <c r="G4168" s="58" t="inlineStr">
        <is>
          <t>خرداد</t>
        </is>
      </c>
      <c r="H4168" s="128" t="inlineStr">
        <is>
          <t>بهار</t>
        </is>
      </c>
      <c r="I4168" s="128" t="inlineStr">
        <is>
          <t>پنجشنبه</t>
        </is>
      </c>
      <c r="J4168" s="128" t="inlineStr">
        <is>
          <t>بله</t>
        </is>
      </c>
    </row>
    <row r="4169">
      <c r="A4169" s="176" t="n">
        <v>49090</v>
      </c>
      <c r="B4169" s="177" t="n">
        <v>49090</v>
      </c>
      <c r="C4169" s="177" t="n">
        <v>1413</v>
      </c>
      <c r="D4169" s="177" t="n">
        <v>3</v>
      </c>
      <c r="E4169" s="178" t="inlineStr">
        <is>
          <t>1413/03/05</t>
        </is>
      </c>
      <c r="F4169" s="134" t="inlineStr">
        <is>
          <t>1413/03</t>
        </is>
      </c>
      <c r="G4169" s="61" t="inlineStr">
        <is>
          <t>خرداد</t>
        </is>
      </c>
      <c r="H4169" s="134" t="inlineStr">
        <is>
          <t>بهار</t>
        </is>
      </c>
      <c r="I4169" s="134" t="inlineStr">
        <is>
          <t>جمعه</t>
        </is>
      </c>
      <c r="J4169" s="134" t="inlineStr">
        <is>
          <t>بله</t>
        </is>
      </c>
    </row>
    <row r="4170">
      <c r="A4170" s="173" t="n">
        <v>49091</v>
      </c>
      <c r="B4170" s="174" t="n">
        <v>49091</v>
      </c>
      <c r="C4170" s="174" t="n">
        <v>1413</v>
      </c>
      <c r="D4170" s="174" t="n">
        <v>3</v>
      </c>
      <c r="E4170" s="175" t="inlineStr">
        <is>
          <t>1413/03/06</t>
        </is>
      </c>
      <c r="F4170" s="128" t="inlineStr">
        <is>
          <t>1413/03</t>
        </is>
      </c>
      <c r="G4170" s="58" t="inlineStr">
        <is>
          <t>خرداد</t>
        </is>
      </c>
      <c r="H4170" s="128" t="inlineStr">
        <is>
          <t>بهار</t>
        </is>
      </c>
      <c r="I4170" s="128" t="inlineStr">
        <is>
          <t>شنبه</t>
        </is>
      </c>
      <c r="J4170" s="128" t="inlineStr">
        <is>
          <t>خیر</t>
        </is>
      </c>
    </row>
    <row r="4171">
      <c r="A4171" s="176" t="n">
        <v>49092</v>
      </c>
      <c r="B4171" s="177" t="n">
        <v>49092</v>
      </c>
      <c r="C4171" s="177" t="n">
        <v>1413</v>
      </c>
      <c r="D4171" s="177" t="n">
        <v>3</v>
      </c>
      <c r="E4171" s="178" t="inlineStr">
        <is>
          <t>1413/03/07</t>
        </is>
      </c>
      <c r="F4171" s="134" t="inlineStr">
        <is>
          <t>1413/03</t>
        </is>
      </c>
      <c r="G4171" s="61" t="inlineStr">
        <is>
          <t>خرداد</t>
        </is>
      </c>
      <c r="H4171" s="134" t="inlineStr">
        <is>
          <t>بهار</t>
        </is>
      </c>
      <c r="I4171" s="134" t="inlineStr">
        <is>
          <t>یکشنبه</t>
        </is>
      </c>
      <c r="J4171" s="134" t="inlineStr">
        <is>
          <t>خیر</t>
        </is>
      </c>
    </row>
    <row r="4172">
      <c r="A4172" s="173" t="n">
        <v>49093</v>
      </c>
      <c r="B4172" s="174" t="n">
        <v>49093</v>
      </c>
      <c r="C4172" s="174" t="n">
        <v>1413</v>
      </c>
      <c r="D4172" s="174" t="n">
        <v>3</v>
      </c>
      <c r="E4172" s="175" t="inlineStr">
        <is>
          <t>1413/03/08</t>
        </is>
      </c>
      <c r="F4172" s="128" t="inlineStr">
        <is>
          <t>1413/03</t>
        </is>
      </c>
      <c r="G4172" s="58" t="inlineStr">
        <is>
          <t>خرداد</t>
        </is>
      </c>
      <c r="H4172" s="128" t="inlineStr">
        <is>
          <t>بهار</t>
        </is>
      </c>
      <c r="I4172" s="128" t="inlineStr">
        <is>
          <t>دوشنبه</t>
        </is>
      </c>
      <c r="J4172" s="128" t="inlineStr">
        <is>
          <t>بله</t>
        </is>
      </c>
    </row>
    <row r="4173">
      <c r="A4173" s="176" t="n">
        <v>49094</v>
      </c>
      <c r="B4173" s="177" t="n">
        <v>49094</v>
      </c>
      <c r="C4173" s="177" t="n">
        <v>1413</v>
      </c>
      <c r="D4173" s="177" t="n">
        <v>3</v>
      </c>
      <c r="E4173" s="178" t="inlineStr">
        <is>
          <t>1413/03/09</t>
        </is>
      </c>
      <c r="F4173" s="134" t="inlineStr">
        <is>
          <t>1413/03</t>
        </is>
      </c>
      <c r="G4173" s="61" t="inlineStr">
        <is>
          <t>خرداد</t>
        </is>
      </c>
      <c r="H4173" s="134" t="inlineStr">
        <is>
          <t>بهار</t>
        </is>
      </c>
      <c r="I4173" s="134" t="inlineStr">
        <is>
          <t>سه‌شنبه</t>
        </is>
      </c>
      <c r="J4173" s="134" t="inlineStr">
        <is>
          <t>بله</t>
        </is>
      </c>
    </row>
    <row r="4174">
      <c r="A4174" s="173" t="n">
        <v>49095</v>
      </c>
      <c r="B4174" s="174" t="n">
        <v>49095</v>
      </c>
      <c r="C4174" s="174" t="n">
        <v>1413</v>
      </c>
      <c r="D4174" s="174" t="n">
        <v>3</v>
      </c>
      <c r="E4174" s="175" t="inlineStr">
        <is>
          <t>1413/03/10</t>
        </is>
      </c>
      <c r="F4174" s="128" t="inlineStr">
        <is>
          <t>1413/03</t>
        </is>
      </c>
      <c r="G4174" s="58" t="inlineStr">
        <is>
          <t>خرداد</t>
        </is>
      </c>
      <c r="H4174" s="128" t="inlineStr">
        <is>
          <t>بهار</t>
        </is>
      </c>
      <c r="I4174" s="128" t="inlineStr">
        <is>
          <t>چهارشنبه</t>
        </is>
      </c>
      <c r="J4174" s="128" t="inlineStr">
        <is>
          <t>بله</t>
        </is>
      </c>
    </row>
    <row r="4175">
      <c r="A4175" s="176" t="n">
        <v>49096</v>
      </c>
      <c r="B4175" s="177" t="n">
        <v>49096</v>
      </c>
      <c r="C4175" s="177" t="n">
        <v>1413</v>
      </c>
      <c r="D4175" s="177" t="n">
        <v>3</v>
      </c>
      <c r="E4175" s="178" t="inlineStr">
        <is>
          <t>1413/03/11</t>
        </is>
      </c>
      <c r="F4175" s="134" t="inlineStr">
        <is>
          <t>1413/03</t>
        </is>
      </c>
      <c r="G4175" s="61" t="inlineStr">
        <is>
          <t>خرداد</t>
        </is>
      </c>
      <c r="H4175" s="134" t="inlineStr">
        <is>
          <t>بهار</t>
        </is>
      </c>
      <c r="I4175" s="134" t="inlineStr">
        <is>
          <t>پنجشنبه</t>
        </is>
      </c>
      <c r="J4175" s="134" t="inlineStr">
        <is>
          <t>بله</t>
        </is>
      </c>
    </row>
    <row r="4176">
      <c r="A4176" s="173" t="n">
        <v>49097</v>
      </c>
      <c r="B4176" s="174" t="n">
        <v>49097</v>
      </c>
      <c r="C4176" s="174" t="n">
        <v>1413</v>
      </c>
      <c r="D4176" s="174" t="n">
        <v>3</v>
      </c>
      <c r="E4176" s="175" t="inlineStr">
        <is>
          <t>1413/03/12</t>
        </is>
      </c>
      <c r="F4176" s="128" t="inlineStr">
        <is>
          <t>1413/03</t>
        </is>
      </c>
      <c r="G4176" s="58" t="inlineStr">
        <is>
          <t>خرداد</t>
        </is>
      </c>
      <c r="H4176" s="128" t="inlineStr">
        <is>
          <t>بهار</t>
        </is>
      </c>
      <c r="I4176" s="128" t="inlineStr">
        <is>
          <t>جمعه</t>
        </is>
      </c>
      <c r="J4176" s="128" t="inlineStr">
        <is>
          <t>بله</t>
        </is>
      </c>
    </row>
    <row r="4177">
      <c r="A4177" s="176" t="n">
        <v>49098</v>
      </c>
      <c r="B4177" s="177" t="n">
        <v>49098</v>
      </c>
      <c r="C4177" s="177" t="n">
        <v>1413</v>
      </c>
      <c r="D4177" s="177" t="n">
        <v>3</v>
      </c>
      <c r="E4177" s="178" t="inlineStr">
        <is>
          <t>1413/03/13</t>
        </is>
      </c>
      <c r="F4177" s="134" t="inlineStr">
        <is>
          <t>1413/03</t>
        </is>
      </c>
      <c r="G4177" s="61" t="inlineStr">
        <is>
          <t>خرداد</t>
        </is>
      </c>
      <c r="H4177" s="134" t="inlineStr">
        <is>
          <t>بهار</t>
        </is>
      </c>
      <c r="I4177" s="134" t="inlineStr">
        <is>
          <t>شنبه</t>
        </is>
      </c>
      <c r="J4177" s="134" t="inlineStr">
        <is>
          <t>خیر</t>
        </is>
      </c>
    </row>
    <row r="4178">
      <c r="A4178" s="173" t="n">
        <v>49099</v>
      </c>
      <c r="B4178" s="174" t="n">
        <v>49099</v>
      </c>
      <c r="C4178" s="174" t="n">
        <v>1413</v>
      </c>
      <c r="D4178" s="174" t="n">
        <v>3</v>
      </c>
      <c r="E4178" s="175" t="inlineStr">
        <is>
          <t>1413/03/14</t>
        </is>
      </c>
      <c r="F4178" s="128" t="inlineStr">
        <is>
          <t>1413/03</t>
        </is>
      </c>
      <c r="G4178" s="58" t="inlineStr">
        <is>
          <t>خرداد</t>
        </is>
      </c>
      <c r="H4178" s="128" t="inlineStr">
        <is>
          <t>بهار</t>
        </is>
      </c>
      <c r="I4178" s="128" t="inlineStr">
        <is>
          <t>یکشنبه</t>
        </is>
      </c>
      <c r="J4178" s="128" t="inlineStr">
        <is>
          <t>خیر</t>
        </is>
      </c>
    </row>
    <row r="4179">
      <c r="A4179" s="176" t="n">
        <v>49100</v>
      </c>
      <c r="B4179" s="177" t="n">
        <v>49100</v>
      </c>
      <c r="C4179" s="177" t="n">
        <v>1413</v>
      </c>
      <c r="D4179" s="177" t="n">
        <v>3</v>
      </c>
      <c r="E4179" s="178" t="inlineStr">
        <is>
          <t>1413/03/15</t>
        </is>
      </c>
      <c r="F4179" s="134" t="inlineStr">
        <is>
          <t>1413/03</t>
        </is>
      </c>
      <c r="G4179" s="61" t="inlineStr">
        <is>
          <t>خرداد</t>
        </is>
      </c>
      <c r="H4179" s="134" t="inlineStr">
        <is>
          <t>بهار</t>
        </is>
      </c>
      <c r="I4179" s="134" t="inlineStr">
        <is>
          <t>دوشنبه</t>
        </is>
      </c>
      <c r="J4179" s="134" t="inlineStr">
        <is>
          <t>بله</t>
        </is>
      </c>
    </row>
    <row r="4180">
      <c r="A4180" s="173" t="n">
        <v>49101</v>
      </c>
      <c r="B4180" s="174" t="n">
        <v>49101</v>
      </c>
      <c r="C4180" s="174" t="n">
        <v>1413</v>
      </c>
      <c r="D4180" s="174" t="n">
        <v>3</v>
      </c>
      <c r="E4180" s="175" t="inlineStr">
        <is>
          <t>1413/03/16</t>
        </is>
      </c>
      <c r="F4180" s="128" t="inlineStr">
        <is>
          <t>1413/03</t>
        </is>
      </c>
      <c r="G4180" s="58" t="inlineStr">
        <is>
          <t>خرداد</t>
        </is>
      </c>
      <c r="H4180" s="128" t="inlineStr">
        <is>
          <t>بهار</t>
        </is>
      </c>
      <c r="I4180" s="128" t="inlineStr">
        <is>
          <t>سه‌شنبه</t>
        </is>
      </c>
      <c r="J4180" s="128" t="inlineStr">
        <is>
          <t>بله</t>
        </is>
      </c>
    </row>
    <row r="4181">
      <c r="A4181" s="176" t="n">
        <v>49102</v>
      </c>
      <c r="B4181" s="177" t="n">
        <v>49102</v>
      </c>
      <c r="C4181" s="177" t="n">
        <v>1413</v>
      </c>
      <c r="D4181" s="177" t="n">
        <v>3</v>
      </c>
      <c r="E4181" s="178" t="inlineStr">
        <is>
          <t>1413/03/17</t>
        </is>
      </c>
      <c r="F4181" s="134" t="inlineStr">
        <is>
          <t>1413/03</t>
        </is>
      </c>
      <c r="G4181" s="61" t="inlineStr">
        <is>
          <t>خرداد</t>
        </is>
      </c>
      <c r="H4181" s="134" t="inlineStr">
        <is>
          <t>بهار</t>
        </is>
      </c>
      <c r="I4181" s="134" t="inlineStr">
        <is>
          <t>چهارشنبه</t>
        </is>
      </c>
      <c r="J4181" s="134" t="inlineStr">
        <is>
          <t>بله</t>
        </is>
      </c>
    </row>
    <row r="4182">
      <c r="A4182" s="173" t="n">
        <v>49103</v>
      </c>
      <c r="B4182" s="174" t="n">
        <v>49103</v>
      </c>
      <c r="C4182" s="174" t="n">
        <v>1413</v>
      </c>
      <c r="D4182" s="174" t="n">
        <v>3</v>
      </c>
      <c r="E4182" s="175" t="inlineStr">
        <is>
          <t>1413/03/18</t>
        </is>
      </c>
      <c r="F4182" s="128" t="inlineStr">
        <is>
          <t>1413/03</t>
        </is>
      </c>
      <c r="G4182" s="58" t="inlineStr">
        <is>
          <t>خرداد</t>
        </is>
      </c>
      <c r="H4182" s="128" t="inlineStr">
        <is>
          <t>بهار</t>
        </is>
      </c>
      <c r="I4182" s="128" t="inlineStr">
        <is>
          <t>پنجشنبه</t>
        </is>
      </c>
      <c r="J4182" s="128" t="inlineStr">
        <is>
          <t>بله</t>
        </is>
      </c>
    </row>
    <row r="4183">
      <c r="A4183" s="176" t="n">
        <v>49104</v>
      </c>
      <c r="B4183" s="177" t="n">
        <v>49104</v>
      </c>
      <c r="C4183" s="177" t="n">
        <v>1413</v>
      </c>
      <c r="D4183" s="177" t="n">
        <v>3</v>
      </c>
      <c r="E4183" s="178" t="inlineStr">
        <is>
          <t>1413/03/19</t>
        </is>
      </c>
      <c r="F4183" s="134" t="inlineStr">
        <is>
          <t>1413/03</t>
        </is>
      </c>
      <c r="G4183" s="61" t="inlineStr">
        <is>
          <t>خرداد</t>
        </is>
      </c>
      <c r="H4183" s="134" t="inlineStr">
        <is>
          <t>بهار</t>
        </is>
      </c>
      <c r="I4183" s="134" t="inlineStr">
        <is>
          <t>جمعه</t>
        </is>
      </c>
      <c r="J4183" s="134" t="inlineStr">
        <is>
          <t>بله</t>
        </is>
      </c>
    </row>
    <row r="4184">
      <c r="A4184" s="173" t="n">
        <v>49105</v>
      </c>
      <c r="B4184" s="174" t="n">
        <v>49105</v>
      </c>
      <c r="C4184" s="174" t="n">
        <v>1413</v>
      </c>
      <c r="D4184" s="174" t="n">
        <v>3</v>
      </c>
      <c r="E4184" s="175" t="inlineStr">
        <is>
          <t>1413/03/20</t>
        </is>
      </c>
      <c r="F4184" s="128" t="inlineStr">
        <is>
          <t>1413/03</t>
        </is>
      </c>
      <c r="G4184" s="58" t="inlineStr">
        <is>
          <t>خرداد</t>
        </is>
      </c>
      <c r="H4184" s="128" t="inlineStr">
        <is>
          <t>بهار</t>
        </is>
      </c>
      <c r="I4184" s="128" t="inlineStr">
        <is>
          <t>شنبه</t>
        </is>
      </c>
      <c r="J4184" s="128" t="inlineStr">
        <is>
          <t>خیر</t>
        </is>
      </c>
    </row>
    <row r="4185">
      <c r="A4185" s="176" t="n">
        <v>49106</v>
      </c>
      <c r="B4185" s="177" t="n">
        <v>49106</v>
      </c>
      <c r="C4185" s="177" t="n">
        <v>1413</v>
      </c>
      <c r="D4185" s="177" t="n">
        <v>3</v>
      </c>
      <c r="E4185" s="178" t="inlineStr">
        <is>
          <t>1413/03/21</t>
        </is>
      </c>
      <c r="F4185" s="134" t="inlineStr">
        <is>
          <t>1413/03</t>
        </is>
      </c>
      <c r="G4185" s="61" t="inlineStr">
        <is>
          <t>خرداد</t>
        </is>
      </c>
      <c r="H4185" s="134" t="inlineStr">
        <is>
          <t>بهار</t>
        </is>
      </c>
      <c r="I4185" s="134" t="inlineStr">
        <is>
          <t>یکشنبه</t>
        </is>
      </c>
      <c r="J4185" s="134" t="inlineStr">
        <is>
          <t>خیر</t>
        </is>
      </c>
    </row>
    <row r="4186">
      <c r="A4186" s="173" t="n">
        <v>49107</v>
      </c>
      <c r="B4186" s="174" t="n">
        <v>49107</v>
      </c>
      <c r="C4186" s="174" t="n">
        <v>1413</v>
      </c>
      <c r="D4186" s="174" t="n">
        <v>3</v>
      </c>
      <c r="E4186" s="175" t="inlineStr">
        <is>
          <t>1413/03/22</t>
        </is>
      </c>
      <c r="F4186" s="128" t="inlineStr">
        <is>
          <t>1413/03</t>
        </is>
      </c>
      <c r="G4186" s="58" t="inlineStr">
        <is>
          <t>خرداد</t>
        </is>
      </c>
      <c r="H4186" s="128" t="inlineStr">
        <is>
          <t>بهار</t>
        </is>
      </c>
      <c r="I4186" s="128" t="inlineStr">
        <is>
          <t>دوشنبه</t>
        </is>
      </c>
      <c r="J4186" s="128" t="inlineStr">
        <is>
          <t>بله</t>
        </is>
      </c>
    </row>
    <row r="4187">
      <c r="A4187" s="176" t="n">
        <v>49108</v>
      </c>
      <c r="B4187" s="177" t="n">
        <v>49108</v>
      </c>
      <c r="C4187" s="177" t="n">
        <v>1413</v>
      </c>
      <c r="D4187" s="177" t="n">
        <v>3</v>
      </c>
      <c r="E4187" s="178" t="inlineStr">
        <is>
          <t>1413/03/23</t>
        </is>
      </c>
      <c r="F4187" s="134" t="inlineStr">
        <is>
          <t>1413/03</t>
        </is>
      </c>
      <c r="G4187" s="61" t="inlineStr">
        <is>
          <t>خرداد</t>
        </is>
      </c>
      <c r="H4187" s="134" t="inlineStr">
        <is>
          <t>بهار</t>
        </is>
      </c>
      <c r="I4187" s="134" t="inlineStr">
        <is>
          <t>سه‌شنبه</t>
        </is>
      </c>
      <c r="J4187" s="134" t="inlineStr">
        <is>
          <t>بله</t>
        </is>
      </c>
    </row>
    <row r="4188">
      <c r="A4188" s="173" t="n">
        <v>49109</v>
      </c>
      <c r="B4188" s="174" t="n">
        <v>49109</v>
      </c>
      <c r="C4188" s="174" t="n">
        <v>1413</v>
      </c>
      <c r="D4188" s="174" t="n">
        <v>3</v>
      </c>
      <c r="E4188" s="175" t="inlineStr">
        <is>
          <t>1413/03/24</t>
        </is>
      </c>
      <c r="F4188" s="128" t="inlineStr">
        <is>
          <t>1413/03</t>
        </is>
      </c>
      <c r="G4188" s="58" t="inlineStr">
        <is>
          <t>خرداد</t>
        </is>
      </c>
      <c r="H4188" s="128" t="inlineStr">
        <is>
          <t>بهار</t>
        </is>
      </c>
      <c r="I4188" s="128" t="inlineStr">
        <is>
          <t>چهارشنبه</t>
        </is>
      </c>
      <c r="J4188" s="128" t="inlineStr">
        <is>
          <t>بله</t>
        </is>
      </c>
    </row>
    <row r="4189">
      <c r="A4189" s="176" t="n">
        <v>49110</v>
      </c>
      <c r="B4189" s="177" t="n">
        <v>49110</v>
      </c>
      <c r="C4189" s="177" t="n">
        <v>1413</v>
      </c>
      <c r="D4189" s="177" t="n">
        <v>3</v>
      </c>
      <c r="E4189" s="178" t="inlineStr">
        <is>
          <t>1413/03/25</t>
        </is>
      </c>
      <c r="F4189" s="134" t="inlineStr">
        <is>
          <t>1413/03</t>
        </is>
      </c>
      <c r="G4189" s="61" t="inlineStr">
        <is>
          <t>خرداد</t>
        </is>
      </c>
      <c r="H4189" s="134" t="inlineStr">
        <is>
          <t>بهار</t>
        </is>
      </c>
      <c r="I4189" s="134" t="inlineStr">
        <is>
          <t>پنجشنبه</t>
        </is>
      </c>
      <c r="J4189" s="134" t="inlineStr">
        <is>
          <t>بله</t>
        </is>
      </c>
    </row>
    <row r="4190">
      <c r="A4190" s="173" t="n">
        <v>49111</v>
      </c>
      <c r="B4190" s="174" t="n">
        <v>49111</v>
      </c>
      <c r="C4190" s="174" t="n">
        <v>1413</v>
      </c>
      <c r="D4190" s="174" t="n">
        <v>3</v>
      </c>
      <c r="E4190" s="175" t="inlineStr">
        <is>
          <t>1413/03/26</t>
        </is>
      </c>
      <c r="F4190" s="128" t="inlineStr">
        <is>
          <t>1413/03</t>
        </is>
      </c>
      <c r="G4190" s="58" t="inlineStr">
        <is>
          <t>خرداد</t>
        </is>
      </c>
      <c r="H4190" s="128" t="inlineStr">
        <is>
          <t>بهار</t>
        </is>
      </c>
      <c r="I4190" s="128" t="inlineStr">
        <is>
          <t>جمعه</t>
        </is>
      </c>
      <c r="J4190" s="128" t="inlineStr">
        <is>
          <t>بله</t>
        </is>
      </c>
    </row>
    <row r="4191">
      <c r="A4191" s="176" t="n">
        <v>49112</v>
      </c>
      <c r="B4191" s="177" t="n">
        <v>49112</v>
      </c>
      <c r="C4191" s="177" t="n">
        <v>1413</v>
      </c>
      <c r="D4191" s="177" t="n">
        <v>3</v>
      </c>
      <c r="E4191" s="178" t="inlineStr">
        <is>
          <t>1413/03/27</t>
        </is>
      </c>
      <c r="F4191" s="134" t="inlineStr">
        <is>
          <t>1413/03</t>
        </is>
      </c>
      <c r="G4191" s="61" t="inlineStr">
        <is>
          <t>خرداد</t>
        </is>
      </c>
      <c r="H4191" s="134" t="inlineStr">
        <is>
          <t>بهار</t>
        </is>
      </c>
      <c r="I4191" s="134" t="inlineStr">
        <is>
          <t>شنبه</t>
        </is>
      </c>
      <c r="J4191" s="134" t="inlineStr">
        <is>
          <t>خیر</t>
        </is>
      </c>
    </row>
    <row r="4192">
      <c r="A4192" s="173" t="n">
        <v>49113</v>
      </c>
      <c r="B4192" s="174" t="n">
        <v>49113</v>
      </c>
      <c r="C4192" s="174" t="n">
        <v>1413</v>
      </c>
      <c r="D4192" s="174" t="n">
        <v>3</v>
      </c>
      <c r="E4192" s="175" t="inlineStr">
        <is>
          <t>1413/03/28</t>
        </is>
      </c>
      <c r="F4192" s="128" t="inlineStr">
        <is>
          <t>1413/03</t>
        </is>
      </c>
      <c r="G4192" s="58" t="inlineStr">
        <is>
          <t>خرداد</t>
        </is>
      </c>
      <c r="H4192" s="128" t="inlineStr">
        <is>
          <t>بهار</t>
        </is>
      </c>
      <c r="I4192" s="128" t="inlineStr">
        <is>
          <t>یکشنبه</t>
        </is>
      </c>
      <c r="J4192" s="128" t="inlineStr">
        <is>
          <t>خیر</t>
        </is>
      </c>
    </row>
    <row r="4193">
      <c r="A4193" s="176" t="n">
        <v>49114</v>
      </c>
      <c r="B4193" s="177" t="n">
        <v>49114</v>
      </c>
      <c r="C4193" s="177" t="n">
        <v>1413</v>
      </c>
      <c r="D4193" s="177" t="n">
        <v>3</v>
      </c>
      <c r="E4193" s="178" t="inlineStr">
        <is>
          <t>1413/03/29</t>
        </is>
      </c>
      <c r="F4193" s="134" t="inlineStr">
        <is>
          <t>1413/03</t>
        </is>
      </c>
      <c r="G4193" s="61" t="inlineStr">
        <is>
          <t>خرداد</t>
        </is>
      </c>
      <c r="H4193" s="134" t="inlineStr">
        <is>
          <t>بهار</t>
        </is>
      </c>
      <c r="I4193" s="134" t="inlineStr">
        <is>
          <t>دوشنبه</t>
        </is>
      </c>
      <c r="J4193" s="134" t="inlineStr">
        <is>
          <t>بله</t>
        </is>
      </c>
    </row>
    <row r="4194">
      <c r="A4194" s="173" t="n">
        <v>49115</v>
      </c>
      <c r="B4194" s="174" t="n">
        <v>49115</v>
      </c>
      <c r="C4194" s="174" t="n">
        <v>1413</v>
      </c>
      <c r="D4194" s="174" t="n">
        <v>3</v>
      </c>
      <c r="E4194" s="175" t="inlineStr">
        <is>
          <t>1413/03/30</t>
        </is>
      </c>
      <c r="F4194" s="128" t="inlineStr">
        <is>
          <t>1413/03</t>
        </is>
      </c>
      <c r="G4194" s="58" t="inlineStr">
        <is>
          <t>خرداد</t>
        </is>
      </c>
      <c r="H4194" s="128" t="inlineStr">
        <is>
          <t>بهار</t>
        </is>
      </c>
      <c r="I4194" s="128" t="inlineStr">
        <is>
          <t>سه‌شنبه</t>
        </is>
      </c>
      <c r="J4194" s="128" t="inlineStr">
        <is>
          <t>بله</t>
        </is>
      </c>
    </row>
    <row r="4195">
      <c r="A4195" s="176" t="n">
        <v>49116</v>
      </c>
      <c r="B4195" s="177" t="n">
        <v>49116</v>
      </c>
      <c r="C4195" s="177" t="n">
        <v>1413</v>
      </c>
      <c r="D4195" s="177" t="n">
        <v>3</v>
      </c>
      <c r="E4195" s="178" t="inlineStr">
        <is>
          <t>1413/03/31</t>
        </is>
      </c>
      <c r="F4195" s="134" t="inlineStr">
        <is>
          <t>1413/03</t>
        </is>
      </c>
      <c r="G4195" s="61" t="inlineStr">
        <is>
          <t>خرداد</t>
        </is>
      </c>
      <c r="H4195" s="134" t="inlineStr">
        <is>
          <t>بهار</t>
        </is>
      </c>
      <c r="I4195" s="134" t="inlineStr">
        <is>
          <t>چهارشنبه</t>
        </is>
      </c>
      <c r="J4195" s="134" t="inlineStr">
        <is>
          <t>بله</t>
        </is>
      </c>
    </row>
    <row r="4196">
      <c r="A4196" s="173" t="n">
        <v>49117</v>
      </c>
      <c r="B4196" s="174" t="n">
        <v>49117</v>
      </c>
      <c r="C4196" s="174" t="n">
        <v>1413</v>
      </c>
      <c r="D4196" s="174" t="n">
        <v>4</v>
      </c>
      <c r="E4196" s="175" t="inlineStr">
        <is>
          <t>1413/04/01</t>
        </is>
      </c>
      <c r="F4196" s="128" t="inlineStr">
        <is>
          <t>1413/04</t>
        </is>
      </c>
      <c r="G4196" s="58" t="inlineStr">
        <is>
          <t>تیر</t>
        </is>
      </c>
      <c r="H4196" s="128" t="inlineStr">
        <is>
          <t>تابستان</t>
        </is>
      </c>
      <c r="I4196" s="128" t="inlineStr">
        <is>
          <t>پنجشنبه</t>
        </is>
      </c>
      <c r="J4196" s="128" t="inlineStr">
        <is>
          <t>بله</t>
        </is>
      </c>
    </row>
    <row r="4197">
      <c r="A4197" s="176" t="n">
        <v>49118</v>
      </c>
      <c r="B4197" s="177" t="n">
        <v>49118</v>
      </c>
      <c r="C4197" s="177" t="n">
        <v>1413</v>
      </c>
      <c r="D4197" s="177" t="n">
        <v>4</v>
      </c>
      <c r="E4197" s="178" t="inlineStr">
        <is>
          <t>1413/04/02</t>
        </is>
      </c>
      <c r="F4197" s="134" t="inlineStr">
        <is>
          <t>1413/04</t>
        </is>
      </c>
      <c r="G4197" s="61" t="inlineStr">
        <is>
          <t>تیر</t>
        </is>
      </c>
      <c r="H4197" s="134" t="inlineStr">
        <is>
          <t>تابستان</t>
        </is>
      </c>
      <c r="I4197" s="134" t="inlineStr">
        <is>
          <t>جمعه</t>
        </is>
      </c>
      <c r="J4197" s="134" t="inlineStr">
        <is>
          <t>بله</t>
        </is>
      </c>
    </row>
    <row r="4198">
      <c r="A4198" s="173" t="n">
        <v>49119</v>
      </c>
      <c r="B4198" s="174" t="n">
        <v>49119</v>
      </c>
      <c r="C4198" s="174" t="n">
        <v>1413</v>
      </c>
      <c r="D4198" s="174" t="n">
        <v>4</v>
      </c>
      <c r="E4198" s="175" t="inlineStr">
        <is>
          <t>1413/04/03</t>
        </is>
      </c>
      <c r="F4198" s="128" t="inlineStr">
        <is>
          <t>1413/04</t>
        </is>
      </c>
      <c r="G4198" s="58" t="inlineStr">
        <is>
          <t>تیر</t>
        </is>
      </c>
      <c r="H4198" s="128" t="inlineStr">
        <is>
          <t>تابستان</t>
        </is>
      </c>
      <c r="I4198" s="128" t="inlineStr">
        <is>
          <t>شنبه</t>
        </is>
      </c>
      <c r="J4198" s="128" t="inlineStr">
        <is>
          <t>خیر</t>
        </is>
      </c>
    </row>
    <row r="4199">
      <c r="A4199" s="176" t="n">
        <v>49120</v>
      </c>
      <c r="B4199" s="177" t="n">
        <v>49120</v>
      </c>
      <c r="C4199" s="177" t="n">
        <v>1413</v>
      </c>
      <c r="D4199" s="177" t="n">
        <v>4</v>
      </c>
      <c r="E4199" s="178" t="inlineStr">
        <is>
          <t>1413/04/04</t>
        </is>
      </c>
      <c r="F4199" s="134" t="inlineStr">
        <is>
          <t>1413/04</t>
        </is>
      </c>
      <c r="G4199" s="61" t="inlineStr">
        <is>
          <t>تیر</t>
        </is>
      </c>
      <c r="H4199" s="134" t="inlineStr">
        <is>
          <t>تابستان</t>
        </is>
      </c>
      <c r="I4199" s="134" t="inlineStr">
        <is>
          <t>یکشنبه</t>
        </is>
      </c>
      <c r="J4199" s="134" t="inlineStr">
        <is>
          <t>خیر</t>
        </is>
      </c>
    </row>
    <row r="4200">
      <c r="A4200" s="173" t="n">
        <v>49121</v>
      </c>
      <c r="B4200" s="174" t="n">
        <v>49121</v>
      </c>
      <c r="C4200" s="174" t="n">
        <v>1413</v>
      </c>
      <c r="D4200" s="174" t="n">
        <v>4</v>
      </c>
      <c r="E4200" s="175" t="inlineStr">
        <is>
          <t>1413/04/05</t>
        </is>
      </c>
      <c r="F4200" s="128" t="inlineStr">
        <is>
          <t>1413/04</t>
        </is>
      </c>
      <c r="G4200" s="58" t="inlineStr">
        <is>
          <t>تیر</t>
        </is>
      </c>
      <c r="H4200" s="128" t="inlineStr">
        <is>
          <t>تابستان</t>
        </is>
      </c>
      <c r="I4200" s="128" t="inlineStr">
        <is>
          <t>دوشنبه</t>
        </is>
      </c>
      <c r="J4200" s="128" t="inlineStr">
        <is>
          <t>بله</t>
        </is>
      </c>
    </row>
    <row r="4201">
      <c r="A4201" s="176" t="n">
        <v>49122</v>
      </c>
      <c r="B4201" s="177" t="n">
        <v>49122</v>
      </c>
      <c r="C4201" s="177" t="n">
        <v>1413</v>
      </c>
      <c r="D4201" s="177" t="n">
        <v>4</v>
      </c>
      <c r="E4201" s="178" t="inlineStr">
        <is>
          <t>1413/04/06</t>
        </is>
      </c>
      <c r="F4201" s="134" t="inlineStr">
        <is>
          <t>1413/04</t>
        </is>
      </c>
      <c r="G4201" s="61" t="inlineStr">
        <is>
          <t>تیر</t>
        </is>
      </c>
      <c r="H4201" s="134" t="inlineStr">
        <is>
          <t>تابستان</t>
        </is>
      </c>
      <c r="I4201" s="134" t="inlineStr">
        <is>
          <t>سه‌شنبه</t>
        </is>
      </c>
      <c r="J4201" s="134" t="inlineStr">
        <is>
          <t>بله</t>
        </is>
      </c>
    </row>
    <row r="4202">
      <c r="A4202" s="173" t="n">
        <v>49123</v>
      </c>
      <c r="B4202" s="174" t="n">
        <v>49123</v>
      </c>
      <c r="C4202" s="174" t="n">
        <v>1413</v>
      </c>
      <c r="D4202" s="174" t="n">
        <v>4</v>
      </c>
      <c r="E4202" s="175" t="inlineStr">
        <is>
          <t>1413/04/07</t>
        </is>
      </c>
      <c r="F4202" s="128" t="inlineStr">
        <is>
          <t>1413/04</t>
        </is>
      </c>
      <c r="G4202" s="58" t="inlineStr">
        <is>
          <t>تیر</t>
        </is>
      </c>
      <c r="H4202" s="128" t="inlineStr">
        <is>
          <t>تابستان</t>
        </is>
      </c>
      <c r="I4202" s="128" t="inlineStr">
        <is>
          <t>چهارشنبه</t>
        </is>
      </c>
      <c r="J4202" s="128" t="inlineStr">
        <is>
          <t>بله</t>
        </is>
      </c>
    </row>
    <row r="4203">
      <c r="A4203" s="176" t="n">
        <v>49124</v>
      </c>
      <c r="B4203" s="177" t="n">
        <v>49124</v>
      </c>
      <c r="C4203" s="177" t="n">
        <v>1413</v>
      </c>
      <c r="D4203" s="177" t="n">
        <v>4</v>
      </c>
      <c r="E4203" s="178" t="inlineStr">
        <is>
          <t>1413/04/08</t>
        </is>
      </c>
      <c r="F4203" s="134" t="inlineStr">
        <is>
          <t>1413/04</t>
        </is>
      </c>
      <c r="G4203" s="61" t="inlineStr">
        <is>
          <t>تیر</t>
        </is>
      </c>
      <c r="H4203" s="134" t="inlineStr">
        <is>
          <t>تابستان</t>
        </is>
      </c>
      <c r="I4203" s="134" t="inlineStr">
        <is>
          <t>پنجشنبه</t>
        </is>
      </c>
      <c r="J4203" s="134" t="inlineStr">
        <is>
          <t>بله</t>
        </is>
      </c>
    </row>
    <row r="4204">
      <c r="A4204" s="173" t="n">
        <v>49125</v>
      </c>
      <c r="B4204" s="174" t="n">
        <v>49125</v>
      </c>
      <c r="C4204" s="174" t="n">
        <v>1413</v>
      </c>
      <c r="D4204" s="174" t="n">
        <v>4</v>
      </c>
      <c r="E4204" s="175" t="inlineStr">
        <is>
          <t>1413/04/09</t>
        </is>
      </c>
      <c r="F4204" s="128" t="inlineStr">
        <is>
          <t>1413/04</t>
        </is>
      </c>
      <c r="G4204" s="58" t="inlineStr">
        <is>
          <t>تیر</t>
        </is>
      </c>
      <c r="H4204" s="128" t="inlineStr">
        <is>
          <t>تابستان</t>
        </is>
      </c>
      <c r="I4204" s="128" t="inlineStr">
        <is>
          <t>جمعه</t>
        </is>
      </c>
      <c r="J4204" s="128" t="inlineStr">
        <is>
          <t>بله</t>
        </is>
      </c>
    </row>
    <row r="4205">
      <c r="A4205" s="176" t="n">
        <v>49126</v>
      </c>
      <c r="B4205" s="177" t="n">
        <v>49126</v>
      </c>
      <c r="C4205" s="177" t="n">
        <v>1413</v>
      </c>
      <c r="D4205" s="177" t="n">
        <v>4</v>
      </c>
      <c r="E4205" s="178" t="inlineStr">
        <is>
          <t>1413/04/10</t>
        </is>
      </c>
      <c r="F4205" s="134" t="inlineStr">
        <is>
          <t>1413/04</t>
        </is>
      </c>
      <c r="G4205" s="61" t="inlineStr">
        <is>
          <t>تیر</t>
        </is>
      </c>
      <c r="H4205" s="134" t="inlineStr">
        <is>
          <t>تابستان</t>
        </is>
      </c>
      <c r="I4205" s="134" t="inlineStr">
        <is>
          <t>شنبه</t>
        </is>
      </c>
      <c r="J4205" s="134" t="inlineStr">
        <is>
          <t>خیر</t>
        </is>
      </c>
    </row>
    <row r="4206">
      <c r="A4206" s="173" t="n">
        <v>49127</v>
      </c>
      <c r="B4206" s="174" t="n">
        <v>49127</v>
      </c>
      <c r="C4206" s="174" t="n">
        <v>1413</v>
      </c>
      <c r="D4206" s="174" t="n">
        <v>4</v>
      </c>
      <c r="E4206" s="175" t="inlineStr">
        <is>
          <t>1413/04/11</t>
        </is>
      </c>
      <c r="F4206" s="128" t="inlineStr">
        <is>
          <t>1413/04</t>
        </is>
      </c>
      <c r="G4206" s="58" t="inlineStr">
        <is>
          <t>تیر</t>
        </is>
      </c>
      <c r="H4206" s="128" t="inlineStr">
        <is>
          <t>تابستان</t>
        </is>
      </c>
      <c r="I4206" s="128" t="inlineStr">
        <is>
          <t>یکشنبه</t>
        </is>
      </c>
      <c r="J4206" s="128" t="inlineStr">
        <is>
          <t>خیر</t>
        </is>
      </c>
    </row>
    <row r="4207">
      <c r="A4207" s="176" t="n">
        <v>49128</v>
      </c>
      <c r="B4207" s="177" t="n">
        <v>49128</v>
      </c>
      <c r="C4207" s="177" t="n">
        <v>1413</v>
      </c>
      <c r="D4207" s="177" t="n">
        <v>4</v>
      </c>
      <c r="E4207" s="178" t="inlineStr">
        <is>
          <t>1413/04/12</t>
        </is>
      </c>
      <c r="F4207" s="134" t="inlineStr">
        <is>
          <t>1413/04</t>
        </is>
      </c>
      <c r="G4207" s="61" t="inlineStr">
        <is>
          <t>تیر</t>
        </is>
      </c>
      <c r="H4207" s="134" t="inlineStr">
        <is>
          <t>تابستان</t>
        </is>
      </c>
      <c r="I4207" s="134" t="inlineStr">
        <is>
          <t>دوشنبه</t>
        </is>
      </c>
      <c r="J4207" s="134" t="inlineStr">
        <is>
          <t>بله</t>
        </is>
      </c>
    </row>
    <row r="4208">
      <c r="A4208" s="173" t="n">
        <v>49129</v>
      </c>
      <c r="B4208" s="174" t="n">
        <v>49129</v>
      </c>
      <c r="C4208" s="174" t="n">
        <v>1413</v>
      </c>
      <c r="D4208" s="174" t="n">
        <v>4</v>
      </c>
      <c r="E4208" s="175" t="inlineStr">
        <is>
          <t>1413/04/13</t>
        </is>
      </c>
      <c r="F4208" s="128" t="inlineStr">
        <is>
          <t>1413/04</t>
        </is>
      </c>
      <c r="G4208" s="58" t="inlineStr">
        <is>
          <t>تیر</t>
        </is>
      </c>
      <c r="H4208" s="128" t="inlineStr">
        <is>
          <t>تابستان</t>
        </is>
      </c>
      <c r="I4208" s="128" t="inlineStr">
        <is>
          <t>سه‌شنبه</t>
        </is>
      </c>
      <c r="J4208" s="128" t="inlineStr">
        <is>
          <t>بله</t>
        </is>
      </c>
    </row>
    <row r="4209">
      <c r="A4209" s="176" t="n">
        <v>49130</v>
      </c>
      <c r="B4209" s="177" t="n">
        <v>49130</v>
      </c>
      <c r="C4209" s="177" t="n">
        <v>1413</v>
      </c>
      <c r="D4209" s="177" t="n">
        <v>4</v>
      </c>
      <c r="E4209" s="178" t="inlineStr">
        <is>
          <t>1413/04/14</t>
        </is>
      </c>
      <c r="F4209" s="134" t="inlineStr">
        <is>
          <t>1413/04</t>
        </is>
      </c>
      <c r="G4209" s="61" t="inlineStr">
        <is>
          <t>تیر</t>
        </is>
      </c>
      <c r="H4209" s="134" t="inlineStr">
        <is>
          <t>تابستان</t>
        </is>
      </c>
      <c r="I4209" s="134" t="inlineStr">
        <is>
          <t>چهارشنبه</t>
        </is>
      </c>
      <c r="J4209" s="134" t="inlineStr">
        <is>
          <t>بله</t>
        </is>
      </c>
    </row>
    <row r="4210">
      <c r="A4210" s="173" t="n">
        <v>49131</v>
      </c>
      <c r="B4210" s="174" t="n">
        <v>49131</v>
      </c>
      <c r="C4210" s="174" t="n">
        <v>1413</v>
      </c>
      <c r="D4210" s="174" t="n">
        <v>4</v>
      </c>
      <c r="E4210" s="175" t="inlineStr">
        <is>
          <t>1413/04/15</t>
        </is>
      </c>
      <c r="F4210" s="128" t="inlineStr">
        <is>
          <t>1413/04</t>
        </is>
      </c>
      <c r="G4210" s="58" t="inlineStr">
        <is>
          <t>تیر</t>
        </is>
      </c>
      <c r="H4210" s="128" t="inlineStr">
        <is>
          <t>تابستان</t>
        </is>
      </c>
      <c r="I4210" s="128" t="inlineStr">
        <is>
          <t>پنجشنبه</t>
        </is>
      </c>
      <c r="J4210" s="128" t="inlineStr">
        <is>
          <t>بله</t>
        </is>
      </c>
    </row>
    <row r="4211">
      <c r="A4211" s="176" t="n">
        <v>49132</v>
      </c>
      <c r="B4211" s="177" t="n">
        <v>49132</v>
      </c>
      <c r="C4211" s="177" t="n">
        <v>1413</v>
      </c>
      <c r="D4211" s="177" t="n">
        <v>4</v>
      </c>
      <c r="E4211" s="178" t="inlineStr">
        <is>
          <t>1413/04/16</t>
        </is>
      </c>
      <c r="F4211" s="134" t="inlineStr">
        <is>
          <t>1413/04</t>
        </is>
      </c>
      <c r="G4211" s="61" t="inlineStr">
        <is>
          <t>تیر</t>
        </is>
      </c>
      <c r="H4211" s="134" t="inlineStr">
        <is>
          <t>تابستان</t>
        </is>
      </c>
      <c r="I4211" s="134" t="inlineStr">
        <is>
          <t>جمعه</t>
        </is>
      </c>
      <c r="J4211" s="134" t="inlineStr">
        <is>
          <t>بله</t>
        </is>
      </c>
    </row>
    <row r="4212">
      <c r="A4212" s="173" t="n">
        <v>49133</v>
      </c>
      <c r="B4212" s="174" t="n">
        <v>49133</v>
      </c>
      <c r="C4212" s="174" t="n">
        <v>1413</v>
      </c>
      <c r="D4212" s="174" t="n">
        <v>4</v>
      </c>
      <c r="E4212" s="175" t="inlineStr">
        <is>
          <t>1413/04/17</t>
        </is>
      </c>
      <c r="F4212" s="128" t="inlineStr">
        <is>
          <t>1413/04</t>
        </is>
      </c>
      <c r="G4212" s="58" t="inlineStr">
        <is>
          <t>تیر</t>
        </is>
      </c>
      <c r="H4212" s="128" t="inlineStr">
        <is>
          <t>تابستان</t>
        </is>
      </c>
      <c r="I4212" s="128" t="inlineStr">
        <is>
          <t>شنبه</t>
        </is>
      </c>
      <c r="J4212" s="128" t="inlineStr">
        <is>
          <t>خیر</t>
        </is>
      </c>
    </row>
    <row r="4213">
      <c r="A4213" s="176" t="n">
        <v>49134</v>
      </c>
      <c r="B4213" s="177" t="n">
        <v>49134</v>
      </c>
      <c r="C4213" s="177" t="n">
        <v>1413</v>
      </c>
      <c r="D4213" s="177" t="n">
        <v>4</v>
      </c>
      <c r="E4213" s="178" t="inlineStr">
        <is>
          <t>1413/04/18</t>
        </is>
      </c>
      <c r="F4213" s="134" t="inlineStr">
        <is>
          <t>1413/04</t>
        </is>
      </c>
      <c r="G4213" s="61" t="inlineStr">
        <is>
          <t>تیر</t>
        </is>
      </c>
      <c r="H4213" s="134" t="inlineStr">
        <is>
          <t>تابستان</t>
        </is>
      </c>
      <c r="I4213" s="134" t="inlineStr">
        <is>
          <t>یکشنبه</t>
        </is>
      </c>
      <c r="J4213" s="134" t="inlineStr">
        <is>
          <t>خیر</t>
        </is>
      </c>
    </row>
    <row r="4214">
      <c r="A4214" s="173" t="n">
        <v>49135</v>
      </c>
      <c r="B4214" s="174" t="n">
        <v>49135</v>
      </c>
      <c r="C4214" s="174" t="n">
        <v>1413</v>
      </c>
      <c r="D4214" s="174" t="n">
        <v>4</v>
      </c>
      <c r="E4214" s="175" t="inlineStr">
        <is>
          <t>1413/04/19</t>
        </is>
      </c>
      <c r="F4214" s="128" t="inlineStr">
        <is>
          <t>1413/04</t>
        </is>
      </c>
      <c r="G4214" s="58" t="inlineStr">
        <is>
          <t>تیر</t>
        </is>
      </c>
      <c r="H4214" s="128" t="inlineStr">
        <is>
          <t>تابستان</t>
        </is>
      </c>
      <c r="I4214" s="128" t="inlineStr">
        <is>
          <t>دوشنبه</t>
        </is>
      </c>
      <c r="J4214" s="128" t="inlineStr">
        <is>
          <t>بله</t>
        </is>
      </c>
    </row>
    <row r="4215">
      <c r="A4215" s="176" t="n">
        <v>49136</v>
      </c>
      <c r="B4215" s="177" t="n">
        <v>49136</v>
      </c>
      <c r="C4215" s="177" t="n">
        <v>1413</v>
      </c>
      <c r="D4215" s="177" t="n">
        <v>4</v>
      </c>
      <c r="E4215" s="178" t="inlineStr">
        <is>
          <t>1413/04/20</t>
        </is>
      </c>
      <c r="F4215" s="134" t="inlineStr">
        <is>
          <t>1413/04</t>
        </is>
      </c>
      <c r="G4215" s="61" t="inlineStr">
        <is>
          <t>تیر</t>
        </is>
      </c>
      <c r="H4215" s="134" t="inlineStr">
        <is>
          <t>تابستان</t>
        </is>
      </c>
      <c r="I4215" s="134" t="inlineStr">
        <is>
          <t>سه‌شنبه</t>
        </is>
      </c>
      <c r="J4215" s="134" t="inlineStr">
        <is>
          <t>بله</t>
        </is>
      </c>
    </row>
    <row r="4216">
      <c r="A4216" s="173" t="n">
        <v>49137</v>
      </c>
      <c r="B4216" s="174" t="n">
        <v>49137</v>
      </c>
      <c r="C4216" s="174" t="n">
        <v>1413</v>
      </c>
      <c r="D4216" s="174" t="n">
        <v>4</v>
      </c>
      <c r="E4216" s="175" t="inlineStr">
        <is>
          <t>1413/04/21</t>
        </is>
      </c>
      <c r="F4216" s="128" t="inlineStr">
        <is>
          <t>1413/04</t>
        </is>
      </c>
      <c r="G4216" s="58" t="inlineStr">
        <is>
          <t>تیر</t>
        </is>
      </c>
      <c r="H4216" s="128" t="inlineStr">
        <is>
          <t>تابستان</t>
        </is>
      </c>
      <c r="I4216" s="128" t="inlineStr">
        <is>
          <t>چهارشنبه</t>
        </is>
      </c>
      <c r="J4216" s="128" t="inlineStr">
        <is>
          <t>بله</t>
        </is>
      </c>
    </row>
    <row r="4217">
      <c r="A4217" s="176" t="n">
        <v>49138</v>
      </c>
      <c r="B4217" s="177" t="n">
        <v>49138</v>
      </c>
      <c r="C4217" s="177" t="n">
        <v>1413</v>
      </c>
      <c r="D4217" s="177" t="n">
        <v>4</v>
      </c>
      <c r="E4217" s="178" t="inlineStr">
        <is>
          <t>1413/04/22</t>
        </is>
      </c>
      <c r="F4217" s="134" t="inlineStr">
        <is>
          <t>1413/04</t>
        </is>
      </c>
      <c r="G4217" s="61" t="inlineStr">
        <is>
          <t>تیر</t>
        </is>
      </c>
      <c r="H4217" s="134" t="inlineStr">
        <is>
          <t>تابستان</t>
        </is>
      </c>
      <c r="I4217" s="134" t="inlineStr">
        <is>
          <t>پنجشنبه</t>
        </is>
      </c>
      <c r="J4217" s="134" t="inlineStr">
        <is>
          <t>بله</t>
        </is>
      </c>
    </row>
    <row r="4218">
      <c r="A4218" s="173" t="n">
        <v>49139</v>
      </c>
      <c r="B4218" s="174" t="n">
        <v>49139</v>
      </c>
      <c r="C4218" s="174" t="n">
        <v>1413</v>
      </c>
      <c r="D4218" s="174" t="n">
        <v>4</v>
      </c>
      <c r="E4218" s="175" t="inlineStr">
        <is>
          <t>1413/04/23</t>
        </is>
      </c>
      <c r="F4218" s="128" t="inlineStr">
        <is>
          <t>1413/04</t>
        </is>
      </c>
      <c r="G4218" s="58" t="inlineStr">
        <is>
          <t>تیر</t>
        </is>
      </c>
      <c r="H4218" s="128" t="inlineStr">
        <is>
          <t>تابستان</t>
        </is>
      </c>
      <c r="I4218" s="128" t="inlineStr">
        <is>
          <t>جمعه</t>
        </is>
      </c>
      <c r="J4218" s="128" t="inlineStr">
        <is>
          <t>بله</t>
        </is>
      </c>
    </row>
    <row r="4219">
      <c r="A4219" s="176" t="n">
        <v>49140</v>
      </c>
      <c r="B4219" s="177" t="n">
        <v>49140</v>
      </c>
      <c r="C4219" s="177" t="n">
        <v>1413</v>
      </c>
      <c r="D4219" s="177" t="n">
        <v>4</v>
      </c>
      <c r="E4219" s="178" t="inlineStr">
        <is>
          <t>1413/04/24</t>
        </is>
      </c>
      <c r="F4219" s="134" t="inlineStr">
        <is>
          <t>1413/04</t>
        </is>
      </c>
      <c r="G4219" s="61" t="inlineStr">
        <is>
          <t>تیر</t>
        </is>
      </c>
      <c r="H4219" s="134" t="inlineStr">
        <is>
          <t>تابستان</t>
        </is>
      </c>
      <c r="I4219" s="134" t="inlineStr">
        <is>
          <t>شنبه</t>
        </is>
      </c>
      <c r="J4219" s="134" t="inlineStr">
        <is>
          <t>خیر</t>
        </is>
      </c>
    </row>
    <row r="4220">
      <c r="A4220" s="173" t="n">
        <v>49141</v>
      </c>
      <c r="B4220" s="174" t="n">
        <v>49141</v>
      </c>
      <c r="C4220" s="174" t="n">
        <v>1413</v>
      </c>
      <c r="D4220" s="174" t="n">
        <v>4</v>
      </c>
      <c r="E4220" s="175" t="inlineStr">
        <is>
          <t>1413/04/25</t>
        </is>
      </c>
      <c r="F4220" s="128" t="inlineStr">
        <is>
          <t>1413/04</t>
        </is>
      </c>
      <c r="G4220" s="58" t="inlineStr">
        <is>
          <t>تیر</t>
        </is>
      </c>
      <c r="H4220" s="128" t="inlineStr">
        <is>
          <t>تابستان</t>
        </is>
      </c>
      <c r="I4220" s="128" t="inlineStr">
        <is>
          <t>یکشنبه</t>
        </is>
      </c>
      <c r="J4220" s="128" t="inlineStr">
        <is>
          <t>خیر</t>
        </is>
      </c>
    </row>
    <row r="4221">
      <c r="A4221" s="176" t="n">
        <v>49142</v>
      </c>
      <c r="B4221" s="177" t="n">
        <v>49142</v>
      </c>
      <c r="C4221" s="177" t="n">
        <v>1413</v>
      </c>
      <c r="D4221" s="177" t="n">
        <v>4</v>
      </c>
      <c r="E4221" s="178" t="inlineStr">
        <is>
          <t>1413/04/26</t>
        </is>
      </c>
      <c r="F4221" s="134" t="inlineStr">
        <is>
          <t>1413/04</t>
        </is>
      </c>
      <c r="G4221" s="61" t="inlineStr">
        <is>
          <t>تیر</t>
        </is>
      </c>
      <c r="H4221" s="134" t="inlineStr">
        <is>
          <t>تابستان</t>
        </is>
      </c>
      <c r="I4221" s="134" t="inlineStr">
        <is>
          <t>دوشنبه</t>
        </is>
      </c>
      <c r="J4221" s="134" t="inlineStr">
        <is>
          <t>بله</t>
        </is>
      </c>
    </row>
    <row r="4222">
      <c r="A4222" s="173" t="n">
        <v>49143</v>
      </c>
      <c r="B4222" s="174" t="n">
        <v>49143</v>
      </c>
      <c r="C4222" s="174" t="n">
        <v>1413</v>
      </c>
      <c r="D4222" s="174" t="n">
        <v>4</v>
      </c>
      <c r="E4222" s="175" t="inlineStr">
        <is>
          <t>1413/04/27</t>
        </is>
      </c>
      <c r="F4222" s="128" t="inlineStr">
        <is>
          <t>1413/04</t>
        </is>
      </c>
      <c r="G4222" s="58" t="inlineStr">
        <is>
          <t>تیر</t>
        </is>
      </c>
      <c r="H4222" s="128" t="inlineStr">
        <is>
          <t>تابستان</t>
        </is>
      </c>
      <c r="I4222" s="128" t="inlineStr">
        <is>
          <t>سه‌شنبه</t>
        </is>
      </c>
      <c r="J4222" s="128" t="inlineStr">
        <is>
          <t>بله</t>
        </is>
      </c>
    </row>
    <row r="4223">
      <c r="A4223" s="176" t="n">
        <v>49144</v>
      </c>
      <c r="B4223" s="177" t="n">
        <v>49144</v>
      </c>
      <c r="C4223" s="177" t="n">
        <v>1413</v>
      </c>
      <c r="D4223" s="177" t="n">
        <v>4</v>
      </c>
      <c r="E4223" s="178" t="inlineStr">
        <is>
          <t>1413/04/28</t>
        </is>
      </c>
      <c r="F4223" s="134" t="inlineStr">
        <is>
          <t>1413/04</t>
        </is>
      </c>
      <c r="G4223" s="61" t="inlineStr">
        <is>
          <t>تیر</t>
        </is>
      </c>
      <c r="H4223" s="134" t="inlineStr">
        <is>
          <t>تابستان</t>
        </is>
      </c>
      <c r="I4223" s="134" t="inlineStr">
        <is>
          <t>چهارشنبه</t>
        </is>
      </c>
      <c r="J4223" s="134" t="inlineStr">
        <is>
          <t>بله</t>
        </is>
      </c>
    </row>
    <row r="4224">
      <c r="A4224" s="173" t="n">
        <v>49145</v>
      </c>
      <c r="B4224" s="174" t="n">
        <v>49145</v>
      </c>
      <c r="C4224" s="174" t="n">
        <v>1413</v>
      </c>
      <c r="D4224" s="174" t="n">
        <v>4</v>
      </c>
      <c r="E4224" s="175" t="inlineStr">
        <is>
          <t>1413/04/29</t>
        </is>
      </c>
      <c r="F4224" s="128" t="inlineStr">
        <is>
          <t>1413/04</t>
        </is>
      </c>
      <c r="G4224" s="58" t="inlineStr">
        <is>
          <t>تیر</t>
        </is>
      </c>
      <c r="H4224" s="128" t="inlineStr">
        <is>
          <t>تابستان</t>
        </is>
      </c>
      <c r="I4224" s="128" t="inlineStr">
        <is>
          <t>پنجشنبه</t>
        </is>
      </c>
      <c r="J4224" s="128" t="inlineStr">
        <is>
          <t>بله</t>
        </is>
      </c>
    </row>
    <row r="4225">
      <c r="A4225" s="176" t="n">
        <v>49146</v>
      </c>
      <c r="B4225" s="177" t="n">
        <v>49146</v>
      </c>
      <c r="C4225" s="177" t="n">
        <v>1413</v>
      </c>
      <c r="D4225" s="177" t="n">
        <v>4</v>
      </c>
      <c r="E4225" s="178" t="inlineStr">
        <is>
          <t>1413/04/30</t>
        </is>
      </c>
      <c r="F4225" s="134" t="inlineStr">
        <is>
          <t>1413/04</t>
        </is>
      </c>
      <c r="G4225" s="61" t="inlineStr">
        <is>
          <t>تیر</t>
        </is>
      </c>
      <c r="H4225" s="134" t="inlineStr">
        <is>
          <t>تابستان</t>
        </is>
      </c>
      <c r="I4225" s="134" t="inlineStr">
        <is>
          <t>جمعه</t>
        </is>
      </c>
      <c r="J4225" s="134" t="inlineStr">
        <is>
          <t>بله</t>
        </is>
      </c>
    </row>
    <row r="4226">
      <c r="A4226" s="173" t="n">
        <v>49147</v>
      </c>
      <c r="B4226" s="174" t="n">
        <v>49147</v>
      </c>
      <c r="C4226" s="174" t="n">
        <v>1413</v>
      </c>
      <c r="D4226" s="174" t="n">
        <v>4</v>
      </c>
      <c r="E4226" s="175" t="inlineStr">
        <is>
          <t>1413/04/31</t>
        </is>
      </c>
      <c r="F4226" s="128" t="inlineStr">
        <is>
          <t>1413/04</t>
        </is>
      </c>
      <c r="G4226" s="58" t="inlineStr">
        <is>
          <t>تیر</t>
        </is>
      </c>
      <c r="H4226" s="128" t="inlineStr">
        <is>
          <t>تابستان</t>
        </is>
      </c>
      <c r="I4226" s="128" t="inlineStr">
        <is>
          <t>شنبه</t>
        </is>
      </c>
      <c r="J4226" s="128" t="inlineStr">
        <is>
          <t>خیر</t>
        </is>
      </c>
    </row>
    <row r="4227">
      <c r="A4227" s="176" t="n">
        <v>49148</v>
      </c>
      <c r="B4227" s="177" t="n">
        <v>49148</v>
      </c>
      <c r="C4227" s="177" t="n">
        <v>1413</v>
      </c>
      <c r="D4227" s="177" t="n">
        <v>5</v>
      </c>
      <c r="E4227" s="178" t="inlineStr">
        <is>
          <t>1413/05/01</t>
        </is>
      </c>
      <c r="F4227" s="134" t="inlineStr">
        <is>
          <t>1413/05</t>
        </is>
      </c>
      <c r="G4227" s="61" t="inlineStr">
        <is>
          <t>مرداد</t>
        </is>
      </c>
      <c r="H4227" s="134" t="inlineStr">
        <is>
          <t>تابستان</t>
        </is>
      </c>
      <c r="I4227" s="134" t="inlineStr">
        <is>
          <t>یکشنبه</t>
        </is>
      </c>
      <c r="J4227" s="134" t="inlineStr">
        <is>
          <t>خیر</t>
        </is>
      </c>
    </row>
    <row r="4228">
      <c r="A4228" s="173" t="n">
        <v>49149</v>
      </c>
      <c r="B4228" s="174" t="n">
        <v>49149</v>
      </c>
      <c r="C4228" s="174" t="n">
        <v>1413</v>
      </c>
      <c r="D4228" s="174" t="n">
        <v>5</v>
      </c>
      <c r="E4228" s="175" t="inlineStr">
        <is>
          <t>1413/05/02</t>
        </is>
      </c>
      <c r="F4228" s="128" t="inlineStr">
        <is>
          <t>1413/05</t>
        </is>
      </c>
      <c r="G4228" s="58" t="inlineStr">
        <is>
          <t>مرداد</t>
        </is>
      </c>
      <c r="H4228" s="128" t="inlineStr">
        <is>
          <t>تابستان</t>
        </is>
      </c>
      <c r="I4228" s="128" t="inlineStr">
        <is>
          <t>دوشنبه</t>
        </is>
      </c>
      <c r="J4228" s="128" t="inlineStr">
        <is>
          <t>بله</t>
        </is>
      </c>
    </row>
    <row r="4229">
      <c r="A4229" s="176" t="n">
        <v>49150</v>
      </c>
      <c r="B4229" s="177" t="n">
        <v>49150</v>
      </c>
      <c r="C4229" s="177" t="n">
        <v>1413</v>
      </c>
      <c r="D4229" s="177" t="n">
        <v>5</v>
      </c>
      <c r="E4229" s="178" t="inlineStr">
        <is>
          <t>1413/05/03</t>
        </is>
      </c>
      <c r="F4229" s="134" t="inlineStr">
        <is>
          <t>1413/05</t>
        </is>
      </c>
      <c r="G4229" s="61" t="inlineStr">
        <is>
          <t>مرداد</t>
        </is>
      </c>
      <c r="H4229" s="134" t="inlineStr">
        <is>
          <t>تابستان</t>
        </is>
      </c>
      <c r="I4229" s="134" t="inlineStr">
        <is>
          <t>سه‌شنبه</t>
        </is>
      </c>
      <c r="J4229" s="134" t="inlineStr">
        <is>
          <t>بله</t>
        </is>
      </c>
    </row>
    <row r="4230">
      <c r="A4230" s="173" t="n">
        <v>49151</v>
      </c>
      <c r="B4230" s="174" t="n">
        <v>49151</v>
      </c>
      <c r="C4230" s="174" t="n">
        <v>1413</v>
      </c>
      <c r="D4230" s="174" t="n">
        <v>5</v>
      </c>
      <c r="E4230" s="175" t="inlineStr">
        <is>
          <t>1413/05/04</t>
        </is>
      </c>
      <c r="F4230" s="128" t="inlineStr">
        <is>
          <t>1413/05</t>
        </is>
      </c>
      <c r="G4230" s="58" t="inlineStr">
        <is>
          <t>مرداد</t>
        </is>
      </c>
      <c r="H4230" s="128" t="inlineStr">
        <is>
          <t>تابستان</t>
        </is>
      </c>
      <c r="I4230" s="128" t="inlineStr">
        <is>
          <t>چهارشنبه</t>
        </is>
      </c>
      <c r="J4230" s="128" t="inlineStr">
        <is>
          <t>بله</t>
        </is>
      </c>
    </row>
    <row r="4231">
      <c r="A4231" s="176" t="n">
        <v>49152</v>
      </c>
      <c r="B4231" s="177" t="n">
        <v>49152</v>
      </c>
      <c r="C4231" s="177" t="n">
        <v>1413</v>
      </c>
      <c r="D4231" s="177" t="n">
        <v>5</v>
      </c>
      <c r="E4231" s="178" t="inlineStr">
        <is>
          <t>1413/05/05</t>
        </is>
      </c>
      <c r="F4231" s="134" t="inlineStr">
        <is>
          <t>1413/05</t>
        </is>
      </c>
      <c r="G4231" s="61" t="inlineStr">
        <is>
          <t>مرداد</t>
        </is>
      </c>
      <c r="H4231" s="134" t="inlineStr">
        <is>
          <t>تابستان</t>
        </is>
      </c>
      <c r="I4231" s="134" t="inlineStr">
        <is>
          <t>پنجشنبه</t>
        </is>
      </c>
      <c r="J4231" s="134" t="inlineStr">
        <is>
          <t>بله</t>
        </is>
      </c>
    </row>
    <row r="4232">
      <c r="A4232" s="173" t="n">
        <v>49153</v>
      </c>
      <c r="B4232" s="174" t="n">
        <v>49153</v>
      </c>
      <c r="C4232" s="174" t="n">
        <v>1413</v>
      </c>
      <c r="D4232" s="174" t="n">
        <v>5</v>
      </c>
      <c r="E4232" s="175" t="inlineStr">
        <is>
          <t>1413/05/06</t>
        </is>
      </c>
      <c r="F4232" s="128" t="inlineStr">
        <is>
          <t>1413/05</t>
        </is>
      </c>
      <c r="G4232" s="58" t="inlineStr">
        <is>
          <t>مرداد</t>
        </is>
      </c>
      <c r="H4232" s="128" t="inlineStr">
        <is>
          <t>تابستان</t>
        </is>
      </c>
      <c r="I4232" s="128" t="inlineStr">
        <is>
          <t>جمعه</t>
        </is>
      </c>
      <c r="J4232" s="128" t="inlineStr">
        <is>
          <t>بله</t>
        </is>
      </c>
    </row>
    <row r="4233">
      <c r="A4233" s="176" t="n">
        <v>49154</v>
      </c>
      <c r="B4233" s="177" t="n">
        <v>49154</v>
      </c>
      <c r="C4233" s="177" t="n">
        <v>1413</v>
      </c>
      <c r="D4233" s="177" t="n">
        <v>5</v>
      </c>
      <c r="E4233" s="178" t="inlineStr">
        <is>
          <t>1413/05/07</t>
        </is>
      </c>
      <c r="F4233" s="134" t="inlineStr">
        <is>
          <t>1413/05</t>
        </is>
      </c>
      <c r="G4233" s="61" t="inlineStr">
        <is>
          <t>مرداد</t>
        </is>
      </c>
      <c r="H4233" s="134" t="inlineStr">
        <is>
          <t>تابستان</t>
        </is>
      </c>
      <c r="I4233" s="134" t="inlineStr">
        <is>
          <t>شنبه</t>
        </is>
      </c>
      <c r="J4233" s="134" t="inlineStr">
        <is>
          <t>خیر</t>
        </is>
      </c>
    </row>
    <row r="4234">
      <c r="A4234" s="173" t="n">
        <v>49155</v>
      </c>
      <c r="B4234" s="174" t="n">
        <v>49155</v>
      </c>
      <c r="C4234" s="174" t="n">
        <v>1413</v>
      </c>
      <c r="D4234" s="174" t="n">
        <v>5</v>
      </c>
      <c r="E4234" s="175" t="inlineStr">
        <is>
          <t>1413/05/08</t>
        </is>
      </c>
      <c r="F4234" s="128" t="inlineStr">
        <is>
          <t>1413/05</t>
        </is>
      </c>
      <c r="G4234" s="58" t="inlineStr">
        <is>
          <t>مرداد</t>
        </is>
      </c>
      <c r="H4234" s="128" t="inlineStr">
        <is>
          <t>تابستان</t>
        </is>
      </c>
      <c r="I4234" s="128" t="inlineStr">
        <is>
          <t>یکشنبه</t>
        </is>
      </c>
      <c r="J4234" s="128" t="inlineStr">
        <is>
          <t>خیر</t>
        </is>
      </c>
    </row>
    <row r="4235">
      <c r="A4235" s="176" t="n">
        <v>49156</v>
      </c>
      <c r="B4235" s="177" t="n">
        <v>49156</v>
      </c>
      <c r="C4235" s="177" t="n">
        <v>1413</v>
      </c>
      <c r="D4235" s="177" t="n">
        <v>5</v>
      </c>
      <c r="E4235" s="178" t="inlineStr">
        <is>
          <t>1413/05/09</t>
        </is>
      </c>
      <c r="F4235" s="134" t="inlineStr">
        <is>
          <t>1413/05</t>
        </is>
      </c>
      <c r="G4235" s="61" t="inlineStr">
        <is>
          <t>مرداد</t>
        </is>
      </c>
      <c r="H4235" s="134" t="inlineStr">
        <is>
          <t>تابستان</t>
        </is>
      </c>
      <c r="I4235" s="134" t="inlineStr">
        <is>
          <t>دوشنبه</t>
        </is>
      </c>
      <c r="J4235" s="134" t="inlineStr">
        <is>
          <t>بله</t>
        </is>
      </c>
    </row>
    <row r="4236">
      <c r="A4236" s="173" t="n">
        <v>49157</v>
      </c>
      <c r="B4236" s="174" t="n">
        <v>49157</v>
      </c>
      <c r="C4236" s="174" t="n">
        <v>1413</v>
      </c>
      <c r="D4236" s="174" t="n">
        <v>5</v>
      </c>
      <c r="E4236" s="175" t="inlineStr">
        <is>
          <t>1413/05/10</t>
        </is>
      </c>
      <c r="F4236" s="128" t="inlineStr">
        <is>
          <t>1413/05</t>
        </is>
      </c>
      <c r="G4236" s="58" t="inlineStr">
        <is>
          <t>مرداد</t>
        </is>
      </c>
      <c r="H4236" s="128" t="inlineStr">
        <is>
          <t>تابستان</t>
        </is>
      </c>
      <c r="I4236" s="128" t="inlineStr">
        <is>
          <t>سه‌شنبه</t>
        </is>
      </c>
      <c r="J4236" s="128" t="inlineStr">
        <is>
          <t>بله</t>
        </is>
      </c>
    </row>
    <row r="4237">
      <c r="A4237" s="176" t="n">
        <v>49158</v>
      </c>
      <c r="B4237" s="177" t="n">
        <v>49158</v>
      </c>
      <c r="C4237" s="177" t="n">
        <v>1413</v>
      </c>
      <c r="D4237" s="177" t="n">
        <v>5</v>
      </c>
      <c r="E4237" s="178" t="inlineStr">
        <is>
          <t>1413/05/11</t>
        </is>
      </c>
      <c r="F4237" s="134" t="inlineStr">
        <is>
          <t>1413/05</t>
        </is>
      </c>
      <c r="G4237" s="61" t="inlineStr">
        <is>
          <t>مرداد</t>
        </is>
      </c>
      <c r="H4237" s="134" t="inlineStr">
        <is>
          <t>تابستان</t>
        </is>
      </c>
      <c r="I4237" s="134" t="inlineStr">
        <is>
          <t>چهارشنبه</t>
        </is>
      </c>
      <c r="J4237" s="134" t="inlineStr">
        <is>
          <t>بله</t>
        </is>
      </c>
    </row>
    <row r="4238">
      <c r="A4238" s="173" t="n">
        <v>49159</v>
      </c>
      <c r="B4238" s="174" t="n">
        <v>49159</v>
      </c>
      <c r="C4238" s="174" t="n">
        <v>1413</v>
      </c>
      <c r="D4238" s="174" t="n">
        <v>5</v>
      </c>
      <c r="E4238" s="175" t="inlineStr">
        <is>
          <t>1413/05/12</t>
        </is>
      </c>
      <c r="F4238" s="128" t="inlineStr">
        <is>
          <t>1413/05</t>
        </is>
      </c>
      <c r="G4238" s="58" t="inlineStr">
        <is>
          <t>مرداد</t>
        </is>
      </c>
      <c r="H4238" s="128" t="inlineStr">
        <is>
          <t>تابستان</t>
        </is>
      </c>
      <c r="I4238" s="128" t="inlineStr">
        <is>
          <t>پنجشنبه</t>
        </is>
      </c>
      <c r="J4238" s="128" t="inlineStr">
        <is>
          <t>بله</t>
        </is>
      </c>
    </row>
    <row r="4239">
      <c r="A4239" s="176" t="n">
        <v>49160</v>
      </c>
      <c r="B4239" s="177" t="n">
        <v>49160</v>
      </c>
      <c r="C4239" s="177" t="n">
        <v>1413</v>
      </c>
      <c r="D4239" s="177" t="n">
        <v>5</v>
      </c>
      <c r="E4239" s="178" t="inlineStr">
        <is>
          <t>1413/05/13</t>
        </is>
      </c>
      <c r="F4239" s="134" t="inlineStr">
        <is>
          <t>1413/05</t>
        </is>
      </c>
      <c r="G4239" s="61" t="inlineStr">
        <is>
          <t>مرداد</t>
        </is>
      </c>
      <c r="H4239" s="134" t="inlineStr">
        <is>
          <t>تابستان</t>
        </is>
      </c>
      <c r="I4239" s="134" t="inlineStr">
        <is>
          <t>جمعه</t>
        </is>
      </c>
      <c r="J4239" s="134" t="inlineStr">
        <is>
          <t>بله</t>
        </is>
      </c>
    </row>
    <row r="4240">
      <c r="A4240" s="173" t="n">
        <v>49161</v>
      </c>
      <c r="B4240" s="174" t="n">
        <v>49161</v>
      </c>
      <c r="C4240" s="174" t="n">
        <v>1413</v>
      </c>
      <c r="D4240" s="174" t="n">
        <v>5</v>
      </c>
      <c r="E4240" s="175" t="inlineStr">
        <is>
          <t>1413/05/14</t>
        </is>
      </c>
      <c r="F4240" s="128" t="inlineStr">
        <is>
          <t>1413/05</t>
        </is>
      </c>
      <c r="G4240" s="58" t="inlineStr">
        <is>
          <t>مرداد</t>
        </is>
      </c>
      <c r="H4240" s="128" t="inlineStr">
        <is>
          <t>تابستان</t>
        </is>
      </c>
      <c r="I4240" s="128" t="inlineStr">
        <is>
          <t>شنبه</t>
        </is>
      </c>
      <c r="J4240" s="128" t="inlineStr">
        <is>
          <t>خیر</t>
        </is>
      </c>
    </row>
    <row r="4241">
      <c r="A4241" s="176" t="n">
        <v>49162</v>
      </c>
      <c r="B4241" s="177" t="n">
        <v>49162</v>
      </c>
      <c r="C4241" s="177" t="n">
        <v>1413</v>
      </c>
      <c r="D4241" s="177" t="n">
        <v>5</v>
      </c>
      <c r="E4241" s="178" t="inlineStr">
        <is>
          <t>1413/05/15</t>
        </is>
      </c>
      <c r="F4241" s="134" t="inlineStr">
        <is>
          <t>1413/05</t>
        </is>
      </c>
      <c r="G4241" s="61" t="inlineStr">
        <is>
          <t>مرداد</t>
        </is>
      </c>
      <c r="H4241" s="134" t="inlineStr">
        <is>
          <t>تابستان</t>
        </is>
      </c>
      <c r="I4241" s="134" t="inlineStr">
        <is>
          <t>یکشنبه</t>
        </is>
      </c>
      <c r="J4241" s="134" t="inlineStr">
        <is>
          <t>خیر</t>
        </is>
      </c>
    </row>
    <row r="4242">
      <c r="A4242" s="173" t="n">
        <v>49163</v>
      </c>
      <c r="B4242" s="174" t="n">
        <v>49163</v>
      </c>
      <c r="C4242" s="174" t="n">
        <v>1413</v>
      </c>
      <c r="D4242" s="174" t="n">
        <v>5</v>
      </c>
      <c r="E4242" s="175" t="inlineStr">
        <is>
          <t>1413/05/16</t>
        </is>
      </c>
      <c r="F4242" s="128" t="inlineStr">
        <is>
          <t>1413/05</t>
        </is>
      </c>
      <c r="G4242" s="58" t="inlineStr">
        <is>
          <t>مرداد</t>
        </is>
      </c>
      <c r="H4242" s="128" t="inlineStr">
        <is>
          <t>تابستان</t>
        </is>
      </c>
      <c r="I4242" s="128" t="inlineStr">
        <is>
          <t>دوشنبه</t>
        </is>
      </c>
      <c r="J4242" s="128" t="inlineStr">
        <is>
          <t>بله</t>
        </is>
      </c>
    </row>
    <row r="4243">
      <c r="A4243" s="176" t="n">
        <v>49164</v>
      </c>
      <c r="B4243" s="177" t="n">
        <v>49164</v>
      </c>
      <c r="C4243" s="177" t="n">
        <v>1413</v>
      </c>
      <c r="D4243" s="177" t="n">
        <v>5</v>
      </c>
      <c r="E4243" s="178" t="inlineStr">
        <is>
          <t>1413/05/17</t>
        </is>
      </c>
      <c r="F4243" s="134" t="inlineStr">
        <is>
          <t>1413/05</t>
        </is>
      </c>
      <c r="G4243" s="61" t="inlineStr">
        <is>
          <t>مرداد</t>
        </is>
      </c>
      <c r="H4243" s="134" t="inlineStr">
        <is>
          <t>تابستان</t>
        </is>
      </c>
      <c r="I4243" s="134" t="inlineStr">
        <is>
          <t>سه‌شنبه</t>
        </is>
      </c>
      <c r="J4243" s="134" t="inlineStr">
        <is>
          <t>بله</t>
        </is>
      </c>
    </row>
    <row r="4244">
      <c r="A4244" s="173" t="n">
        <v>49165</v>
      </c>
      <c r="B4244" s="174" t="n">
        <v>49165</v>
      </c>
      <c r="C4244" s="174" t="n">
        <v>1413</v>
      </c>
      <c r="D4244" s="174" t="n">
        <v>5</v>
      </c>
      <c r="E4244" s="175" t="inlineStr">
        <is>
          <t>1413/05/18</t>
        </is>
      </c>
      <c r="F4244" s="128" t="inlineStr">
        <is>
          <t>1413/05</t>
        </is>
      </c>
      <c r="G4244" s="58" t="inlineStr">
        <is>
          <t>مرداد</t>
        </is>
      </c>
      <c r="H4244" s="128" t="inlineStr">
        <is>
          <t>تابستان</t>
        </is>
      </c>
      <c r="I4244" s="128" t="inlineStr">
        <is>
          <t>چهارشنبه</t>
        </is>
      </c>
      <c r="J4244" s="128" t="inlineStr">
        <is>
          <t>بله</t>
        </is>
      </c>
    </row>
    <row r="4245">
      <c r="A4245" s="176" t="n">
        <v>49166</v>
      </c>
      <c r="B4245" s="177" t="n">
        <v>49166</v>
      </c>
      <c r="C4245" s="177" t="n">
        <v>1413</v>
      </c>
      <c r="D4245" s="177" t="n">
        <v>5</v>
      </c>
      <c r="E4245" s="178" t="inlineStr">
        <is>
          <t>1413/05/19</t>
        </is>
      </c>
      <c r="F4245" s="134" t="inlineStr">
        <is>
          <t>1413/05</t>
        </is>
      </c>
      <c r="G4245" s="61" t="inlineStr">
        <is>
          <t>مرداد</t>
        </is>
      </c>
      <c r="H4245" s="134" t="inlineStr">
        <is>
          <t>تابستان</t>
        </is>
      </c>
      <c r="I4245" s="134" t="inlineStr">
        <is>
          <t>پنجشنبه</t>
        </is>
      </c>
      <c r="J4245" s="134" t="inlineStr">
        <is>
          <t>بله</t>
        </is>
      </c>
    </row>
    <row r="4246">
      <c r="A4246" s="173" t="n">
        <v>49167</v>
      </c>
      <c r="B4246" s="174" t="n">
        <v>49167</v>
      </c>
      <c r="C4246" s="174" t="n">
        <v>1413</v>
      </c>
      <c r="D4246" s="174" t="n">
        <v>5</v>
      </c>
      <c r="E4246" s="175" t="inlineStr">
        <is>
          <t>1413/05/20</t>
        </is>
      </c>
      <c r="F4246" s="128" t="inlineStr">
        <is>
          <t>1413/05</t>
        </is>
      </c>
      <c r="G4246" s="58" t="inlineStr">
        <is>
          <t>مرداد</t>
        </is>
      </c>
      <c r="H4246" s="128" t="inlineStr">
        <is>
          <t>تابستان</t>
        </is>
      </c>
      <c r="I4246" s="128" t="inlineStr">
        <is>
          <t>جمعه</t>
        </is>
      </c>
      <c r="J4246" s="128" t="inlineStr">
        <is>
          <t>بله</t>
        </is>
      </c>
    </row>
    <row r="4247">
      <c r="A4247" s="176" t="n">
        <v>49168</v>
      </c>
      <c r="B4247" s="177" t="n">
        <v>49168</v>
      </c>
      <c r="C4247" s="177" t="n">
        <v>1413</v>
      </c>
      <c r="D4247" s="177" t="n">
        <v>5</v>
      </c>
      <c r="E4247" s="178" t="inlineStr">
        <is>
          <t>1413/05/21</t>
        </is>
      </c>
      <c r="F4247" s="134" t="inlineStr">
        <is>
          <t>1413/05</t>
        </is>
      </c>
      <c r="G4247" s="61" t="inlineStr">
        <is>
          <t>مرداد</t>
        </is>
      </c>
      <c r="H4247" s="134" t="inlineStr">
        <is>
          <t>تابستان</t>
        </is>
      </c>
      <c r="I4247" s="134" t="inlineStr">
        <is>
          <t>شنبه</t>
        </is>
      </c>
      <c r="J4247" s="134" t="inlineStr">
        <is>
          <t>خیر</t>
        </is>
      </c>
    </row>
    <row r="4248">
      <c r="A4248" s="173" t="n">
        <v>49169</v>
      </c>
      <c r="B4248" s="174" t="n">
        <v>49169</v>
      </c>
      <c r="C4248" s="174" t="n">
        <v>1413</v>
      </c>
      <c r="D4248" s="174" t="n">
        <v>5</v>
      </c>
      <c r="E4248" s="175" t="inlineStr">
        <is>
          <t>1413/05/22</t>
        </is>
      </c>
      <c r="F4248" s="128" t="inlineStr">
        <is>
          <t>1413/05</t>
        </is>
      </c>
      <c r="G4248" s="58" t="inlineStr">
        <is>
          <t>مرداد</t>
        </is>
      </c>
      <c r="H4248" s="128" t="inlineStr">
        <is>
          <t>تابستان</t>
        </is>
      </c>
      <c r="I4248" s="128" t="inlineStr">
        <is>
          <t>یکشنبه</t>
        </is>
      </c>
      <c r="J4248" s="128" t="inlineStr">
        <is>
          <t>خیر</t>
        </is>
      </c>
    </row>
    <row r="4249">
      <c r="A4249" s="176" t="n">
        <v>49170</v>
      </c>
      <c r="B4249" s="177" t="n">
        <v>49170</v>
      </c>
      <c r="C4249" s="177" t="n">
        <v>1413</v>
      </c>
      <c r="D4249" s="177" t="n">
        <v>5</v>
      </c>
      <c r="E4249" s="178" t="inlineStr">
        <is>
          <t>1413/05/23</t>
        </is>
      </c>
      <c r="F4249" s="134" t="inlineStr">
        <is>
          <t>1413/05</t>
        </is>
      </c>
      <c r="G4249" s="61" t="inlineStr">
        <is>
          <t>مرداد</t>
        </is>
      </c>
      <c r="H4249" s="134" t="inlineStr">
        <is>
          <t>تابستان</t>
        </is>
      </c>
      <c r="I4249" s="134" t="inlineStr">
        <is>
          <t>دوشنبه</t>
        </is>
      </c>
      <c r="J4249" s="134" t="inlineStr">
        <is>
          <t>بله</t>
        </is>
      </c>
    </row>
    <row r="4250">
      <c r="A4250" s="173" t="n">
        <v>49171</v>
      </c>
      <c r="B4250" s="174" t="n">
        <v>49171</v>
      </c>
      <c r="C4250" s="174" t="n">
        <v>1413</v>
      </c>
      <c r="D4250" s="174" t="n">
        <v>5</v>
      </c>
      <c r="E4250" s="175" t="inlineStr">
        <is>
          <t>1413/05/24</t>
        </is>
      </c>
      <c r="F4250" s="128" t="inlineStr">
        <is>
          <t>1413/05</t>
        </is>
      </c>
      <c r="G4250" s="58" t="inlineStr">
        <is>
          <t>مرداد</t>
        </is>
      </c>
      <c r="H4250" s="128" t="inlineStr">
        <is>
          <t>تابستان</t>
        </is>
      </c>
      <c r="I4250" s="128" t="inlineStr">
        <is>
          <t>سه‌شنبه</t>
        </is>
      </c>
      <c r="J4250" s="128" t="inlineStr">
        <is>
          <t>بله</t>
        </is>
      </c>
    </row>
    <row r="4251">
      <c r="A4251" s="176" t="n">
        <v>49172</v>
      </c>
      <c r="B4251" s="177" t="n">
        <v>49172</v>
      </c>
      <c r="C4251" s="177" t="n">
        <v>1413</v>
      </c>
      <c r="D4251" s="177" t="n">
        <v>5</v>
      </c>
      <c r="E4251" s="178" t="inlineStr">
        <is>
          <t>1413/05/25</t>
        </is>
      </c>
      <c r="F4251" s="134" t="inlineStr">
        <is>
          <t>1413/05</t>
        </is>
      </c>
      <c r="G4251" s="61" t="inlineStr">
        <is>
          <t>مرداد</t>
        </is>
      </c>
      <c r="H4251" s="134" t="inlineStr">
        <is>
          <t>تابستان</t>
        </is>
      </c>
      <c r="I4251" s="134" t="inlineStr">
        <is>
          <t>چهارشنبه</t>
        </is>
      </c>
      <c r="J4251" s="134" t="inlineStr">
        <is>
          <t>بله</t>
        </is>
      </c>
    </row>
    <row r="4252">
      <c r="A4252" s="173" t="n">
        <v>49173</v>
      </c>
      <c r="B4252" s="174" t="n">
        <v>49173</v>
      </c>
      <c r="C4252" s="174" t="n">
        <v>1413</v>
      </c>
      <c r="D4252" s="174" t="n">
        <v>5</v>
      </c>
      <c r="E4252" s="175" t="inlineStr">
        <is>
          <t>1413/05/26</t>
        </is>
      </c>
      <c r="F4252" s="128" t="inlineStr">
        <is>
          <t>1413/05</t>
        </is>
      </c>
      <c r="G4252" s="58" t="inlineStr">
        <is>
          <t>مرداد</t>
        </is>
      </c>
      <c r="H4252" s="128" t="inlineStr">
        <is>
          <t>تابستان</t>
        </is>
      </c>
      <c r="I4252" s="128" t="inlineStr">
        <is>
          <t>پنجشنبه</t>
        </is>
      </c>
      <c r="J4252" s="128" t="inlineStr">
        <is>
          <t>بله</t>
        </is>
      </c>
    </row>
    <row r="4253">
      <c r="A4253" s="176" t="n">
        <v>49174</v>
      </c>
      <c r="B4253" s="177" t="n">
        <v>49174</v>
      </c>
      <c r="C4253" s="177" t="n">
        <v>1413</v>
      </c>
      <c r="D4253" s="177" t="n">
        <v>5</v>
      </c>
      <c r="E4253" s="178" t="inlineStr">
        <is>
          <t>1413/05/27</t>
        </is>
      </c>
      <c r="F4253" s="134" t="inlineStr">
        <is>
          <t>1413/05</t>
        </is>
      </c>
      <c r="G4253" s="61" t="inlineStr">
        <is>
          <t>مرداد</t>
        </is>
      </c>
      <c r="H4253" s="134" t="inlineStr">
        <is>
          <t>تابستان</t>
        </is>
      </c>
      <c r="I4253" s="134" t="inlineStr">
        <is>
          <t>جمعه</t>
        </is>
      </c>
      <c r="J4253" s="134" t="inlineStr">
        <is>
          <t>بله</t>
        </is>
      </c>
    </row>
    <row r="4254">
      <c r="A4254" s="173" t="n">
        <v>49175</v>
      </c>
      <c r="B4254" s="174" t="n">
        <v>49175</v>
      </c>
      <c r="C4254" s="174" t="n">
        <v>1413</v>
      </c>
      <c r="D4254" s="174" t="n">
        <v>5</v>
      </c>
      <c r="E4254" s="175" t="inlineStr">
        <is>
          <t>1413/05/28</t>
        </is>
      </c>
      <c r="F4254" s="128" t="inlineStr">
        <is>
          <t>1413/05</t>
        </is>
      </c>
      <c r="G4254" s="58" t="inlineStr">
        <is>
          <t>مرداد</t>
        </is>
      </c>
      <c r="H4254" s="128" t="inlineStr">
        <is>
          <t>تابستان</t>
        </is>
      </c>
      <c r="I4254" s="128" t="inlineStr">
        <is>
          <t>شنبه</t>
        </is>
      </c>
      <c r="J4254" s="128" t="inlineStr">
        <is>
          <t>خیر</t>
        </is>
      </c>
    </row>
    <row r="4255">
      <c r="A4255" s="176" t="n">
        <v>49176</v>
      </c>
      <c r="B4255" s="177" t="n">
        <v>49176</v>
      </c>
      <c r="C4255" s="177" t="n">
        <v>1413</v>
      </c>
      <c r="D4255" s="177" t="n">
        <v>5</v>
      </c>
      <c r="E4255" s="178" t="inlineStr">
        <is>
          <t>1413/05/29</t>
        </is>
      </c>
      <c r="F4255" s="134" t="inlineStr">
        <is>
          <t>1413/05</t>
        </is>
      </c>
      <c r="G4255" s="61" t="inlineStr">
        <is>
          <t>مرداد</t>
        </is>
      </c>
      <c r="H4255" s="134" t="inlineStr">
        <is>
          <t>تابستان</t>
        </is>
      </c>
      <c r="I4255" s="134" t="inlineStr">
        <is>
          <t>یکشنبه</t>
        </is>
      </c>
      <c r="J4255" s="134" t="inlineStr">
        <is>
          <t>خیر</t>
        </is>
      </c>
    </row>
    <row r="4256">
      <c r="A4256" s="173" t="n">
        <v>49177</v>
      </c>
      <c r="B4256" s="174" t="n">
        <v>49177</v>
      </c>
      <c r="C4256" s="174" t="n">
        <v>1413</v>
      </c>
      <c r="D4256" s="174" t="n">
        <v>5</v>
      </c>
      <c r="E4256" s="175" t="inlineStr">
        <is>
          <t>1413/05/30</t>
        </is>
      </c>
      <c r="F4256" s="128" t="inlineStr">
        <is>
          <t>1413/05</t>
        </is>
      </c>
      <c r="G4256" s="58" t="inlineStr">
        <is>
          <t>مرداد</t>
        </is>
      </c>
      <c r="H4256" s="128" t="inlineStr">
        <is>
          <t>تابستان</t>
        </is>
      </c>
      <c r="I4256" s="128" t="inlineStr">
        <is>
          <t>دوشنبه</t>
        </is>
      </c>
      <c r="J4256" s="128" t="inlineStr">
        <is>
          <t>بله</t>
        </is>
      </c>
    </row>
    <row r="4257">
      <c r="A4257" s="176" t="n">
        <v>49178</v>
      </c>
      <c r="B4257" s="177" t="n">
        <v>49178</v>
      </c>
      <c r="C4257" s="177" t="n">
        <v>1413</v>
      </c>
      <c r="D4257" s="177" t="n">
        <v>5</v>
      </c>
      <c r="E4257" s="178" t="inlineStr">
        <is>
          <t>1413/05/31</t>
        </is>
      </c>
      <c r="F4257" s="134" t="inlineStr">
        <is>
          <t>1413/05</t>
        </is>
      </c>
      <c r="G4257" s="61" t="inlineStr">
        <is>
          <t>مرداد</t>
        </is>
      </c>
      <c r="H4257" s="134" t="inlineStr">
        <is>
          <t>تابستان</t>
        </is>
      </c>
      <c r="I4257" s="134" t="inlineStr">
        <is>
          <t>سه‌شنبه</t>
        </is>
      </c>
      <c r="J4257" s="134" t="inlineStr">
        <is>
          <t>بله</t>
        </is>
      </c>
    </row>
    <row r="4258">
      <c r="A4258" s="173" t="n">
        <v>49179</v>
      </c>
      <c r="B4258" s="174" t="n">
        <v>49179</v>
      </c>
      <c r="C4258" s="174" t="n">
        <v>1413</v>
      </c>
      <c r="D4258" s="174" t="n">
        <v>6</v>
      </c>
      <c r="E4258" s="175" t="inlineStr">
        <is>
          <t>1413/06/01</t>
        </is>
      </c>
      <c r="F4258" s="128" t="inlineStr">
        <is>
          <t>1413/06</t>
        </is>
      </c>
      <c r="G4258" s="58" t="inlineStr">
        <is>
          <t>شهریور</t>
        </is>
      </c>
      <c r="H4258" s="128" t="inlineStr">
        <is>
          <t>تابستان</t>
        </is>
      </c>
      <c r="I4258" s="128" t="inlineStr">
        <is>
          <t>چهارشنبه</t>
        </is>
      </c>
      <c r="J4258" s="128" t="inlineStr">
        <is>
          <t>بله</t>
        </is>
      </c>
    </row>
    <row r="4259">
      <c r="A4259" s="176" t="n">
        <v>49180</v>
      </c>
      <c r="B4259" s="177" t="n">
        <v>49180</v>
      </c>
      <c r="C4259" s="177" t="n">
        <v>1413</v>
      </c>
      <c r="D4259" s="177" t="n">
        <v>6</v>
      </c>
      <c r="E4259" s="178" t="inlineStr">
        <is>
          <t>1413/06/02</t>
        </is>
      </c>
      <c r="F4259" s="134" t="inlineStr">
        <is>
          <t>1413/06</t>
        </is>
      </c>
      <c r="G4259" s="61" t="inlineStr">
        <is>
          <t>شهریور</t>
        </is>
      </c>
      <c r="H4259" s="134" t="inlineStr">
        <is>
          <t>تابستان</t>
        </is>
      </c>
      <c r="I4259" s="134" t="inlineStr">
        <is>
          <t>پنجشنبه</t>
        </is>
      </c>
      <c r="J4259" s="134" t="inlineStr">
        <is>
          <t>بله</t>
        </is>
      </c>
    </row>
    <row r="4260">
      <c r="A4260" s="173" t="n">
        <v>49181</v>
      </c>
      <c r="B4260" s="174" t="n">
        <v>49181</v>
      </c>
      <c r="C4260" s="174" t="n">
        <v>1413</v>
      </c>
      <c r="D4260" s="174" t="n">
        <v>6</v>
      </c>
      <c r="E4260" s="175" t="inlineStr">
        <is>
          <t>1413/06/03</t>
        </is>
      </c>
      <c r="F4260" s="128" t="inlineStr">
        <is>
          <t>1413/06</t>
        </is>
      </c>
      <c r="G4260" s="58" t="inlineStr">
        <is>
          <t>شهریور</t>
        </is>
      </c>
      <c r="H4260" s="128" t="inlineStr">
        <is>
          <t>تابستان</t>
        </is>
      </c>
      <c r="I4260" s="128" t="inlineStr">
        <is>
          <t>جمعه</t>
        </is>
      </c>
      <c r="J4260" s="128" t="inlineStr">
        <is>
          <t>بله</t>
        </is>
      </c>
    </row>
    <row r="4261">
      <c r="A4261" s="176" t="n">
        <v>49182</v>
      </c>
      <c r="B4261" s="177" t="n">
        <v>49182</v>
      </c>
      <c r="C4261" s="177" t="n">
        <v>1413</v>
      </c>
      <c r="D4261" s="177" t="n">
        <v>6</v>
      </c>
      <c r="E4261" s="178" t="inlineStr">
        <is>
          <t>1413/06/04</t>
        </is>
      </c>
      <c r="F4261" s="134" t="inlineStr">
        <is>
          <t>1413/06</t>
        </is>
      </c>
      <c r="G4261" s="61" t="inlineStr">
        <is>
          <t>شهریور</t>
        </is>
      </c>
      <c r="H4261" s="134" t="inlineStr">
        <is>
          <t>تابستان</t>
        </is>
      </c>
      <c r="I4261" s="134" t="inlineStr">
        <is>
          <t>شنبه</t>
        </is>
      </c>
      <c r="J4261" s="134" t="inlineStr">
        <is>
          <t>خیر</t>
        </is>
      </c>
    </row>
    <row r="4262">
      <c r="A4262" s="173" t="n">
        <v>49183</v>
      </c>
      <c r="B4262" s="174" t="n">
        <v>49183</v>
      </c>
      <c r="C4262" s="174" t="n">
        <v>1413</v>
      </c>
      <c r="D4262" s="174" t="n">
        <v>6</v>
      </c>
      <c r="E4262" s="175" t="inlineStr">
        <is>
          <t>1413/06/05</t>
        </is>
      </c>
      <c r="F4262" s="128" t="inlineStr">
        <is>
          <t>1413/06</t>
        </is>
      </c>
      <c r="G4262" s="58" t="inlineStr">
        <is>
          <t>شهریور</t>
        </is>
      </c>
      <c r="H4262" s="128" t="inlineStr">
        <is>
          <t>تابستان</t>
        </is>
      </c>
      <c r="I4262" s="128" t="inlineStr">
        <is>
          <t>یکشنبه</t>
        </is>
      </c>
      <c r="J4262" s="128" t="inlineStr">
        <is>
          <t>خیر</t>
        </is>
      </c>
    </row>
    <row r="4263">
      <c r="A4263" s="176" t="n">
        <v>49184</v>
      </c>
      <c r="B4263" s="177" t="n">
        <v>49184</v>
      </c>
      <c r="C4263" s="177" t="n">
        <v>1413</v>
      </c>
      <c r="D4263" s="177" t="n">
        <v>6</v>
      </c>
      <c r="E4263" s="178" t="inlineStr">
        <is>
          <t>1413/06/06</t>
        </is>
      </c>
      <c r="F4263" s="134" t="inlineStr">
        <is>
          <t>1413/06</t>
        </is>
      </c>
      <c r="G4263" s="61" t="inlineStr">
        <is>
          <t>شهریور</t>
        </is>
      </c>
      <c r="H4263" s="134" t="inlineStr">
        <is>
          <t>تابستان</t>
        </is>
      </c>
      <c r="I4263" s="134" t="inlineStr">
        <is>
          <t>دوشنبه</t>
        </is>
      </c>
      <c r="J4263" s="134" t="inlineStr">
        <is>
          <t>بله</t>
        </is>
      </c>
    </row>
    <row r="4264">
      <c r="A4264" s="173" t="n">
        <v>49185</v>
      </c>
      <c r="B4264" s="174" t="n">
        <v>49185</v>
      </c>
      <c r="C4264" s="174" t="n">
        <v>1413</v>
      </c>
      <c r="D4264" s="174" t="n">
        <v>6</v>
      </c>
      <c r="E4264" s="175" t="inlineStr">
        <is>
          <t>1413/06/07</t>
        </is>
      </c>
      <c r="F4264" s="128" t="inlineStr">
        <is>
          <t>1413/06</t>
        </is>
      </c>
      <c r="G4264" s="58" t="inlineStr">
        <is>
          <t>شهریور</t>
        </is>
      </c>
      <c r="H4264" s="128" t="inlineStr">
        <is>
          <t>تابستان</t>
        </is>
      </c>
      <c r="I4264" s="128" t="inlineStr">
        <is>
          <t>سه‌شنبه</t>
        </is>
      </c>
      <c r="J4264" s="128" t="inlineStr">
        <is>
          <t>بله</t>
        </is>
      </c>
    </row>
    <row r="4265">
      <c r="A4265" s="176" t="n">
        <v>49186</v>
      </c>
      <c r="B4265" s="177" t="n">
        <v>49186</v>
      </c>
      <c r="C4265" s="177" t="n">
        <v>1413</v>
      </c>
      <c r="D4265" s="177" t="n">
        <v>6</v>
      </c>
      <c r="E4265" s="178" t="inlineStr">
        <is>
          <t>1413/06/08</t>
        </is>
      </c>
      <c r="F4265" s="134" t="inlineStr">
        <is>
          <t>1413/06</t>
        </is>
      </c>
      <c r="G4265" s="61" t="inlineStr">
        <is>
          <t>شهریور</t>
        </is>
      </c>
      <c r="H4265" s="134" t="inlineStr">
        <is>
          <t>تابستان</t>
        </is>
      </c>
      <c r="I4265" s="134" t="inlineStr">
        <is>
          <t>چهارشنبه</t>
        </is>
      </c>
      <c r="J4265" s="134" t="inlineStr">
        <is>
          <t>بله</t>
        </is>
      </c>
    </row>
    <row r="4266">
      <c r="A4266" s="173" t="n">
        <v>49187</v>
      </c>
      <c r="B4266" s="174" t="n">
        <v>49187</v>
      </c>
      <c r="C4266" s="174" t="n">
        <v>1413</v>
      </c>
      <c r="D4266" s="174" t="n">
        <v>6</v>
      </c>
      <c r="E4266" s="175" t="inlineStr">
        <is>
          <t>1413/06/09</t>
        </is>
      </c>
      <c r="F4266" s="128" t="inlineStr">
        <is>
          <t>1413/06</t>
        </is>
      </c>
      <c r="G4266" s="58" t="inlineStr">
        <is>
          <t>شهریور</t>
        </is>
      </c>
      <c r="H4266" s="128" t="inlineStr">
        <is>
          <t>تابستان</t>
        </is>
      </c>
      <c r="I4266" s="128" t="inlineStr">
        <is>
          <t>پنجشنبه</t>
        </is>
      </c>
      <c r="J4266" s="128" t="inlineStr">
        <is>
          <t>بله</t>
        </is>
      </c>
    </row>
    <row r="4267">
      <c r="A4267" s="176" t="n">
        <v>49188</v>
      </c>
      <c r="B4267" s="177" t="n">
        <v>49188</v>
      </c>
      <c r="C4267" s="177" t="n">
        <v>1413</v>
      </c>
      <c r="D4267" s="177" t="n">
        <v>6</v>
      </c>
      <c r="E4267" s="178" t="inlineStr">
        <is>
          <t>1413/06/10</t>
        </is>
      </c>
      <c r="F4267" s="134" t="inlineStr">
        <is>
          <t>1413/06</t>
        </is>
      </c>
      <c r="G4267" s="61" t="inlineStr">
        <is>
          <t>شهریور</t>
        </is>
      </c>
      <c r="H4267" s="134" t="inlineStr">
        <is>
          <t>تابستان</t>
        </is>
      </c>
      <c r="I4267" s="134" t="inlineStr">
        <is>
          <t>جمعه</t>
        </is>
      </c>
      <c r="J4267" s="134" t="inlineStr">
        <is>
          <t>بله</t>
        </is>
      </c>
    </row>
    <row r="4268">
      <c r="A4268" s="173" t="n">
        <v>49189</v>
      </c>
      <c r="B4268" s="174" t="n">
        <v>49189</v>
      </c>
      <c r="C4268" s="174" t="n">
        <v>1413</v>
      </c>
      <c r="D4268" s="174" t="n">
        <v>6</v>
      </c>
      <c r="E4268" s="175" t="inlineStr">
        <is>
          <t>1413/06/11</t>
        </is>
      </c>
      <c r="F4268" s="128" t="inlineStr">
        <is>
          <t>1413/06</t>
        </is>
      </c>
      <c r="G4268" s="58" t="inlineStr">
        <is>
          <t>شهریور</t>
        </is>
      </c>
      <c r="H4268" s="128" t="inlineStr">
        <is>
          <t>تابستان</t>
        </is>
      </c>
      <c r="I4268" s="128" t="inlineStr">
        <is>
          <t>شنبه</t>
        </is>
      </c>
      <c r="J4268" s="128" t="inlineStr">
        <is>
          <t>خیر</t>
        </is>
      </c>
    </row>
    <row r="4269">
      <c r="A4269" s="176" t="n">
        <v>49190</v>
      </c>
      <c r="B4269" s="177" t="n">
        <v>49190</v>
      </c>
      <c r="C4269" s="177" t="n">
        <v>1413</v>
      </c>
      <c r="D4269" s="177" t="n">
        <v>6</v>
      </c>
      <c r="E4269" s="178" t="inlineStr">
        <is>
          <t>1413/06/12</t>
        </is>
      </c>
      <c r="F4269" s="134" t="inlineStr">
        <is>
          <t>1413/06</t>
        </is>
      </c>
      <c r="G4269" s="61" t="inlineStr">
        <is>
          <t>شهریور</t>
        </is>
      </c>
      <c r="H4269" s="134" t="inlineStr">
        <is>
          <t>تابستان</t>
        </is>
      </c>
      <c r="I4269" s="134" t="inlineStr">
        <is>
          <t>یکشنبه</t>
        </is>
      </c>
      <c r="J4269" s="134" t="inlineStr">
        <is>
          <t>خیر</t>
        </is>
      </c>
    </row>
    <row r="4270">
      <c r="A4270" s="173" t="n">
        <v>49191</v>
      </c>
      <c r="B4270" s="174" t="n">
        <v>49191</v>
      </c>
      <c r="C4270" s="174" t="n">
        <v>1413</v>
      </c>
      <c r="D4270" s="174" t="n">
        <v>6</v>
      </c>
      <c r="E4270" s="175" t="inlineStr">
        <is>
          <t>1413/06/13</t>
        </is>
      </c>
      <c r="F4270" s="128" t="inlineStr">
        <is>
          <t>1413/06</t>
        </is>
      </c>
      <c r="G4270" s="58" t="inlineStr">
        <is>
          <t>شهریور</t>
        </is>
      </c>
      <c r="H4270" s="128" t="inlineStr">
        <is>
          <t>تابستان</t>
        </is>
      </c>
      <c r="I4270" s="128" t="inlineStr">
        <is>
          <t>دوشنبه</t>
        </is>
      </c>
      <c r="J4270" s="128" t="inlineStr">
        <is>
          <t>بله</t>
        </is>
      </c>
    </row>
    <row r="4271">
      <c r="A4271" s="176" t="n">
        <v>49192</v>
      </c>
      <c r="B4271" s="177" t="n">
        <v>49192</v>
      </c>
      <c r="C4271" s="177" t="n">
        <v>1413</v>
      </c>
      <c r="D4271" s="177" t="n">
        <v>6</v>
      </c>
      <c r="E4271" s="178" t="inlineStr">
        <is>
          <t>1413/06/14</t>
        </is>
      </c>
      <c r="F4271" s="134" t="inlineStr">
        <is>
          <t>1413/06</t>
        </is>
      </c>
      <c r="G4271" s="61" t="inlineStr">
        <is>
          <t>شهریور</t>
        </is>
      </c>
      <c r="H4271" s="134" t="inlineStr">
        <is>
          <t>تابستان</t>
        </is>
      </c>
      <c r="I4271" s="134" t="inlineStr">
        <is>
          <t>سه‌شنبه</t>
        </is>
      </c>
      <c r="J4271" s="134" t="inlineStr">
        <is>
          <t>بله</t>
        </is>
      </c>
    </row>
    <row r="4272">
      <c r="A4272" s="173" t="n">
        <v>49193</v>
      </c>
      <c r="B4272" s="174" t="n">
        <v>49193</v>
      </c>
      <c r="C4272" s="174" t="n">
        <v>1413</v>
      </c>
      <c r="D4272" s="174" t="n">
        <v>6</v>
      </c>
      <c r="E4272" s="175" t="inlineStr">
        <is>
          <t>1413/06/15</t>
        </is>
      </c>
      <c r="F4272" s="128" t="inlineStr">
        <is>
          <t>1413/06</t>
        </is>
      </c>
      <c r="G4272" s="58" t="inlineStr">
        <is>
          <t>شهریور</t>
        </is>
      </c>
      <c r="H4272" s="128" t="inlineStr">
        <is>
          <t>تابستان</t>
        </is>
      </c>
      <c r="I4272" s="128" t="inlineStr">
        <is>
          <t>چهارشنبه</t>
        </is>
      </c>
      <c r="J4272" s="128" t="inlineStr">
        <is>
          <t>بله</t>
        </is>
      </c>
    </row>
    <row r="4273">
      <c r="A4273" s="176" t="n">
        <v>49194</v>
      </c>
      <c r="B4273" s="177" t="n">
        <v>49194</v>
      </c>
      <c r="C4273" s="177" t="n">
        <v>1413</v>
      </c>
      <c r="D4273" s="177" t="n">
        <v>6</v>
      </c>
      <c r="E4273" s="178" t="inlineStr">
        <is>
          <t>1413/06/16</t>
        </is>
      </c>
      <c r="F4273" s="134" t="inlineStr">
        <is>
          <t>1413/06</t>
        </is>
      </c>
      <c r="G4273" s="61" t="inlineStr">
        <is>
          <t>شهریور</t>
        </is>
      </c>
      <c r="H4273" s="134" t="inlineStr">
        <is>
          <t>تابستان</t>
        </is>
      </c>
      <c r="I4273" s="134" t="inlineStr">
        <is>
          <t>پنجشنبه</t>
        </is>
      </c>
      <c r="J4273" s="134" t="inlineStr">
        <is>
          <t>بله</t>
        </is>
      </c>
    </row>
    <row r="4274">
      <c r="A4274" s="173" t="n">
        <v>49195</v>
      </c>
      <c r="B4274" s="174" t="n">
        <v>49195</v>
      </c>
      <c r="C4274" s="174" t="n">
        <v>1413</v>
      </c>
      <c r="D4274" s="174" t="n">
        <v>6</v>
      </c>
      <c r="E4274" s="175" t="inlineStr">
        <is>
          <t>1413/06/17</t>
        </is>
      </c>
      <c r="F4274" s="128" t="inlineStr">
        <is>
          <t>1413/06</t>
        </is>
      </c>
      <c r="G4274" s="58" t="inlineStr">
        <is>
          <t>شهریور</t>
        </is>
      </c>
      <c r="H4274" s="128" t="inlineStr">
        <is>
          <t>تابستان</t>
        </is>
      </c>
      <c r="I4274" s="128" t="inlineStr">
        <is>
          <t>جمعه</t>
        </is>
      </c>
      <c r="J4274" s="128" t="inlineStr">
        <is>
          <t>بله</t>
        </is>
      </c>
    </row>
    <row r="4275">
      <c r="A4275" s="176" t="n">
        <v>49196</v>
      </c>
      <c r="B4275" s="177" t="n">
        <v>49196</v>
      </c>
      <c r="C4275" s="177" t="n">
        <v>1413</v>
      </c>
      <c r="D4275" s="177" t="n">
        <v>6</v>
      </c>
      <c r="E4275" s="178" t="inlineStr">
        <is>
          <t>1413/06/18</t>
        </is>
      </c>
      <c r="F4275" s="134" t="inlineStr">
        <is>
          <t>1413/06</t>
        </is>
      </c>
      <c r="G4275" s="61" t="inlineStr">
        <is>
          <t>شهریور</t>
        </is>
      </c>
      <c r="H4275" s="134" t="inlineStr">
        <is>
          <t>تابستان</t>
        </is>
      </c>
      <c r="I4275" s="134" t="inlineStr">
        <is>
          <t>شنبه</t>
        </is>
      </c>
      <c r="J4275" s="134" t="inlineStr">
        <is>
          <t>خیر</t>
        </is>
      </c>
    </row>
    <row r="4276">
      <c r="A4276" s="173" t="n">
        <v>49197</v>
      </c>
      <c r="B4276" s="174" t="n">
        <v>49197</v>
      </c>
      <c r="C4276" s="174" t="n">
        <v>1413</v>
      </c>
      <c r="D4276" s="174" t="n">
        <v>6</v>
      </c>
      <c r="E4276" s="175" t="inlineStr">
        <is>
          <t>1413/06/19</t>
        </is>
      </c>
      <c r="F4276" s="128" t="inlineStr">
        <is>
          <t>1413/06</t>
        </is>
      </c>
      <c r="G4276" s="58" t="inlineStr">
        <is>
          <t>شهریور</t>
        </is>
      </c>
      <c r="H4276" s="128" t="inlineStr">
        <is>
          <t>تابستان</t>
        </is>
      </c>
      <c r="I4276" s="128" t="inlineStr">
        <is>
          <t>یکشنبه</t>
        </is>
      </c>
      <c r="J4276" s="128" t="inlineStr">
        <is>
          <t>خیر</t>
        </is>
      </c>
    </row>
    <row r="4277">
      <c r="A4277" s="176" t="n">
        <v>49198</v>
      </c>
      <c r="B4277" s="177" t="n">
        <v>49198</v>
      </c>
      <c r="C4277" s="177" t="n">
        <v>1413</v>
      </c>
      <c r="D4277" s="177" t="n">
        <v>6</v>
      </c>
      <c r="E4277" s="178" t="inlineStr">
        <is>
          <t>1413/06/20</t>
        </is>
      </c>
      <c r="F4277" s="134" t="inlineStr">
        <is>
          <t>1413/06</t>
        </is>
      </c>
      <c r="G4277" s="61" t="inlineStr">
        <is>
          <t>شهریور</t>
        </is>
      </c>
      <c r="H4277" s="134" t="inlineStr">
        <is>
          <t>تابستان</t>
        </is>
      </c>
      <c r="I4277" s="134" t="inlineStr">
        <is>
          <t>دوشنبه</t>
        </is>
      </c>
      <c r="J4277" s="134" t="inlineStr">
        <is>
          <t>بله</t>
        </is>
      </c>
    </row>
    <row r="4278">
      <c r="A4278" s="173" t="n">
        <v>49199</v>
      </c>
      <c r="B4278" s="174" t="n">
        <v>49199</v>
      </c>
      <c r="C4278" s="174" t="n">
        <v>1413</v>
      </c>
      <c r="D4278" s="174" t="n">
        <v>6</v>
      </c>
      <c r="E4278" s="175" t="inlineStr">
        <is>
          <t>1413/06/21</t>
        </is>
      </c>
      <c r="F4278" s="128" t="inlineStr">
        <is>
          <t>1413/06</t>
        </is>
      </c>
      <c r="G4278" s="58" t="inlineStr">
        <is>
          <t>شهریور</t>
        </is>
      </c>
      <c r="H4278" s="128" t="inlineStr">
        <is>
          <t>تابستان</t>
        </is>
      </c>
      <c r="I4278" s="128" t="inlineStr">
        <is>
          <t>سه‌شنبه</t>
        </is>
      </c>
      <c r="J4278" s="128" t="inlineStr">
        <is>
          <t>بله</t>
        </is>
      </c>
    </row>
    <row r="4279">
      <c r="A4279" s="176" t="n">
        <v>49200</v>
      </c>
      <c r="B4279" s="177" t="n">
        <v>49200</v>
      </c>
      <c r="C4279" s="177" t="n">
        <v>1413</v>
      </c>
      <c r="D4279" s="177" t="n">
        <v>6</v>
      </c>
      <c r="E4279" s="178" t="inlineStr">
        <is>
          <t>1413/06/22</t>
        </is>
      </c>
      <c r="F4279" s="134" t="inlineStr">
        <is>
          <t>1413/06</t>
        </is>
      </c>
      <c r="G4279" s="61" t="inlineStr">
        <is>
          <t>شهریور</t>
        </is>
      </c>
      <c r="H4279" s="134" t="inlineStr">
        <is>
          <t>تابستان</t>
        </is>
      </c>
      <c r="I4279" s="134" t="inlineStr">
        <is>
          <t>چهارشنبه</t>
        </is>
      </c>
      <c r="J4279" s="134" t="inlineStr">
        <is>
          <t>بله</t>
        </is>
      </c>
    </row>
    <row r="4280">
      <c r="A4280" s="173" t="n">
        <v>49201</v>
      </c>
      <c r="B4280" s="174" t="n">
        <v>49201</v>
      </c>
      <c r="C4280" s="174" t="n">
        <v>1413</v>
      </c>
      <c r="D4280" s="174" t="n">
        <v>6</v>
      </c>
      <c r="E4280" s="175" t="inlineStr">
        <is>
          <t>1413/06/23</t>
        </is>
      </c>
      <c r="F4280" s="128" t="inlineStr">
        <is>
          <t>1413/06</t>
        </is>
      </c>
      <c r="G4280" s="58" t="inlineStr">
        <is>
          <t>شهریور</t>
        </is>
      </c>
      <c r="H4280" s="128" t="inlineStr">
        <is>
          <t>تابستان</t>
        </is>
      </c>
      <c r="I4280" s="128" t="inlineStr">
        <is>
          <t>پنجشنبه</t>
        </is>
      </c>
      <c r="J4280" s="128" t="inlineStr">
        <is>
          <t>بله</t>
        </is>
      </c>
    </row>
    <row r="4281">
      <c r="A4281" s="176" t="n">
        <v>49202</v>
      </c>
      <c r="B4281" s="177" t="n">
        <v>49202</v>
      </c>
      <c r="C4281" s="177" t="n">
        <v>1413</v>
      </c>
      <c r="D4281" s="177" t="n">
        <v>6</v>
      </c>
      <c r="E4281" s="178" t="inlineStr">
        <is>
          <t>1413/06/24</t>
        </is>
      </c>
      <c r="F4281" s="134" t="inlineStr">
        <is>
          <t>1413/06</t>
        </is>
      </c>
      <c r="G4281" s="61" t="inlineStr">
        <is>
          <t>شهریور</t>
        </is>
      </c>
      <c r="H4281" s="134" t="inlineStr">
        <is>
          <t>تابستان</t>
        </is>
      </c>
      <c r="I4281" s="134" t="inlineStr">
        <is>
          <t>جمعه</t>
        </is>
      </c>
      <c r="J4281" s="134" t="inlineStr">
        <is>
          <t>بله</t>
        </is>
      </c>
    </row>
    <row r="4282">
      <c r="A4282" s="173" t="n">
        <v>49203</v>
      </c>
      <c r="B4282" s="174" t="n">
        <v>49203</v>
      </c>
      <c r="C4282" s="174" t="n">
        <v>1413</v>
      </c>
      <c r="D4282" s="174" t="n">
        <v>6</v>
      </c>
      <c r="E4282" s="175" t="inlineStr">
        <is>
          <t>1413/06/25</t>
        </is>
      </c>
      <c r="F4282" s="128" t="inlineStr">
        <is>
          <t>1413/06</t>
        </is>
      </c>
      <c r="G4282" s="58" t="inlineStr">
        <is>
          <t>شهریور</t>
        </is>
      </c>
      <c r="H4282" s="128" t="inlineStr">
        <is>
          <t>تابستان</t>
        </is>
      </c>
      <c r="I4282" s="128" t="inlineStr">
        <is>
          <t>شنبه</t>
        </is>
      </c>
      <c r="J4282" s="128" t="inlineStr">
        <is>
          <t>خیر</t>
        </is>
      </c>
    </row>
    <row r="4283">
      <c r="A4283" s="176" t="n">
        <v>49204</v>
      </c>
      <c r="B4283" s="177" t="n">
        <v>49204</v>
      </c>
      <c r="C4283" s="177" t="n">
        <v>1413</v>
      </c>
      <c r="D4283" s="177" t="n">
        <v>6</v>
      </c>
      <c r="E4283" s="178" t="inlineStr">
        <is>
          <t>1413/06/26</t>
        </is>
      </c>
      <c r="F4283" s="134" t="inlineStr">
        <is>
          <t>1413/06</t>
        </is>
      </c>
      <c r="G4283" s="61" t="inlineStr">
        <is>
          <t>شهریور</t>
        </is>
      </c>
      <c r="H4283" s="134" t="inlineStr">
        <is>
          <t>تابستان</t>
        </is>
      </c>
      <c r="I4283" s="134" t="inlineStr">
        <is>
          <t>یکشنبه</t>
        </is>
      </c>
      <c r="J4283" s="134" t="inlineStr">
        <is>
          <t>خیر</t>
        </is>
      </c>
    </row>
    <row r="4284">
      <c r="A4284" s="173" t="n">
        <v>49205</v>
      </c>
      <c r="B4284" s="174" t="n">
        <v>49205</v>
      </c>
      <c r="C4284" s="174" t="n">
        <v>1413</v>
      </c>
      <c r="D4284" s="174" t="n">
        <v>6</v>
      </c>
      <c r="E4284" s="175" t="inlineStr">
        <is>
          <t>1413/06/27</t>
        </is>
      </c>
      <c r="F4284" s="128" t="inlineStr">
        <is>
          <t>1413/06</t>
        </is>
      </c>
      <c r="G4284" s="58" t="inlineStr">
        <is>
          <t>شهریور</t>
        </is>
      </c>
      <c r="H4284" s="128" t="inlineStr">
        <is>
          <t>تابستان</t>
        </is>
      </c>
      <c r="I4284" s="128" t="inlineStr">
        <is>
          <t>دوشنبه</t>
        </is>
      </c>
      <c r="J4284" s="128" t="inlineStr">
        <is>
          <t>بله</t>
        </is>
      </c>
    </row>
    <row r="4285">
      <c r="A4285" s="176" t="n">
        <v>49206</v>
      </c>
      <c r="B4285" s="177" t="n">
        <v>49206</v>
      </c>
      <c r="C4285" s="177" t="n">
        <v>1413</v>
      </c>
      <c r="D4285" s="177" t="n">
        <v>6</v>
      </c>
      <c r="E4285" s="178" t="inlineStr">
        <is>
          <t>1413/06/28</t>
        </is>
      </c>
      <c r="F4285" s="134" t="inlineStr">
        <is>
          <t>1413/06</t>
        </is>
      </c>
      <c r="G4285" s="61" t="inlineStr">
        <is>
          <t>شهریور</t>
        </is>
      </c>
      <c r="H4285" s="134" t="inlineStr">
        <is>
          <t>تابستان</t>
        </is>
      </c>
      <c r="I4285" s="134" t="inlineStr">
        <is>
          <t>سه‌شنبه</t>
        </is>
      </c>
      <c r="J4285" s="134" t="inlineStr">
        <is>
          <t>بله</t>
        </is>
      </c>
    </row>
    <row r="4286">
      <c r="A4286" s="173" t="n">
        <v>49207</v>
      </c>
      <c r="B4286" s="174" t="n">
        <v>49207</v>
      </c>
      <c r="C4286" s="174" t="n">
        <v>1413</v>
      </c>
      <c r="D4286" s="174" t="n">
        <v>6</v>
      </c>
      <c r="E4286" s="175" t="inlineStr">
        <is>
          <t>1413/06/29</t>
        </is>
      </c>
      <c r="F4286" s="128" t="inlineStr">
        <is>
          <t>1413/06</t>
        </is>
      </c>
      <c r="G4286" s="58" t="inlineStr">
        <is>
          <t>شهریور</t>
        </is>
      </c>
      <c r="H4286" s="128" t="inlineStr">
        <is>
          <t>تابستان</t>
        </is>
      </c>
      <c r="I4286" s="128" t="inlineStr">
        <is>
          <t>چهارشنبه</t>
        </is>
      </c>
      <c r="J4286" s="128" t="inlineStr">
        <is>
          <t>بله</t>
        </is>
      </c>
    </row>
    <row r="4287">
      <c r="A4287" s="176" t="n">
        <v>49208</v>
      </c>
      <c r="B4287" s="177" t="n">
        <v>49208</v>
      </c>
      <c r="C4287" s="177" t="n">
        <v>1413</v>
      </c>
      <c r="D4287" s="177" t="n">
        <v>6</v>
      </c>
      <c r="E4287" s="178" t="inlineStr">
        <is>
          <t>1413/06/30</t>
        </is>
      </c>
      <c r="F4287" s="134" t="inlineStr">
        <is>
          <t>1413/06</t>
        </is>
      </c>
      <c r="G4287" s="61" t="inlineStr">
        <is>
          <t>شهریور</t>
        </is>
      </c>
      <c r="H4287" s="134" t="inlineStr">
        <is>
          <t>تابستان</t>
        </is>
      </c>
      <c r="I4287" s="134" t="inlineStr">
        <is>
          <t>پنجشنبه</t>
        </is>
      </c>
      <c r="J4287" s="134" t="inlineStr">
        <is>
          <t>بله</t>
        </is>
      </c>
    </row>
    <row r="4288">
      <c r="A4288" s="173" t="n">
        <v>49209</v>
      </c>
      <c r="B4288" s="174" t="n">
        <v>49209</v>
      </c>
      <c r="C4288" s="174" t="n">
        <v>1413</v>
      </c>
      <c r="D4288" s="174" t="n">
        <v>6</v>
      </c>
      <c r="E4288" s="175" t="inlineStr">
        <is>
          <t>1413/06/31</t>
        </is>
      </c>
      <c r="F4288" s="128" t="inlineStr">
        <is>
          <t>1413/06</t>
        </is>
      </c>
      <c r="G4288" s="58" t="inlineStr">
        <is>
          <t>شهریور</t>
        </is>
      </c>
      <c r="H4288" s="128" t="inlineStr">
        <is>
          <t>تابستان</t>
        </is>
      </c>
      <c r="I4288" s="128" t="inlineStr">
        <is>
          <t>جمعه</t>
        </is>
      </c>
      <c r="J4288" s="128" t="inlineStr">
        <is>
          <t>بله</t>
        </is>
      </c>
    </row>
    <row r="4289">
      <c r="A4289" s="176" t="n">
        <v>49210</v>
      </c>
      <c r="B4289" s="177" t="n">
        <v>49210</v>
      </c>
      <c r="C4289" s="177" t="n">
        <v>1413</v>
      </c>
      <c r="D4289" s="177" t="n">
        <v>7</v>
      </c>
      <c r="E4289" s="178" t="inlineStr">
        <is>
          <t>1413/07/01</t>
        </is>
      </c>
      <c r="F4289" s="134" t="inlineStr">
        <is>
          <t>1413/07</t>
        </is>
      </c>
      <c r="G4289" s="61" t="inlineStr">
        <is>
          <t>مهر</t>
        </is>
      </c>
      <c r="H4289" s="134" t="inlineStr">
        <is>
          <t>پاییز</t>
        </is>
      </c>
      <c r="I4289" s="134" t="inlineStr">
        <is>
          <t>شنبه</t>
        </is>
      </c>
      <c r="J4289" s="134" t="inlineStr">
        <is>
          <t>خیر</t>
        </is>
      </c>
    </row>
    <row r="4290">
      <c r="A4290" s="173" t="n">
        <v>49211</v>
      </c>
      <c r="B4290" s="174" t="n">
        <v>49211</v>
      </c>
      <c r="C4290" s="174" t="n">
        <v>1413</v>
      </c>
      <c r="D4290" s="174" t="n">
        <v>7</v>
      </c>
      <c r="E4290" s="175" t="inlineStr">
        <is>
          <t>1413/07/02</t>
        </is>
      </c>
      <c r="F4290" s="128" t="inlineStr">
        <is>
          <t>1413/07</t>
        </is>
      </c>
      <c r="G4290" s="58" t="inlineStr">
        <is>
          <t>مهر</t>
        </is>
      </c>
      <c r="H4290" s="128" t="inlineStr">
        <is>
          <t>پاییز</t>
        </is>
      </c>
      <c r="I4290" s="128" t="inlineStr">
        <is>
          <t>یکشنبه</t>
        </is>
      </c>
      <c r="J4290" s="128" t="inlineStr">
        <is>
          <t>خیر</t>
        </is>
      </c>
    </row>
    <row r="4291">
      <c r="A4291" s="176" t="n">
        <v>49212</v>
      </c>
      <c r="B4291" s="177" t="n">
        <v>49212</v>
      </c>
      <c r="C4291" s="177" t="n">
        <v>1413</v>
      </c>
      <c r="D4291" s="177" t="n">
        <v>7</v>
      </c>
      <c r="E4291" s="178" t="inlineStr">
        <is>
          <t>1413/07/03</t>
        </is>
      </c>
      <c r="F4291" s="134" t="inlineStr">
        <is>
          <t>1413/07</t>
        </is>
      </c>
      <c r="G4291" s="61" t="inlineStr">
        <is>
          <t>مهر</t>
        </is>
      </c>
      <c r="H4291" s="134" t="inlineStr">
        <is>
          <t>پاییز</t>
        </is>
      </c>
      <c r="I4291" s="134" t="inlineStr">
        <is>
          <t>دوشنبه</t>
        </is>
      </c>
      <c r="J4291" s="134" t="inlineStr">
        <is>
          <t>بله</t>
        </is>
      </c>
    </row>
    <row r="4292">
      <c r="A4292" s="173" t="n">
        <v>49213</v>
      </c>
      <c r="B4292" s="174" t="n">
        <v>49213</v>
      </c>
      <c r="C4292" s="174" t="n">
        <v>1413</v>
      </c>
      <c r="D4292" s="174" t="n">
        <v>7</v>
      </c>
      <c r="E4292" s="175" t="inlineStr">
        <is>
          <t>1413/07/04</t>
        </is>
      </c>
      <c r="F4292" s="128" t="inlineStr">
        <is>
          <t>1413/07</t>
        </is>
      </c>
      <c r="G4292" s="58" t="inlineStr">
        <is>
          <t>مهر</t>
        </is>
      </c>
      <c r="H4292" s="128" t="inlineStr">
        <is>
          <t>پاییز</t>
        </is>
      </c>
      <c r="I4292" s="128" t="inlineStr">
        <is>
          <t>سه‌شنبه</t>
        </is>
      </c>
      <c r="J4292" s="128" t="inlineStr">
        <is>
          <t>بله</t>
        </is>
      </c>
    </row>
    <row r="4293">
      <c r="A4293" s="176" t="n">
        <v>49214</v>
      </c>
      <c r="B4293" s="177" t="n">
        <v>49214</v>
      </c>
      <c r="C4293" s="177" t="n">
        <v>1413</v>
      </c>
      <c r="D4293" s="177" t="n">
        <v>7</v>
      </c>
      <c r="E4293" s="178" t="inlineStr">
        <is>
          <t>1413/07/05</t>
        </is>
      </c>
      <c r="F4293" s="134" t="inlineStr">
        <is>
          <t>1413/07</t>
        </is>
      </c>
      <c r="G4293" s="61" t="inlineStr">
        <is>
          <t>مهر</t>
        </is>
      </c>
      <c r="H4293" s="134" t="inlineStr">
        <is>
          <t>پاییز</t>
        </is>
      </c>
      <c r="I4293" s="134" t="inlineStr">
        <is>
          <t>چهارشنبه</t>
        </is>
      </c>
      <c r="J4293" s="134" t="inlineStr">
        <is>
          <t>بله</t>
        </is>
      </c>
    </row>
    <row r="4294">
      <c r="A4294" s="173" t="n">
        <v>49215</v>
      </c>
      <c r="B4294" s="174" t="n">
        <v>49215</v>
      </c>
      <c r="C4294" s="174" t="n">
        <v>1413</v>
      </c>
      <c r="D4294" s="174" t="n">
        <v>7</v>
      </c>
      <c r="E4294" s="175" t="inlineStr">
        <is>
          <t>1413/07/06</t>
        </is>
      </c>
      <c r="F4294" s="128" t="inlineStr">
        <is>
          <t>1413/07</t>
        </is>
      </c>
      <c r="G4294" s="58" t="inlineStr">
        <is>
          <t>مهر</t>
        </is>
      </c>
      <c r="H4294" s="128" t="inlineStr">
        <is>
          <t>پاییز</t>
        </is>
      </c>
      <c r="I4294" s="128" t="inlineStr">
        <is>
          <t>پنجشنبه</t>
        </is>
      </c>
      <c r="J4294" s="128" t="inlineStr">
        <is>
          <t>بله</t>
        </is>
      </c>
    </row>
    <row r="4295">
      <c r="A4295" s="176" t="n">
        <v>49216</v>
      </c>
      <c r="B4295" s="177" t="n">
        <v>49216</v>
      </c>
      <c r="C4295" s="177" t="n">
        <v>1413</v>
      </c>
      <c r="D4295" s="177" t="n">
        <v>7</v>
      </c>
      <c r="E4295" s="178" t="inlineStr">
        <is>
          <t>1413/07/07</t>
        </is>
      </c>
      <c r="F4295" s="134" t="inlineStr">
        <is>
          <t>1413/07</t>
        </is>
      </c>
      <c r="G4295" s="61" t="inlineStr">
        <is>
          <t>مهر</t>
        </is>
      </c>
      <c r="H4295" s="134" t="inlineStr">
        <is>
          <t>پاییز</t>
        </is>
      </c>
      <c r="I4295" s="134" t="inlineStr">
        <is>
          <t>جمعه</t>
        </is>
      </c>
      <c r="J4295" s="134" t="inlineStr">
        <is>
          <t>بله</t>
        </is>
      </c>
    </row>
    <row r="4296">
      <c r="A4296" s="173" t="n">
        <v>49217</v>
      </c>
      <c r="B4296" s="174" t="n">
        <v>49217</v>
      </c>
      <c r="C4296" s="174" t="n">
        <v>1413</v>
      </c>
      <c r="D4296" s="174" t="n">
        <v>7</v>
      </c>
      <c r="E4296" s="175" t="inlineStr">
        <is>
          <t>1413/07/08</t>
        </is>
      </c>
      <c r="F4296" s="128" t="inlineStr">
        <is>
          <t>1413/07</t>
        </is>
      </c>
      <c r="G4296" s="58" t="inlineStr">
        <is>
          <t>مهر</t>
        </is>
      </c>
      <c r="H4296" s="128" t="inlineStr">
        <is>
          <t>پاییز</t>
        </is>
      </c>
      <c r="I4296" s="128" t="inlineStr">
        <is>
          <t>شنبه</t>
        </is>
      </c>
      <c r="J4296" s="128" t="inlineStr">
        <is>
          <t>خیر</t>
        </is>
      </c>
    </row>
    <row r="4297">
      <c r="A4297" s="176" t="n">
        <v>49218</v>
      </c>
      <c r="B4297" s="177" t="n">
        <v>49218</v>
      </c>
      <c r="C4297" s="177" t="n">
        <v>1413</v>
      </c>
      <c r="D4297" s="177" t="n">
        <v>7</v>
      </c>
      <c r="E4297" s="178" t="inlineStr">
        <is>
          <t>1413/07/09</t>
        </is>
      </c>
      <c r="F4297" s="134" t="inlineStr">
        <is>
          <t>1413/07</t>
        </is>
      </c>
      <c r="G4297" s="61" t="inlineStr">
        <is>
          <t>مهر</t>
        </is>
      </c>
      <c r="H4297" s="134" t="inlineStr">
        <is>
          <t>پاییز</t>
        </is>
      </c>
      <c r="I4297" s="134" t="inlineStr">
        <is>
          <t>یکشنبه</t>
        </is>
      </c>
      <c r="J4297" s="134" t="inlineStr">
        <is>
          <t>خیر</t>
        </is>
      </c>
    </row>
    <row r="4298">
      <c r="A4298" s="173" t="n">
        <v>49219</v>
      </c>
      <c r="B4298" s="174" t="n">
        <v>49219</v>
      </c>
      <c r="C4298" s="174" t="n">
        <v>1413</v>
      </c>
      <c r="D4298" s="174" t="n">
        <v>7</v>
      </c>
      <c r="E4298" s="175" t="inlineStr">
        <is>
          <t>1413/07/10</t>
        </is>
      </c>
      <c r="F4298" s="128" t="inlineStr">
        <is>
          <t>1413/07</t>
        </is>
      </c>
      <c r="G4298" s="58" t="inlineStr">
        <is>
          <t>مهر</t>
        </is>
      </c>
      <c r="H4298" s="128" t="inlineStr">
        <is>
          <t>پاییز</t>
        </is>
      </c>
      <c r="I4298" s="128" t="inlineStr">
        <is>
          <t>دوشنبه</t>
        </is>
      </c>
      <c r="J4298" s="128" t="inlineStr">
        <is>
          <t>بله</t>
        </is>
      </c>
    </row>
    <row r="4299">
      <c r="A4299" s="176" t="n">
        <v>49220</v>
      </c>
      <c r="B4299" s="177" t="n">
        <v>49220</v>
      </c>
      <c r="C4299" s="177" t="n">
        <v>1413</v>
      </c>
      <c r="D4299" s="177" t="n">
        <v>7</v>
      </c>
      <c r="E4299" s="178" t="inlineStr">
        <is>
          <t>1413/07/11</t>
        </is>
      </c>
      <c r="F4299" s="134" t="inlineStr">
        <is>
          <t>1413/07</t>
        </is>
      </c>
      <c r="G4299" s="61" t="inlineStr">
        <is>
          <t>مهر</t>
        </is>
      </c>
      <c r="H4299" s="134" t="inlineStr">
        <is>
          <t>پاییز</t>
        </is>
      </c>
      <c r="I4299" s="134" t="inlineStr">
        <is>
          <t>سه‌شنبه</t>
        </is>
      </c>
      <c r="J4299" s="134" t="inlineStr">
        <is>
          <t>بله</t>
        </is>
      </c>
    </row>
    <row r="4300">
      <c r="A4300" s="173" t="n">
        <v>49221</v>
      </c>
      <c r="B4300" s="174" t="n">
        <v>49221</v>
      </c>
      <c r="C4300" s="174" t="n">
        <v>1413</v>
      </c>
      <c r="D4300" s="174" t="n">
        <v>7</v>
      </c>
      <c r="E4300" s="175" t="inlineStr">
        <is>
          <t>1413/07/12</t>
        </is>
      </c>
      <c r="F4300" s="128" t="inlineStr">
        <is>
          <t>1413/07</t>
        </is>
      </c>
      <c r="G4300" s="58" t="inlineStr">
        <is>
          <t>مهر</t>
        </is>
      </c>
      <c r="H4300" s="128" t="inlineStr">
        <is>
          <t>پاییز</t>
        </is>
      </c>
      <c r="I4300" s="128" t="inlineStr">
        <is>
          <t>چهارشنبه</t>
        </is>
      </c>
      <c r="J4300" s="128" t="inlineStr">
        <is>
          <t>بله</t>
        </is>
      </c>
    </row>
    <row r="4301">
      <c r="A4301" s="176" t="n">
        <v>49222</v>
      </c>
      <c r="B4301" s="177" t="n">
        <v>49222</v>
      </c>
      <c r="C4301" s="177" t="n">
        <v>1413</v>
      </c>
      <c r="D4301" s="177" t="n">
        <v>7</v>
      </c>
      <c r="E4301" s="178" t="inlineStr">
        <is>
          <t>1413/07/13</t>
        </is>
      </c>
      <c r="F4301" s="134" t="inlineStr">
        <is>
          <t>1413/07</t>
        </is>
      </c>
      <c r="G4301" s="61" t="inlineStr">
        <is>
          <t>مهر</t>
        </is>
      </c>
      <c r="H4301" s="134" t="inlineStr">
        <is>
          <t>پاییز</t>
        </is>
      </c>
      <c r="I4301" s="134" t="inlineStr">
        <is>
          <t>پنجشنبه</t>
        </is>
      </c>
      <c r="J4301" s="134" t="inlineStr">
        <is>
          <t>بله</t>
        </is>
      </c>
    </row>
    <row r="4302">
      <c r="A4302" s="173" t="n">
        <v>49223</v>
      </c>
      <c r="B4302" s="174" t="n">
        <v>49223</v>
      </c>
      <c r="C4302" s="174" t="n">
        <v>1413</v>
      </c>
      <c r="D4302" s="174" t="n">
        <v>7</v>
      </c>
      <c r="E4302" s="175" t="inlineStr">
        <is>
          <t>1413/07/14</t>
        </is>
      </c>
      <c r="F4302" s="128" t="inlineStr">
        <is>
          <t>1413/07</t>
        </is>
      </c>
      <c r="G4302" s="58" t="inlineStr">
        <is>
          <t>مهر</t>
        </is>
      </c>
      <c r="H4302" s="128" t="inlineStr">
        <is>
          <t>پاییز</t>
        </is>
      </c>
      <c r="I4302" s="128" t="inlineStr">
        <is>
          <t>جمعه</t>
        </is>
      </c>
      <c r="J4302" s="128" t="inlineStr">
        <is>
          <t>بله</t>
        </is>
      </c>
    </row>
    <row r="4303">
      <c r="A4303" s="176" t="n">
        <v>49224</v>
      </c>
      <c r="B4303" s="177" t="n">
        <v>49224</v>
      </c>
      <c r="C4303" s="177" t="n">
        <v>1413</v>
      </c>
      <c r="D4303" s="177" t="n">
        <v>7</v>
      </c>
      <c r="E4303" s="178" t="inlineStr">
        <is>
          <t>1413/07/15</t>
        </is>
      </c>
      <c r="F4303" s="134" t="inlineStr">
        <is>
          <t>1413/07</t>
        </is>
      </c>
      <c r="G4303" s="61" t="inlineStr">
        <is>
          <t>مهر</t>
        </is>
      </c>
      <c r="H4303" s="134" t="inlineStr">
        <is>
          <t>پاییز</t>
        </is>
      </c>
      <c r="I4303" s="134" t="inlineStr">
        <is>
          <t>شنبه</t>
        </is>
      </c>
      <c r="J4303" s="134" t="inlineStr">
        <is>
          <t>خیر</t>
        </is>
      </c>
    </row>
    <row r="4304">
      <c r="A4304" s="173" t="n">
        <v>49225</v>
      </c>
      <c r="B4304" s="174" t="n">
        <v>49225</v>
      </c>
      <c r="C4304" s="174" t="n">
        <v>1413</v>
      </c>
      <c r="D4304" s="174" t="n">
        <v>7</v>
      </c>
      <c r="E4304" s="175" t="inlineStr">
        <is>
          <t>1413/07/16</t>
        </is>
      </c>
      <c r="F4304" s="128" t="inlineStr">
        <is>
          <t>1413/07</t>
        </is>
      </c>
      <c r="G4304" s="58" t="inlineStr">
        <is>
          <t>مهر</t>
        </is>
      </c>
      <c r="H4304" s="128" t="inlineStr">
        <is>
          <t>پاییز</t>
        </is>
      </c>
      <c r="I4304" s="128" t="inlineStr">
        <is>
          <t>یکشنبه</t>
        </is>
      </c>
      <c r="J4304" s="128" t="inlineStr">
        <is>
          <t>خیر</t>
        </is>
      </c>
    </row>
    <row r="4305">
      <c r="A4305" s="176" t="n">
        <v>49226</v>
      </c>
      <c r="B4305" s="177" t="n">
        <v>49226</v>
      </c>
      <c r="C4305" s="177" t="n">
        <v>1413</v>
      </c>
      <c r="D4305" s="177" t="n">
        <v>7</v>
      </c>
      <c r="E4305" s="178" t="inlineStr">
        <is>
          <t>1413/07/17</t>
        </is>
      </c>
      <c r="F4305" s="134" t="inlineStr">
        <is>
          <t>1413/07</t>
        </is>
      </c>
      <c r="G4305" s="61" t="inlineStr">
        <is>
          <t>مهر</t>
        </is>
      </c>
      <c r="H4305" s="134" t="inlineStr">
        <is>
          <t>پاییز</t>
        </is>
      </c>
      <c r="I4305" s="134" t="inlineStr">
        <is>
          <t>دوشنبه</t>
        </is>
      </c>
      <c r="J4305" s="134" t="inlineStr">
        <is>
          <t>بله</t>
        </is>
      </c>
    </row>
    <row r="4306">
      <c r="A4306" s="173" t="n">
        <v>49227</v>
      </c>
      <c r="B4306" s="174" t="n">
        <v>49227</v>
      </c>
      <c r="C4306" s="174" t="n">
        <v>1413</v>
      </c>
      <c r="D4306" s="174" t="n">
        <v>7</v>
      </c>
      <c r="E4306" s="175" t="inlineStr">
        <is>
          <t>1413/07/18</t>
        </is>
      </c>
      <c r="F4306" s="128" t="inlineStr">
        <is>
          <t>1413/07</t>
        </is>
      </c>
      <c r="G4306" s="58" t="inlineStr">
        <is>
          <t>مهر</t>
        </is>
      </c>
      <c r="H4306" s="128" t="inlineStr">
        <is>
          <t>پاییز</t>
        </is>
      </c>
      <c r="I4306" s="128" t="inlineStr">
        <is>
          <t>سه‌شنبه</t>
        </is>
      </c>
      <c r="J4306" s="128" t="inlineStr">
        <is>
          <t>بله</t>
        </is>
      </c>
    </row>
    <row r="4307">
      <c r="A4307" s="176" t="n">
        <v>49228</v>
      </c>
      <c r="B4307" s="177" t="n">
        <v>49228</v>
      </c>
      <c r="C4307" s="177" t="n">
        <v>1413</v>
      </c>
      <c r="D4307" s="177" t="n">
        <v>7</v>
      </c>
      <c r="E4307" s="178" t="inlineStr">
        <is>
          <t>1413/07/19</t>
        </is>
      </c>
      <c r="F4307" s="134" t="inlineStr">
        <is>
          <t>1413/07</t>
        </is>
      </c>
      <c r="G4307" s="61" t="inlineStr">
        <is>
          <t>مهر</t>
        </is>
      </c>
      <c r="H4307" s="134" t="inlineStr">
        <is>
          <t>پاییز</t>
        </is>
      </c>
      <c r="I4307" s="134" t="inlineStr">
        <is>
          <t>چهارشنبه</t>
        </is>
      </c>
      <c r="J4307" s="134" t="inlineStr">
        <is>
          <t>بله</t>
        </is>
      </c>
    </row>
    <row r="4308">
      <c r="A4308" s="173" t="n">
        <v>49229</v>
      </c>
      <c r="B4308" s="174" t="n">
        <v>49229</v>
      </c>
      <c r="C4308" s="174" t="n">
        <v>1413</v>
      </c>
      <c r="D4308" s="174" t="n">
        <v>7</v>
      </c>
      <c r="E4308" s="175" t="inlineStr">
        <is>
          <t>1413/07/20</t>
        </is>
      </c>
      <c r="F4308" s="128" t="inlineStr">
        <is>
          <t>1413/07</t>
        </is>
      </c>
      <c r="G4308" s="58" t="inlineStr">
        <is>
          <t>مهر</t>
        </is>
      </c>
      <c r="H4308" s="128" t="inlineStr">
        <is>
          <t>پاییز</t>
        </is>
      </c>
      <c r="I4308" s="128" t="inlineStr">
        <is>
          <t>پنجشنبه</t>
        </is>
      </c>
      <c r="J4308" s="128" t="inlineStr">
        <is>
          <t>بله</t>
        </is>
      </c>
    </row>
    <row r="4309">
      <c r="A4309" s="176" t="n">
        <v>49230</v>
      </c>
      <c r="B4309" s="177" t="n">
        <v>49230</v>
      </c>
      <c r="C4309" s="177" t="n">
        <v>1413</v>
      </c>
      <c r="D4309" s="177" t="n">
        <v>7</v>
      </c>
      <c r="E4309" s="178" t="inlineStr">
        <is>
          <t>1413/07/21</t>
        </is>
      </c>
      <c r="F4309" s="134" t="inlineStr">
        <is>
          <t>1413/07</t>
        </is>
      </c>
      <c r="G4309" s="61" t="inlineStr">
        <is>
          <t>مهر</t>
        </is>
      </c>
      <c r="H4309" s="134" t="inlineStr">
        <is>
          <t>پاییز</t>
        </is>
      </c>
      <c r="I4309" s="134" t="inlineStr">
        <is>
          <t>جمعه</t>
        </is>
      </c>
      <c r="J4309" s="134" t="inlineStr">
        <is>
          <t>بله</t>
        </is>
      </c>
    </row>
    <row r="4310">
      <c r="A4310" s="173" t="n">
        <v>49231</v>
      </c>
      <c r="B4310" s="174" t="n">
        <v>49231</v>
      </c>
      <c r="C4310" s="174" t="n">
        <v>1413</v>
      </c>
      <c r="D4310" s="174" t="n">
        <v>7</v>
      </c>
      <c r="E4310" s="175" t="inlineStr">
        <is>
          <t>1413/07/22</t>
        </is>
      </c>
      <c r="F4310" s="128" t="inlineStr">
        <is>
          <t>1413/07</t>
        </is>
      </c>
      <c r="G4310" s="58" t="inlineStr">
        <is>
          <t>مهر</t>
        </is>
      </c>
      <c r="H4310" s="128" t="inlineStr">
        <is>
          <t>پاییز</t>
        </is>
      </c>
      <c r="I4310" s="128" t="inlineStr">
        <is>
          <t>شنبه</t>
        </is>
      </c>
      <c r="J4310" s="128" t="inlineStr">
        <is>
          <t>خیر</t>
        </is>
      </c>
    </row>
    <row r="4311">
      <c r="A4311" s="176" t="n">
        <v>49232</v>
      </c>
      <c r="B4311" s="177" t="n">
        <v>49232</v>
      </c>
      <c r="C4311" s="177" t="n">
        <v>1413</v>
      </c>
      <c r="D4311" s="177" t="n">
        <v>7</v>
      </c>
      <c r="E4311" s="178" t="inlineStr">
        <is>
          <t>1413/07/23</t>
        </is>
      </c>
      <c r="F4311" s="134" t="inlineStr">
        <is>
          <t>1413/07</t>
        </is>
      </c>
      <c r="G4311" s="61" t="inlineStr">
        <is>
          <t>مهر</t>
        </is>
      </c>
      <c r="H4311" s="134" t="inlineStr">
        <is>
          <t>پاییز</t>
        </is>
      </c>
      <c r="I4311" s="134" t="inlineStr">
        <is>
          <t>یکشنبه</t>
        </is>
      </c>
      <c r="J4311" s="134" t="inlineStr">
        <is>
          <t>خیر</t>
        </is>
      </c>
    </row>
    <row r="4312">
      <c r="A4312" s="173" t="n">
        <v>49233</v>
      </c>
      <c r="B4312" s="174" t="n">
        <v>49233</v>
      </c>
      <c r="C4312" s="174" t="n">
        <v>1413</v>
      </c>
      <c r="D4312" s="174" t="n">
        <v>7</v>
      </c>
      <c r="E4312" s="175" t="inlineStr">
        <is>
          <t>1413/07/24</t>
        </is>
      </c>
      <c r="F4312" s="128" t="inlineStr">
        <is>
          <t>1413/07</t>
        </is>
      </c>
      <c r="G4312" s="58" t="inlineStr">
        <is>
          <t>مهر</t>
        </is>
      </c>
      <c r="H4312" s="128" t="inlineStr">
        <is>
          <t>پاییز</t>
        </is>
      </c>
      <c r="I4312" s="128" t="inlineStr">
        <is>
          <t>دوشنبه</t>
        </is>
      </c>
      <c r="J4312" s="128" t="inlineStr">
        <is>
          <t>بله</t>
        </is>
      </c>
    </row>
    <row r="4313">
      <c r="A4313" s="176" t="n">
        <v>49234</v>
      </c>
      <c r="B4313" s="177" t="n">
        <v>49234</v>
      </c>
      <c r="C4313" s="177" t="n">
        <v>1413</v>
      </c>
      <c r="D4313" s="177" t="n">
        <v>7</v>
      </c>
      <c r="E4313" s="178" t="inlineStr">
        <is>
          <t>1413/07/25</t>
        </is>
      </c>
      <c r="F4313" s="134" t="inlineStr">
        <is>
          <t>1413/07</t>
        </is>
      </c>
      <c r="G4313" s="61" t="inlineStr">
        <is>
          <t>مهر</t>
        </is>
      </c>
      <c r="H4313" s="134" t="inlineStr">
        <is>
          <t>پاییز</t>
        </is>
      </c>
      <c r="I4313" s="134" t="inlineStr">
        <is>
          <t>سه‌شنبه</t>
        </is>
      </c>
      <c r="J4313" s="134" t="inlineStr">
        <is>
          <t>بله</t>
        </is>
      </c>
    </row>
    <row r="4314">
      <c r="A4314" s="173" t="n">
        <v>49235</v>
      </c>
      <c r="B4314" s="174" t="n">
        <v>49235</v>
      </c>
      <c r="C4314" s="174" t="n">
        <v>1413</v>
      </c>
      <c r="D4314" s="174" t="n">
        <v>7</v>
      </c>
      <c r="E4314" s="175" t="inlineStr">
        <is>
          <t>1413/07/26</t>
        </is>
      </c>
      <c r="F4314" s="128" t="inlineStr">
        <is>
          <t>1413/07</t>
        </is>
      </c>
      <c r="G4314" s="58" t="inlineStr">
        <is>
          <t>مهر</t>
        </is>
      </c>
      <c r="H4314" s="128" t="inlineStr">
        <is>
          <t>پاییز</t>
        </is>
      </c>
      <c r="I4314" s="128" t="inlineStr">
        <is>
          <t>چهارشنبه</t>
        </is>
      </c>
      <c r="J4314" s="128" t="inlineStr">
        <is>
          <t>بله</t>
        </is>
      </c>
    </row>
    <row r="4315">
      <c r="A4315" s="176" t="n">
        <v>49236</v>
      </c>
      <c r="B4315" s="177" t="n">
        <v>49236</v>
      </c>
      <c r="C4315" s="177" t="n">
        <v>1413</v>
      </c>
      <c r="D4315" s="177" t="n">
        <v>7</v>
      </c>
      <c r="E4315" s="178" t="inlineStr">
        <is>
          <t>1413/07/27</t>
        </is>
      </c>
      <c r="F4315" s="134" t="inlineStr">
        <is>
          <t>1413/07</t>
        </is>
      </c>
      <c r="G4315" s="61" t="inlineStr">
        <is>
          <t>مهر</t>
        </is>
      </c>
      <c r="H4315" s="134" t="inlineStr">
        <is>
          <t>پاییز</t>
        </is>
      </c>
      <c r="I4315" s="134" t="inlineStr">
        <is>
          <t>پنجشنبه</t>
        </is>
      </c>
      <c r="J4315" s="134" t="inlineStr">
        <is>
          <t>بله</t>
        </is>
      </c>
    </row>
    <row r="4316">
      <c r="A4316" s="173" t="n">
        <v>49237</v>
      </c>
      <c r="B4316" s="174" t="n">
        <v>49237</v>
      </c>
      <c r="C4316" s="174" t="n">
        <v>1413</v>
      </c>
      <c r="D4316" s="174" t="n">
        <v>7</v>
      </c>
      <c r="E4316" s="175" t="inlineStr">
        <is>
          <t>1413/07/28</t>
        </is>
      </c>
      <c r="F4316" s="128" t="inlineStr">
        <is>
          <t>1413/07</t>
        </is>
      </c>
      <c r="G4316" s="58" t="inlineStr">
        <is>
          <t>مهر</t>
        </is>
      </c>
      <c r="H4316" s="128" t="inlineStr">
        <is>
          <t>پاییز</t>
        </is>
      </c>
      <c r="I4316" s="128" t="inlineStr">
        <is>
          <t>جمعه</t>
        </is>
      </c>
      <c r="J4316" s="128" t="inlineStr">
        <is>
          <t>بله</t>
        </is>
      </c>
    </row>
    <row r="4317">
      <c r="A4317" s="176" t="n">
        <v>49238</v>
      </c>
      <c r="B4317" s="177" t="n">
        <v>49238</v>
      </c>
      <c r="C4317" s="177" t="n">
        <v>1413</v>
      </c>
      <c r="D4317" s="177" t="n">
        <v>7</v>
      </c>
      <c r="E4317" s="178" t="inlineStr">
        <is>
          <t>1413/07/29</t>
        </is>
      </c>
      <c r="F4317" s="134" t="inlineStr">
        <is>
          <t>1413/07</t>
        </is>
      </c>
      <c r="G4317" s="61" t="inlineStr">
        <is>
          <t>مهر</t>
        </is>
      </c>
      <c r="H4317" s="134" t="inlineStr">
        <is>
          <t>پاییز</t>
        </is>
      </c>
      <c r="I4317" s="134" t="inlineStr">
        <is>
          <t>شنبه</t>
        </is>
      </c>
      <c r="J4317" s="134" t="inlineStr">
        <is>
          <t>خیر</t>
        </is>
      </c>
    </row>
    <row r="4318">
      <c r="A4318" s="173" t="n">
        <v>49239</v>
      </c>
      <c r="B4318" s="174" t="n">
        <v>49239</v>
      </c>
      <c r="C4318" s="174" t="n">
        <v>1413</v>
      </c>
      <c r="D4318" s="174" t="n">
        <v>7</v>
      </c>
      <c r="E4318" s="175" t="inlineStr">
        <is>
          <t>1413/07/30</t>
        </is>
      </c>
      <c r="F4318" s="128" t="inlineStr">
        <is>
          <t>1413/07</t>
        </is>
      </c>
      <c r="G4318" s="58" t="inlineStr">
        <is>
          <t>مهر</t>
        </is>
      </c>
      <c r="H4318" s="128" t="inlineStr">
        <is>
          <t>پاییز</t>
        </is>
      </c>
      <c r="I4318" s="128" t="inlineStr">
        <is>
          <t>یکشنبه</t>
        </is>
      </c>
      <c r="J4318" s="128" t="inlineStr">
        <is>
          <t>خیر</t>
        </is>
      </c>
    </row>
    <row r="4319">
      <c r="A4319" s="176" t="n">
        <v>49240</v>
      </c>
      <c r="B4319" s="177" t="n">
        <v>49240</v>
      </c>
      <c r="C4319" s="177" t="n">
        <v>1413</v>
      </c>
      <c r="D4319" s="177" t="n">
        <v>8</v>
      </c>
      <c r="E4319" s="178" t="inlineStr">
        <is>
          <t>1413/08/01</t>
        </is>
      </c>
      <c r="F4319" s="134" t="inlineStr">
        <is>
          <t>1413/08</t>
        </is>
      </c>
      <c r="G4319" s="61" t="inlineStr">
        <is>
          <t>آبان</t>
        </is>
      </c>
      <c r="H4319" s="134" t="inlineStr">
        <is>
          <t>پاییز</t>
        </is>
      </c>
      <c r="I4319" s="134" t="inlineStr">
        <is>
          <t>دوشنبه</t>
        </is>
      </c>
      <c r="J4319" s="134" t="inlineStr">
        <is>
          <t>بله</t>
        </is>
      </c>
    </row>
    <row r="4320">
      <c r="A4320" s="173" t="n">
        <v>49241</v>
      </c>
      <c r="B4320" s="174" t="n">
        <v>49241</v>
      </c>
      <c r="C4320" s="174" t="n">
        <v>1413</v>
      </c>
      <c r="D4320" s="174" t="n">
        <v>8</v>
      </c>
      <c r="E4320" s="175" t="inlineStr">
        <is>
          <t>1413/08/02</t>
        </is>
      </c>
      <c r="F4320" s="128" t="inlineStr">
        <is>
          <t>1413/08</t>
        </is>
      </c>
      <c r="G4320" s="58" t="inlineStr">
        <is>
          <t>آبان</t>
        </is>
      </c>
      <c r="H4320" s="128" t="inlineStr">
        <is>
          <t>پاییز</t>
        </is>
      </c>
      <c r="I4320" s="128" t="inlineStr">
        <is>
          <t>سه‌شنبه</t>
        </is>
      </c>
      <c r="J4320" s="128" t="inlineStr">
        <is>
          <t>بله</t>
        </is>
      </c>
    </row>
    <row r="4321">
      <c r="A4321" s="176" t="n">
        <v>49242</v>
      </c>
      <c r="B4321" s="177" t="n">
        <v>49242</v>
      </c>
      <c r="C4321" s="177" t="n">
        <v>1413</v>
      </c>
      <c r="D4321" s="177" t="n">
        <v>8</v>
      </c>
      <c r="E4321" s="178" t="inlineStr">
        <is>
          <t>1413/08/03</t>
        </is>
      </c>
      <c r="F4321" s="134" t="inlineStr">
        <is>
          <t>1413/08</t>
        </is>
      </c>
      <c r="G4321" s="61" t="inlineStr">
        <is>
          <t>آبان</t>
        </is>
      </c>
      <c r="H4321" s="134" t="inlineStr">
        <is>
          <t>پاییز</t>
        </is>
      </c>
      <c r="I4321" s="134" t="inlineStr">
        <is>
          <t>چهارشنبه</t>
        </is>
      </c>
      <c r="J4321" s="134" t="inlineStr">
        <is>
          <t>بله</t>
        </is>
      </c>
    </row>
    <row r="4322">
      <c r="A4322" s="173" t="n">
        <v>49243</v>
      </c>
      <c r="B4322" s="174" t="n">
        <v>49243</v>
      </c>
      <c r="C4322" s="174" t="n">
        <v>1413</v>
      </c>
      <c r="D4322" s="174" t="n">
        <v>8</v>
      </c>
      <c r="E4322" s="175" t="inlineStr">
        <is>
          <t>1413/08/04</t>
        </is>
      </c>
      <c r="F4322" s="128" t="inlineStr">
        <is>
          <t>1413/08</t>
        </is>
      </c>
      <c r="G4322" s="58" t="inlineStr">
        <is>
          <t>آبان</t>
        </is>
      </c>
      <c r="H4322" s="128" t="inlineStr">
        <is>
          <t>پاییز</t>
        </is>
      </c>
      <c r="I4322" s="128" t="inlineStr">
        <is>
          <t>پنجشنبه</t>
        </is>
      </c>
      <c r="J4322" s="128" t="inlineStr">
        <is>
          <t>بله</t>
        </is>
      </c>
    </row>
    <row r="4323">
      <c r="A4323" s="176" t="n">
        <v>49244</v>
      </c>
      <c r="B4323" s="177" t="n">
        <v>49244</v>
      </c>
      <c r="C4323" s="177" t="n">
        <v>1413</v>
      </c>
      <c r="D4323" s="177" t="n">
        <v>8</v>
      </c>
      <c r="E4323" s="178" t="inlineStr">
        <is>
          <t>1413/08/05</t>
        </is>
      </c>
      <c r="F4323" s="134" t="inlineStr">
        <is>
          <t>1413/08</t>
        </is>
      </c>
      <c r="G4323" s="61" t="inlineStr">
        <is>
          <t>آبان</t>
        </is>
      </c>
      <c r="H4323" s="134" t="inlineStr">
        <is>
          <t>پاییز</t>
        </is>
      </c>
      <c r="I4323" s="134" t="inlineStr">
        <is>
          <t>جمعه</t>
        </is>
      </c>
      <c r="J4323" s="134" t="inlineStr">
        <is>
          <t>بله</t>
        </is>
      </c>
    </row>
    <row r="4324">
      <c r="A4324" s="173" t="n">
        <v>49245</v>
      </c>
      <c r="B4324" s="174" t="n">
        <v>49245</v>
      </c>
      <c r="C4324" s="174" t="n">
        <v>1413</v>
      </c>
      <c r="D4324" s="174" t="n">
        <v>8</v>
      </c>
      <c r="E4324" s="175" t="inlineStr">
        <is>
          <t>1413/08/06</t>
        </is>
      </c>
      <c r="F4324" s="128" t="inlineStr">
        <is>
          <t>1413/08</t>
        </is>
      </c>
      <c r="G4324" s="58" t="inlineStr">
        <is>
          <t>آبان</t>
        </is>
      </c>
      <c r="H4324" s="128" t="inlineStr">
        <is>
          <t>پاییز</t>
        </is>
      </c>
      <c r="I4324" s="128" t="inlineStr">
        <is>
          <t>شنبه</t>
        </is>
      </c>
      <c r="J4324" s="128" t="inlineStr">
        <is>
          <t>خیر</t>
        </is>
      </c>
    </row>
    <row r="4325">
      <c r="A4325" s="176" t="n">
        <v>49246</v>
      </c>
      <c r="B4325" s="177" t="n">
        <v>49246</v>
      </c>
      <c r="C4325" s="177" t="n">
        <v>1413</v>
      </c>
      <c r="D4325" s="177" t="n">
        <v>8</v>
      </c>
      <c r="E4325" s="178" t="inlineStr">
        <is>
          <t>1413/08/07</t>
        </is>
      </c>
      <c r="F4325" s="134" t="inlineStr">
        <is>
          <t>1413/08</t>
        </is>
      </c>
      <c r="G4325" s="61" t="inlineStr">
        <is>
          <t>آبان</t>
        </is>
      </c>
      <c r="H4325" s="134" t="inlineStr">
        <is>
          <t>پاییز</t>
        </is>
      </c>
      <c r="I4325" s="134" t="inlineStr">
        <is>
          <t>یکشنبه</t>
        </is>
      </c>
      <c r="J4325" s="134" t="inlineStr">
        <is>
          <t>خیر</t>
        </is>
      </c>
    </row>
    <row r="4326">
      <c r="A4326" s="173" t="n">
        <v>49247</v>
      </c>
      <c r="B4326" s="174" t="n">
        <v>49247</v>
      </c>
      <c r="C4326" s="174" t="n">
        <v>1413</v>
      </c>
      <c r="D4326" s="174" t="n">
        <v>8</v>
      </c>
      <c r="E4326" s="175" t="inlineStr">
        <is>
          <t>1413/08/08</t>
        </is>
      </c>
      <c r="F4326" s="128" t="inlineStr">
        <is>
          <t>1413/08</t>
        </is>
      </c>
      <c r="G4326" s="58" t="inlineStr">
        <is>
          <t>آبان</t>
        </is>
      </c>
      <c r="H4326" s="128" t="inlineStr">
        <is>
          <t>پاییز</t>
        </is>
      </c>
      <c r="I4326" s="128" t="inlineStr">
        <is>
          <t>دوشنبه</t>
        </is>
      </c>
      <c r="J4326" s="128" t="inlineStr">
        <is>
          <t>بله</t>
        </is>
      </c>
    </row>
    <row r="4327">
      <c r="A4327" s="176" t="n">
        <v>49248</v>
      </c>
      <c r="B4327" s="177" t="n">
        <v>49248</v>
      </c>
      <c r="C4327" s="177" t="n">
        <v>1413</v>
      </c>
      <c r="D4327" s="177" t="n">
        <v>8</v>
      </c>
      <c r="E4327" s="178" t="inlineStr">
        <is>
          <t>1413/08/09</t>
        </is>
      </c>
      <c r="F4327" s="134" t="inlineStr">
        <is>
          <t>1413/08</t>
        </is>
      </c>
      <c r="G4327" s="61" t="inlineStr">
        <is>
          <t>آبان</t>
        </is>
      </c>
      <c r="H4327" s="134" t="inlineStr">
        <is>
          <t>پاییز</t>
        </is>
      </c>
      <c r="I4327" s="134" t="inlineStr">
        <is>
          <t>سه‌شنبه</t>
        </is>
      </c>
      <c r="J4327" s="134" t="inlineStr">
        <is>
          <t>بله</t>
        </is>
      </c>
    </row>
    <row r="4328">
      <c r="A4328" s="173" t="n">
        <v>49249</v>
      </c>
      <c r="B4328" s="174" t="n">
        <v>49249</v>
      </c>
      <c r="C4328" s="174" t="n">
        <v>1413</v>
      </c>
      <c r="D4328" s="174" t="n">
        <v>8</v>
      </c>
      <c r="E4328" s="175" t="inlineStr">
        <is>
          <t>1413/08/10</t>
        </is>
      </c>
      <c r="F4328" s="128" t="inlineStr">
        <is>
          <t>1413/08</t>
        </is>
      </c>
      <c r="G4328" s="58" t="inlineStr">
        <is>
          <t>آبان</t>
        </is>
      </c>
      <c r="H4328" s="128" t="inlineStr">
        <is>
          <t>پاییز</t>
        </is>
      </c>
      <c r="I4328" s="128" t="inlineStr">
        <is>
          <t>چهارشنبه</t>
        </is>
      </c>
      <c r="J4328" s="128" t="inlineStr">
        <is>
          <t>بله</t>
        </is>
      </c>
    </row>
    <row r="4329">
      <c r="A4329" s="176" t="n">
        <v>49250</v>
      </c>
      <c r="B4329" s="177" t="n">
        <v>49250</v>
      </c>
      <c r="C4329" s="177" t="n">
        <v>1413</v>
      </c>
      <c r="D4329" s="177" t="n">
        <v>8</v>
      </c>
      <c r="E4329" s="178" t="inlineStr">
        <is>
          <t>1413/08/11</t>
        </is>
      </c>
      <c r="F4329" s="134" t="inlineStr">
        <is>
          <t>1413/08</t>
        </is>
      </c>
      <c r="G4329" s="61" t="inlineStr">
        <is>
          <t>آبان</t>
        </is>
      </c>
      <c r="H4329" s="134" t="inlineStr">
        <is>
          <t>پاییز</t>
        </is>
      </c>
      <c r="I4329" s="134" t="inlineStr">
        <is>
          <t>پنجشنبه</t>
        </is>
      </c>
      <c r="J4329" s="134" t="inlineStr">
        <is>
          <t>بله</t>
        </is>
      </c>
    </row>
    <row r="4330">
      <c r="A4330" s="173" t="n">
        <v>49251</v>
      </c>
      <c r="B4330" s="174" t="n">
        <v>49251</v>
      </c>
      <c r="C4330" s="174" t="n">
        <v>1413</v>
      </c>
      <c r="D4330" s="174" t="n">
        <v>8</v>
      </c>
      <c r="E4330" s="175" t="inlineStr">
        <is>
          <t>1413/08/12</t>
        </is>
      </c>
      <c r="F4330" s="128" t="inlineStr">
        <is>
          <t>1413/08</t>
        </is>
      </c>
      <c r="G4330" s="58" t="inlineStr">
        <is>
          <t>آبان</t>
        </is>
      </c>
      <c r="H4330" s="128" t="inlineStr">
        <is>
          <t>پاییز</t>
        </is>
      </c>
      <c r="I4330" s="128" t="inlineStr">
        <is>
          <t>جمعه</t>
        </is>
      </c>
      <c r="J4330" s="128" t="inlineStr">
        <is>
          <t>بله</t>
        </is>
      </c>
    </row>
    <row r="4331">
      <c r="A4331" s="176" t="n">
        <v>49252</v>
      </c>
      <c r="B4331" s="177" t="n">
        <v>49252</v>
      </c>
      <c r="C4331" s="177" t="n">
        <v>1413</v>
      </c>
      <c r="D4331" s="177" t="n">
        <v>8</v>
      </c>
      <c r="E4331" s="178" t="inlineStr">
        <is>
          <t>1413/08/13</t>
        </is>
      </c>
      <c r="F4331" s="134" t="inlineStr">
        <is>
          <t>1413/08</t>
        </is>
      </c>
      <c r="G4331" s="61" t="inlineStr">
        <is>
          <t>آبان</t>
        </is>
      </c>
      <c r="H4331" s="134" t="inlineStr">
        <is>
          <t>پاییز</t>
        </is>
      </c>
      <c r="I4331" s="134" t="inlineStr">
        <is>
          <t>شنبه</t>
        </is>
      </c>
      <c r="J4331" s="134" t="inlineStr">
        <is>
          <t>خیر</t>
        </is>
      </c>
    </row>
    <row r="4332">
      <c r="A4332" s="173" t="n">
        <v>49253</v>
      </c>
      <c r="B4332" s="174" t="n">
        <v>49253</v>
      </c>
      <c r="C4332" s="174" t="n">
        <v>1413</v>
      </c>
      <c r="D4332" s="174" t="n">
        <v>8</v>
      </c>
      <c r="E4332" s="175" t="inlineStr">
        <is>
          <t>1413/08/14</t>
        </is>
      </c>
      <c r="F4332" s="128" t="inlineStr">
        <is>
          <t>1413/08</t>
        </is>
      </c>
      <c r="G4332" s="58" t="inlineStr">
        <is>
          <t>آبان</t>
        </is>
      </c>
      <c r="H4332" s="128" t="inlineStr">
        <is>
          <t>پاییز</t>
        </is>
      </c>
      <c r="I4332" s="128" t="inlineStr">
        <is>
          <t>یکشنبه</t>
        </is>
      </c>
      <c r="J4332" s="128" t="inlineStr">
        <is>
          <t>خیر</t>
        </is>
      </c>
    </row>
    <row r="4333">
      <c r="A4333" s="176" t="n">
        <v>49254</v>
      </c>
      <c r="B4333" s="177" t="n">
        <v>49254</v>
      </c>
      <c r="C4333" s="177" t="n">
        <v>1413</v>
      </c>
      <c r="D4333" s="177" t="n">
        <v>8</v>
      </c>
      <c r="E4333" s="178" t="inlineStr">
        <is>
          <t>1413/08/15</t>
        </is>
      </c>
      <c r="F4333" s="134" t="inlineStr">
        <is>
          <t>1413/08</t>
        </is>
      </c>
      <c r="G4333" s="61" t="inlineStr">
        <is>
          <t>آبان</t>
        </is>
      </c>
      <c r="H4333" s="134" t="inlineStr">
        <is>
          <t>پاییز</t>
        </is>
      </c>
      <c r="I4333" s="134" t="inlineStr">
        <is>
          <t>دوشنبه</t>
        </is>
      </c>
      <c r="J4333" s="134" t="inlineStr">
        <is>
          <t>بله</t>
        </is>
      </c>
    </row>
    <row r="4334">
      <c r="A4334" s="173" t="n">
        <v>49255</v>
      </c>
      <c r="B4334" s="174" t="n">
        <v>49255</v>
      </c>
      <c r="C4334" s="174" t="n">
        <v>1413</v>
      </c>
      <c r="D4334" s="174" t="n">
        <v>8</v>
      </c>
      <c r="E4334" s="175" t="inlineStr">
        <is>
          <t>1413/08/16</t>
        </is>
      </c>
      <c r="F4334" s="128" t="inlineStr">
        <is>
          <t>1413/08</t>
        </is>
      </c>
      <c r="G4334" s="58" t="inlineStr">
        <is>
          <t>آبان</t>
        </is>
      </c>
      <c r="H4334" s="128" t="inlineStr">
        <is>
          <t>پاییز</t>
        </is>
      </c>
      <c r="I4334" s="128" t="inlineStr">
        <is>
          <t>سه‌شنبه</t>
        </is>
      </c>
      <c r="J4334" s="128" t="inlineStr">
        <is>
          <t>بله</t>
        </is>
      </c>
    </row>
    <row r="4335">
      <c r="A4335" s="176" t="n">
        <v>49256</v>
      </c>
      <c r="B4335" s="177" t="n">
        <v>49256</v>
      </c>
      <c r="C4335" s="177" t="n">
        <v>1413</v>
      </c>
      <c r="D4335" s="177" t="n">
        <v>8</v>
      </c>
      <c r="E4335" s="178" t="inlineStr">
        <is>
          <t>1413/08/17</t>
        </is>
      </c>
      <c r="F4335" s="134" t="inlineStr">
        <is>
          <t>1413/08</t>
        </is>
      </c>
      <c r="G4335" s="61" t="inlineStr">
        <is>
          <t>آبان</t>
        </is>
      </c>
      <c r="H4335" s="134" t="inlineStr">
        <is>
          <t>پاییز</t>
        </is>
      </c>
      <c r="I4335" s="134" t="inlineStr">
        <is>
          <t>چهارشنبه</t>
        </is>
      </c>
      <c r="J4335" s="134" t="inlineStr">
        <is>
          <t>بله</t>
        </is>
      </c>
    </row>
    <row r="4336">
      <c r="A4336" s="173" t="n">
        <v>49257</v>
      </c>
      <c r="B4336" s="174" t="n">
        <v>49257</v>
      </c>
      <c r="C4336" s="174" t="n">
        <v>1413</v>
      </c>
      <c r="D4336" s="174" t="n">
        <v>8</v>
      </c>
      <c r="E4336" s="175" t="inlineStr">
        <is>
          <t>1413/08/18</t>
        </is>
      </c>
      <c r="F4336" s="128" t="inlineStr">
        <is>
          <t>1413/08</t>
        </is>
      </c>
      <c r="G4336" s="58" t="inlineStr">
        <is>
          <t>آبان</t>
        </is>
      </c>
      <c r="H4336" s="128" t="inlineStr">
        <is>
          <t>پاییز</t>
        </is>
      </c>
      <c r="I4336" s="128" t="inlineStr">
        <is>
          <t>پنجشنبه</t>
        </is>
      </c>
      <c r="J4336" s="128" t="inlineStr">
        <is>
          <t>بله</t>
        </is>
      </c>
    </row>
    <row r="4337">
      <c r="A4337" s="176" t="n">
        <v>49258</v>
      </c>
      <c r="B4337" s="177" t="n">
        <v>49258</v>
      </c>
      <c r="C4337" s="177" t="n">
        <v>1413</v>
      </c>
      <c r="D4337" s="177" t="n">
        <v>8</v>
      </c>
      <c r="E4337" s="178" t="inlineStr">
        <is>
          <t>1413/08/19</t>
        </is>
      </c>
      <c r="F4337" s="134" t="inlineStr">
        <is>
          <t>1413/08</t>
        </is>
      </c>
      <c r="G4337" s="61" t="inlineStr">
        <is>
          <t>آبان</t>
        </is>
      </c>
      <c r="H4337" s="134" t="inlineStr">
        <is>
          <t>پاییز</t>
        </is>
      </c>
      <c r="I4337" s="134" t="inlineStr">
        <is>
          <t>جمعه</t>
        </is>
      </c>
      <c r="J4337" s="134" t="inlineStr">
        <is>
          <t>بله</t>
        </is>
      </c>
    </row>
    <row r="4338">
      <c r="A4338" s="173" t="n">
        <v>49259</v>
      </c>
      <c r="B4338" s="174" t="n">
        <v>49259</v>
      </c>
      <c r="C4338" s="174" t="n">
        <v>1413</v>
      </c>
      <c r="D4338" s="174" t="n">
        <v>8</v>
      </c>
      <c r="E4338" s="175" t="inlineStr">
        <is>
          <t>1413/08/20</t>
        </is>
      </c>
      <c r="F4338" s="128" t="inlineStr">
        <is>
          <t>1413/08</t>
        </is>
      </c>
      <c r="G4338" s="58" t="inlineStr">
        <is>
          <t>آبان</t>
        </is>
      </c>
      <c r="H4338" s="128" t="inlineStr">
        <is>
          <t>پاییز</t>
        </is>
      </c>
      <c r="I4338" s="128" t="inlineStr">
        <is>
          <t>شنبه</t>
        </is>
      </c>
      <c r="J4338" s="128" t="inlineStr">
        <is>
          <t>خیر</t>
        </is>
      </c>
    </row>
    <row r="4339">
      <c r="A4339" s="176" t="n">
        <v>49260</v>
      </c>
      <c r="B4339" s="177" t="n">
        <v>49260</v>
      </c>
      <c r="C4339" s="177" t="n">
        <v>1413</v>
      </c>
      <c r="D4339" s="177" t="n">
        <v>8</v>
      </c>
      <c r="E4339" s="178" t="inlineStr">
        <is>
          <t>1413/08/21</t>
        </is>
      </c>
      <c r="F4339" s="134" t="inlineStr">
        <is>
          <t>1413/08</t>
        </is>
      </c>
      <c r="G4339" s="61" t="inlineStr">
        <is>
          <t>آبان</t>
        </is>
      </c>
      <c r="H4339" s="134" t="inlineStr">
        <is>
          <t>پاییز</t>
        </is>
      </c>
      <c r="I4339" s="134" t="inlineStr">
        <is>
          <t>یکشنبه</t>
        </is>
      </c>
      <c r="J4339" s="134" t="inlineStr">
        <is>
          <t>خیر</t>
        </is>
      </c>
    </row>
    <row r="4340">
      <c r="A4340" s="173" t="n">
        <v>49261</v>
      </c>
      <c r="B4340" s="174" t="n">
        <v>49261</v>
      </c>
      <c r="C4340" s="174" t="n">
        <v>1413</v>
      </c>
      <c r="D4340" s="174" t="n">
        <v>8</v>
      </c>
      <c r="E4340" s="175" t="inlineStr">
        <is>
          <t>1413/08/22</t>
        </is>
      </c>
      <c r="F4340" s="128" t="inlineStr">
        <is>
          <t>1413/08</t>
        </is>
      </c>
      <c r="G4340" s="58" t="inlineStr">
        <is>
          <t>آبان</t>
        </is>
      </c>
      <c r="H4340" s="128" t="inlineStr">
        <is>
          <t>پاییز</t>
        </is>
      </c>
      <c r="I4340" s="128" t="inlineStr">
        <is>
          <t>دوشنبه</t>
        </is>
      </c>
      <c r="J4340" s="128" t="inlineStr">
        <is>
          <t>بله</t>
        </is>
      </c>
    </row>
    <row r="4341">
      <c r="A4341" s="176" t="n">
        <v>49262</v>
      </c>
      <c r="B4341" s="177" t="n">
        <v>49262</v>
      </c>
      <c r="C4341" s="177" t="n">
        <v>1413</v>
      </c>
      <c r="D4341" s="177" t="n">
        <v>8</v>
      </c>
      <c r="E4341" s="178" t="inlineStr">
        <is>
          <t>1413/08/23</t>
        </is>
      </c>
      <c r="F4341" s="134" t="inlineStr">
        <is>
          <t>1413/08</t>
        </is>
      </c>
      <c r="G4341" s="61" t="inlineStr">
        <is>
          <t>آبان</t>
        </is>
      </c>
      <c r="H4341" s="134" t="inlineStr">
        <is>
          <t>پاییز</t>
        </is>
      </c>
      <c r="I4341" s="134" t="inlineStr">
        <is>
          <t>سه‌شنبه</t>
        </is>
      </c>
      <c r="J4341" s="134" t="inlineStr">
        <is>
          <t>بله</t>
        </is>
      </c>
    </row>
    <row r="4342">
      <c r="A4342" s="173" t="n">
        <v>49263</v>
      </c>
      <c r="B4342" s="174" t="n">
        <v>49263</v>
      </c>
      <c r="C4342" s="174" t="n">
        <v>1413</v>
      </c>
      <c r="D4342" s="174" t="n">
        <v>8</v>
      </c>
      <c r="E4342" s="175" t="inlineStr">
        <is>
          <t>1413/08/24</t>
        </is>
      </c>
      <c r="F4342" s="128" t="inlineStr">
        <is>
          <t>1413/08</t>
        </is>
      </c>
      <c r="G4342" s="58" t="inlineStr">
        <is>
          <t>آبان</t>
        </is>
      </c>
      <c r="H4342" s="128" t="inlineStr">
        <is>
          <t>پاییز</t>
        </is>
      </c>
      <c r="I4342" s="128" t="inlineStr">
        <is>
          <t>چهارشنبه</t>
        </is>
      </c>
      <c r="J4342" s="128" t="inlineStr">
        <is>
          <t>بله</t>
        </is>
      </c>
    </row>
    <row r="4343">
      <c r="A4343" s="176" t="n">
        <v>49264</v>
      </c>
      <c r="B4343" s="177" t="n">
        <v>49264</v>
      </c>
      <c r="C4343" s="177" t="n">
        <v>1413</v>
      </c>
      <c r="D4343" s="177" t="n">
        <v>8</v>
      </c>
      <c r="E4343" s="178" t="inlineStr">
        <is>
          <t>1413/08/25</t>
        </is>
      </c>
      <c r="F4343" s="134" t="inlineStr">
        <is>
          <t>1413/08</t>
        </is>
      </c>
      <c r="G4343" s="61" t="inlineStr">
        <is>
          <t>آبان</t>
        </is>
      </c>
      <c r="H4343" s="134" t="inlineStr">
        <is>
          <t>پاییز</t>
        </is>
      </c>
      <c r="I4343" s="134" t="inlineStr">
        <is>
          <t>پنجشنبه</t>
        </is>
      </c>
      <c r="J4343" s="134" t="inlineStr">
        <is>
          <t>بله</t>
        </is>
      </c>
    </row>
    <row r="4344">
      <c r="A4344" s="173" t="n">
        <v>49265</v>
      </c>
      <c r="B4344" s="174" t="n">
        <v>49265</v>
      </c>
      <c r="C4344" s="174" t="n">
        <v>1413</v>
      </c>
      <c r="D4344" s="174" t="n">
        <v>8</v>
      </c>
      <c r="E4344" s="175" t="inlineStr">
        <is>
          <t>1413/08/26</t>
        </is>
      </c>
      <c r="F4344" s="128" t="inlineStr">
        <is>
          <t>1413/08</t>
        </is>
      </c>
      <c r="G4344" s="58" t="inlineStr">
        <is>
          <t>آبان</t>
        </is>
      </c>
      <c r="H4344" s="128" t="inlineStr">
        <is>
          <t>پاییز</t>
        </is>
      </c>
      <c r="I4344" s="128" t="inlineStr">
        <is>
          <t>جمعه</t>
        </is>
      </c>
      <c r="J4344" s="128" t="inlineStr">
        <is>
          <t>بله</t>
        </is>
      </c>
    </row>
    <row r="4345">
      <c r="A4345" s="176" t="n">
        <v>49266</v>
      </c>
      <c r="B4345" s="177" t="n">
        <v>49266</v>
      </c>
      <c r="C4345" s="177" t="n">
        <v>1413</v>
      </c>
      <c r="D4345" s="177" t="n">
        <v>8</v>
      </c>
      <c r="E4345" s="178" t="inlineStr">
        <is>
          <t>1413/08/27</t>
        </is>
      </c>
      <c r="F4345" s="134" t="inlineStr">
        <is>
          <t>1413/08</t>
        </is>
      </c>
      <c r="G4345" s="61" t="inlineStr">
        <is>
          <t>آبان</t>
        </is>
      </c>
      <c r="H4345" s="134" t="inlineStr">
        <is>
          <t>پاییز</t>
        </is>
      </c>
      <c r="I4345" s="134" t="inlineStr">
        <is>
          <t>شنبه</t>
        </is>
      </c>
      <c r="J4345" s="134" t="inlineStr">
        <is>
          <t>خیر</t>
        </is>
      </c>
    </row>
    <row r="4346">
      <c r="A4346" s="173" t="n">
        <v>49267</v>
      </c>
      <c r="B4346" s="174" t="n">
        <v>49267</v>
      </c>
      <c r="C4346" s="174" t="n">
        <v>1413</v>
      </c>
      <c r="D4346" s="174" t="n">
        <v>8</v>
      </c>
      <c r="E4346" s="175" t="inlineStr">
        <is>
          <t>1413/08/28</t>
        </is>
      </c>
      <c r="F4346" s="128" t="inlineStr">
        <is>
          <t>1413/08</t>
        </is>
      </c>
      <c r="G4346" s="58" t="inlineStr">
        <is>
          <t>آبان</t>
        </is>
      </c>
      <c r="H4346" s="128" t="inlineStr">
        <is>
          <t>پاییز</t>
        </is>
      </c>
      <c r="I4346" s="128" t="inlineStr">
        <is>
          <t>یکشنبه</t>
        </is>
      </c>
      <c r="J4346" s="128" t="inlineStr">
        <is>
          <t>خیر</t>
        </is>
      </c>
    </row>
    <row r="4347">
      <c r="A4347" s="176" t="n">
        <v>49268</v>
      </c>
      <c r="B4347" s="177" t="n">
        <v>49268</v>
      </c>
      <c r="C4347" s="177" t="n">
        <v>1413</v>
      </c>
      <c r="D4347" s="177" t="n">
        <v>8</v>
      </c>
      <c r="E4347" s="178" t="inlineStr">
        <is>
          <t>1413/08/29</t>
        </is>
      </c>
      <c r="F4347" s="134" t="inlineStr">
        <is>
          <t>1413/08</t>
        </is>
      </c>
      <c r="G4347" s="61" t="inlineStr">
        <is>
          <t>آبان</t>
        </is>
      </c>
      <c r="H4347" s="134" t="inlineStr">
        <is>
          <t>پاییز</t>
        </is>
      </c>
      <c r="I4347" s="134" t="inlineStr">
        <is>
          <t>دوشنبه</t>
        </is>
      </c>
      <c r="J4347" s="134" t="inlineStr">
        <is>
          <t>بله</t>
        </is>
      </c>
    </row>
    <row r="4348">
      <c r="A4348" s="173" t="n">
        <v>49269</v>
      </c>
      <c r="B4348" s="174" t="n">
        <v>49269</v>
      </c>
      <c r="C4348" s="174" t="n">
        <v>1413</v>
      </c>
      <c r="D4348" s="174" t="n">
        <v>8</v>
      </c>
      <c r="E4348" s="175" t="inlineStr">
        <is>
          <t>1413/08/30</t>
        </is>
      </c>
      <c r="F4348" s="128" t="inlineStr">
        <is>
          <t>1413/08</t>
        </is>
      </c>
      <c r="G4348" s="58" t="inlineStr">
        <is>
          <t>آبان</t>
        </is>
      </c>
      <c r="H4348" s="128" t="inlineStr">
        <is>
          <t>پاییز</t>
        </is>
      </c>
      <c r="I4348" s="128" t="inlineStr">
        <is>
          <t>سه‌شنبه</t>
        </is>
      </c>
      <c r="J4348" s="128" t="inlineStr">
        <is>
          <t>بله</t>
        </is>
      </c>
    </row>
    <row r="4349">
      <c r="A4349" s="176" t="n">
        <v>49270</v>
      </c>
      <c r="B4349" s="177" t="n">
        <v>49270</v>
      </c>
      <c r="C4349" s="177" t="n">
        <v>1413</v>
      </c>
      <c r="D4349" s="177" t="n">
        <v>9</v>
      </c>
      <c r="E4349" s="178" t="inlineStr">
        <is>
          <t>1413/09/01</t>
        </is>
      </c>
      <c r="F4349" s="134" t="inlineStr">
        <is>
          <t>1413/09</t>
        </is>
      </c>
      <c r="G4349" s="61" t="inlineStr">
        <is>
          <t>آذر</t>
        </is>
      </c>
      <c r="H4349" s="134" t="inlineStr">
        <is>
          <t>پاییز</t>
        </is>
      </c>
      <c r="I4349" s="134" t="inlineStr">
        <is>
          <t>چهارشنبه</t>
        </is>
      </c>
      <c r="J4349" s="134" t="inlineStr">
        <is>
          <t>بله</t>
        </is>
      </c>
    </row>
    <row r="4350">
      <c r="A4350" s="173" t="n">
        <v>49271</v>
      </c>
      <c r="B4350" s="174" t="n">
        <v>49271</v>
      </c>
      <c r="C4350" s="174" t="n">
        <v>1413</v>
      </c>
      <c r="D4350" s="174" t="n">
        <v>9</v>
      </c>
      <c r="E4350" s="175" t="inlineStr">
        <is>
          <t>1413/09/02</t>
        </is>
      </c>
      <c r="F4350" s="128" t="inlineStr">
        <is>
          <t>1413/09</t>
        </is>
      </c>
      <c r="G4350" s="58" t="inlineStr">
        <is>
          <t>آذر</t>
        </is>
      </c>
      <c r="H4350" s="128" t="inlineStr">
        <is>
          <t>پاییز</t>
        </is>
      </c>
      <c r="I4350" s="128" t="inlineStr">
        <is>
          <t>پنجشنبه</t>
        </is>
      </c>
      <c r="J4350" s="128" t="inlineStr">
        <is>
          <t>بله</t>
        </is>
      </c>
    </row>
    <row r="4351">
      <c r="A4351" s="176" t="n">
        <v>49272</v>
      </c>
      <c r="B4351" s="177" t="n">
        <v>49272</v>
      </c>
      <c r="C4351" s="177" t="n">
        <v>1413</v>
      </c>
      <c r="D4351" s="177" t="n">
        <v>9</v>
      </c>
      <c r="E4351" s="178" t="inlineStr">
        <is>
          <t>1413/09/03</t>
        </is>
      </c>
      <c r="F4351" s="134" t="inlineStr">
        <is>
          <t>1413/09</t>
        </is>
      </c>
      <c r="G4351" s="61" t="inlineStr">
        <is>
          <t>آذر</t>
        </is>
      </c>
      <c r="H4351" s="134" t="inlineStr">
        <is>
          <t>پاییز</t>
        </is>
      </c>
      <c r="I4351" s="134" t="inlineStr">
        <is>
          <t>جمعه</t>
        </is>
      </c>
      <c r="J4351" s="134" t="inlineStr">
        <is>
          <t>بله</t>
        </is>
      </c>
    </row>
    <row r="4352">
      <c r="A4352" s="173" t="n">
        <v>49273</v>
      </c>
      <c r="B4352" s="174" t="n">
        <v>49273</v>
      </c>
      <c r="C4352" s="174" t="n">
        <v>1413</v>
      </c>
      <c r="D4352" s="174" t="n">
        <v>9</v>
      </c>
      <c r="E4352" s="175" t="inlineStr">
        <is>
          <t>1413/09/04</t>
        </is>
      </c>
      <c r="F4352" s="128" t="inlineStr">
        <is>
          <t>1413/09</t>
        </is>
      </c>
      <c r="G4352" s="58" t="inlineStr">
        <is>
          <t>آذر</t>
        </is>
      </c>
      <c r="H4352" s="128" t="inlineStr">
        <is>
          <t>پاییز</t>
        </is>
      </c>
      <c r="I4352" s="128" t="inlineStr">
        <is>
          <t>شنبه</t>
        </is>
      </c>
      <c r="J4352" s="128" t="inlineStr">
        <is>
          <t>خیر</t>
        </is>
      </c>
    </row>
    <row r="4353">
      <c r="A4353" s="176" t="n">
        <v>49274</v>
      </c>
      <c r="B4353" s="177" t="n">
        <v>49274</v>
      </c>
      <c r="C4353" s="177" t="n">
        <v>1413</v>
      </c>
      <c r="D4353" s="177" t="n">
        <v>9</v>
      </c>
      <c r="E4353" s="178" t="inlineStr">
        <is>
          <t>1413/09/05</t>
        </is>
      </c>
      <c r="F4353" s="134" t="inlineStr">
        <is>
          <t>1413/09</t>
        </is>
      </c>
      <c r="G4353" s="61" t="inlineStr">
        <is>
          <t>آذر</t>
        </is>
      </c>
      <c r="H4353" s="134" t="inlineStr">
        <is>
          <t>پاییز</t>
        </is>
      </c>
      <c r="I4353" s="134" t="inlineStr">
        <is>
          <t>یکشنبه</t>
        </is>
      </c>
      <c r="J4353" s="134" t="inlineStr">
        <is>
          <t>خیر</t>
        </is>
      </c>
    </row>
    <row r="4354">
      <c r="A4354" s="173" t="n">
        <v>49275</v>
      </c>
      <c r="B4354" s="174" t="n">
        <v>49275</v>
      </c>
      <c r="C4354" s="174" t="n">
        <v>1413</v>
      </c>
      <c r="D4354" s="174" t="n">
        <v>9</v>
      </c>
      <c r="E4354" s="175" t="inlineStr">
        <is>
          <t>1413/09/06</t>
        </is>
      </c>
      <c r="F4354" s="128" t="inlineStr">
        <is>
          <t>1413/09</t>
        </is>
      </c>
      <c r="G4354" s="58" t="inlineStr">
        <is>
          <t>آذر</t>
        </is>
      </c>
      <c r="H4354" s="128" t="inlineStr">
        <is>
          <t>پاییز</t>
        </is>
      </c>
      <c r="I4354" s="128" t="inlineStr">
        <is>
          <t>دوشنبه</t>
        </is>
      </c>
      <c r="J4354" s="128" t="inlineStr">
        <is>
          <t>بله</t>
        </is>
      </c>
    </row>
    <row r="4355">
      <c r="A4355" s="176" t="n">
        <v>49276</v>
      </c>
      <c r="B4355" s="177" t="n">
        <v>49276</v>
      </c>
      <c r="C4355" s="177" t="n">
        <v>1413</v>
      </c>
      <c r="D4355" s="177" t="n">
        <v>9</v>
      </c>
      <c r="E4355" s="178" t="inlineStr">
        <is>
          <t>1413/09/07</t>
        </is>
      </c>
      <c r="F4355" s="134" t="inlineStr">
        <is>
          <t>1413/09</t>
        </is>
      </c>
      <c r="G4355" s="61" t="inlineStr">
        <is>
          <t>آذر</t>
        </is>
      </c>
      <c r="H4355" s="134" t="inlineStr">
        <is>
          <t>پاییز</t>
        </is>
      </c>
      <c r="I4355" s="134" t="inlineStr">
        <is>
          <t>سه‌شنبه</t>
        </is>
      </c>
      <c r="J4355" s="134" t="inlineStr">
        <is>
          <t>بله</t>
        </is>
      </c>
    </row>
    <row r="4356">
      <c r="A4356" s="173" t="n">
        <v>49277</v>
      </c>
      <c r="B4356" s="174" t="n">
        <v>49277</v>
      </c>
      <c r="C4356" s="174" t="n">
        <v>1413</v>
      </c>
      <c r="D4356" s="174" t="n">
        <v>9</v>
      </c>
      <c r="E4356" s="175" t="inlineStr">
        <is>
          <t>1413/09/08</t>
        </is>
      </c>
      <c r="F4356" s="128" t="inlineStr">
        <is>
          <t>1413/09</t>
        </is>
      </c>
      <c r="G4356" s="58" t="inlineStr">
        <is>
          <t>آذر</t>
        </is>
      </c>
      <c r="H4356" s="128" t="inlineStr">
        <is>
          <t>پاییز</t>
        </is>
      </c>
      <c r="I4356" s="128" t="inlineStr">
        <is>
          <t>چهارشنبه</t>
        </is>
      </c>
      <c r="J4356" s="128" t="inlineStr">
        <is>
          <t>بله</t>
        </is>
      </c>
    </row>
    <row r="4357">
      <c r="A4357" s="176" t="n">
        <v>49278</v>
      </c>
      <c r="B4357" s="177" t="n">
        <v>49278</v>
      </c>
      <c r="C4357" s="177" t="n">
        <v>1413</v>
      </c>
      <c r="D4357" s="177" t="n">
        <v>9</v>
      </c>
      <c r="E4357" s="178" t="inlineStr">
        <is>
          <t>1413/09/09</t>
        </is>
      </c>
      <c r="F4357" s="134" t="inlineStr">
        <is>
          <t>1413/09</t>
        </is>
      </c>
      <c r="G4357" s="61" t="inlineStr">
        <is>
          <t>آذر</t>
        </is>
      </c>
      <c r="H4357" s="134" t="inlineStr">
        <is>
          <t>پاییز</t>
        </is>
      </c>
      <c r="I4357" s="134" t="inlineStr">
        <is>
          <t>پنجشنبه</t>
        </is>
      </c>
      <c r="J4357" s="134" t="inlineStr">
        <is>
          <t>بله</t>
        </is>
      </c>
    </row>
    <row r="4358">
      <c r="A4358" s="173" t="n">
        <v>49279</v>
      </c>
      <c r="B4358" s="174" t="n">
        <v>49279</v>
      </c>
      <c r="C4358" s="174" t="n">
        <v>1413</v>
      </c>
      <c r="D4358" s="174" t="n">
        <v>9</v>
      </c>
      <c r="E4358" s="175" t="inlineStr">
        <is>
          <t>1413/09/10</t>
        </is>
      </c>
      <c r="F4358" s="128" t="inlineStr">
        <is>
          <t>1413/09</t>
        </is>
      </c>
      <c r="G4358" s="58" t="inlineStr">
        <is>
          <t>آذر</t>
        </is>
      </c>
      <c r="H4358" s="128" t="inlineStr">
        <is>
          <t>پاییز</t>
        </is>
      </c>
      <c r="I4358" s="128" t="inlineStr">
        <is>
          <t>جمعه</t>
        </is>
      </c>
      <c r="J4358" s="128" t="inlineStr">
        <is>
          <t>بله</t>
        </is>
      </c>
    </row>
    <row r="4359">
      <c r="A4359" s="176" t="n">
        <v>49280</v>
      </c>
      <c r="B4359" s="177" t="n">
        <v>49280</v>
      </c>
      <c r="C4359" s="177" t="n">
        <v>1413</v>
      </c>
      <c r="D4359" s="177" t="n">
        <v>9</v>
      </c>
      <c r="E4359" s="178" t="inlineStr">
        <is>
          <t>1413/09/11</t>
        </is>
      </c>
      <c r="F4359" s="134" t="inlineStr">
        <is>
          <t>1413/09</t>
        </is>
      </c>
      <c r="G4359" s="61" t="inlineStr">
        <is>
          <t>آذر</t>
        </is>
      </c>
      <c r="H4359" s="134" t="inlineStr">
        <is>
          <t>پاییز</t>
        </is>
      </c>
      <c r="I4359" s="134" t="inlineStr">
        <is>
          <t>شنبه</t>
        </is>
      </c>
      <c r="J4359" s="134" t="inlineStr">
        <is>
          <t>خیر</t>
        </is>
      </c>
    </row>
    <row r="4360">
      <c r="A4360" s="173" t="n">
        <v>49281</v>
      </c>
      <c r="B4360" s="174" t="n">
        <v>49281</v>
      </c>
      <c r="C4360" s="174" t="n">
        <v>1413</v>
      </c>
      <c r="D4360" s="174" t="n">
        <v>9</v>
      </c>
      <c r="E4360" s="175" t="inlineStr">
        <is>
          <t>1413/09/12</t>
        </is>
      </c>
      <c r="F4360" s="128" t="inlineStr">
        <is>
          <t>1413/09</t>
        </is>
      </c>
      <c r="G4360" s="58" t="inlineStr">
        <is>
          <t>آذر</t>
        </is>
      </c>
      <c r="H4360" s="128" t="inlineStr">
        <is>
          <t>پاییز</t>
        </is>
      </c>
      <c r="I4360" s="128" t="inlineStr">
        <is>
          <t>یکشنبه</t>
        </is>
      </c>
      <c r="J4360" s="128" t="inlineStr">
        <is>
          <t>خیر</t>
        </is>
      </c>
    </row>
    <row r="4361">
      <c r="A4361" s="176" t="n">
        <v>49282</v>
      </c>
      <c r="B4361" s="177" t="n">
        <v>49282</v>
      </c>
      <c r="C4361" s="177" t="n">
        <v>1413</v>
      </c>
      <c r="D4361" s="177" t="n">
        <v>9</v>
      </c>
      <c r="E4361" s="178" t="inlineStr">
        <is>
          <t>1413/09/13</t>
        </is>
      </c>
      <c r="F4361" s="134" t="inlineStr">
        <is>
          <t>1413/09</t>
        </is>
      </c>
      <c r="G4361" s="61" t="inlineStr">
        <is>
          <t>آذر</t>
        </is>
      </c>
      <c r="H4361" s="134" t="inlineStr">
        <is>
          <t>پاییز</t>
        </is>
      </c>
      <c r="I4361" s="134" t="inlineStr">
        <is>
          <t>دوشنبه</t>
        </is>
      </c>
      <c r="J4361" s="134" t="inlineStr">
        <is>
          <t>بله</t>
        </is>
      </c>
    </row>
    <row r="4362">
      <c r="A4362" s="173" t="n">
        <v>49283</v>
      </c>
      <c r="B4362" s="174" t="n">
        <v>49283</v>
      </c>
      <c r="C4362" s="174" t="n">
        <v>1413</v>
      </c>
      <c r="D4362" s="174" t="n">
        <v>9</v>
      </c>
      <c r="E4362" s="175" t="inlineStr">
        <is>
          <t>1413/09/14</t>
        </is>
      </c>
      <c r="F4362" s="128" t="inlineStr">
        <is>
          <t>1413/09</t>
        </is>
      </c>
      <c r="G4362" s="58" t="inlineStr">
        <is>
          <t>آذر</t>
        </is>
      </c>
      <c r="H4362" s="128" t="inlineStr">
        <is>
          <t>پاییز</t>
        </is>
      </c>
      <c r="I4362" s="128" t="inlineStr">
        <is>
          <t>سه‌شنبه</t>
        </is>
      </c>
      <c r="J4362" s="128" t="inlineStr">
        <is>
          <t>بله</t>
        </is>
      </c>
    </row>
    <row r="4363">
      <c r="A4363" s="176" t="n">
        <v>49284</v>
      </c>
      <c r="B4363" s="177" t="n">
        <v>49284</v>
      </c>
      <c r="C4363" s="177" t="n">
        <v>1413</v>
      </c>
      <c r="D4363" s="177" t="n">
        <v>9</v>
      </c>
      <c r="E4363" s="178" t="inlineStr">
        <is>
          <t>1413/09/15</t>
        </is>
      </c>
      <c r="F4363" s="134" t="inlineStr">
        <is>
          <t>1413/09</t>
        </is>
      </c>
      <c r="G4363" s="61" t="inlineStr">
        <is>
          <t>آذر</t>
        </is>
      </c>
      <c r="H4363" s="134" t="inlineStr">
        <is>
          <t>پاییز</t>
        </is>
      </c>
      <c r="I4363" s="134" t="inlineStr">
        <is>
          <t>چهارشنبه</t>
        </is>
      </c>
      <c r="J4363" s="134" t="inlineStr">
        <is>
          <t>بله</t>
        </is>
      </c>
    </row>
    <row r="4364">
      <c r="A4364" s="173" t="n">
        <v>49285</v>
      </c>
      <c r="B4364" s="174" t="n">
        <v>49285</v>
      </c>
      <c r="C4364" s="174" t="n">
        <v>1413</v>
      </c>
      <c r="D4364" s="174" t="n">
        <v>9</v>
      </c>
      <c r="E4364" s="175" t="inlineStr">
        <is>
          <t>1413/09/16</t>
        </is>
      </c>
      <c r="F4364" s="128" t="inlineStr">
        <is>
          <t>1413/09</t>
        </is>
      </c>
      <c r="G4364" s="58" t="inlineStr">
        <is>
          <t>آذر</t>
        </is>
      </c>
      <c r="H4364" s="128" t="inlineStr">
        <is>
          <t>پاییز</t>
        </is>
      </c>
      <c r="I4364" s="128" t="inlineStr">
        <is>
          <t>پنجشنبه</t>
        </is>
      </c>
      <c r="J4364" s="128" t="inlineStr">
        <is>
          <t>بله</t>
        </is>
      </c>
    </row>
    <row r="4365">
      <c r="A4365" s="176" t="n">
        <v>49286</v>
      </c>
      <c r="B4365" s="177" t="n">
        <v>49286</v>
      </c>
      <c r="C4365" s="177" t="n">
        <v>1413</v>
      </c>
      <c r="D4365" s="177" t="n">
        <v>9</v>
      </c>
      <c r="E4365" s="178" t="inlineStr">
        <is>
          <t>1413/09/17</t>
        </is>
      </c>
      <c r="F4365" s="134" t="inlineStr">
        <is>
          <t>1413/09</t>
        </is>
      </c>
      <c r="G4365" s="61" t="inlineStr">
        <is>
          <t>آذر</t>
        </is>
      </c>
      <c r="H4365" s="134" t="inlineStr">
        <is>
          <t>پاییز</t>
        </is>
      </c>
      <c r="I4365" s="134" t="inlineStr">
        <is>
          <t>جمعه</t>
        </is>
      </c>
      <c r="J4365" s="134" t="inlineStr">
        <is>
          <t>بله</t>
        </is>
      </c>
    </row>
    <row r="4366">
      <c r="A4366" s="173" t="n">
        <v>49287</v>
      </c>
      <c r="B4366" s="174" t="n">
        <v>49287</v>
      </c>
      <c r="C4366" s="174" t="n">
        <v>1413</v>
      </c>
      <c r="D4366" s="174" t="n">
        <v>9</v>
      </c>
      <c r="E4366" s="175" t="inlineStr">
        <is>
          <t>1413/09/18</t>
        </is>
      </c>
      <c r="F4366" s="128" t="inlineStr">
        <is>
          <t>1413/09</t>
        </is>
      </c>
      <c r="G4366" s="58" t="inlineStr">
        <is>
          <t>آذر</t>
        </is>
      </c>
      <c r="H4366" s="128" t="inlineStr">
        <is>
          <t>پاییز</t>
        </is>
      </c>
      <c r="I4366" s="128" t="inlineStr">
        <is>
          <t>شنبه</t>
        </is>
      </c>
      <c r="J4366" s="128" t="inlineStr">
        <is>
          <t>خیر</t>
        </is>
      </c>
    </row>
    <row r="4367">
      <c r="A4367" s="176" t="n">
        <v>49288</v>
      </c>
      <c r="B4367" s="177" t="n">
        <v>49288</v>
      </c>
      <c r="C4367" s="177" t="n">
        <v>1413</v>
      </c>
      <c r="D4367" s="177" t="n">
        <v>9</v>
      </c>
      <c r="E4367" s="178" t="inlineStr">
        <is>
          <t>1413/09/19</t>
        </is>
      </c>
      <c r="F4367" s="134" t="inlineStr">
        <is>
          <t>1413/09</t>
        </is>
      </c>
      <c r="G4367" s="61" t="inlineStr">
        <is>
          <t>آذر</t>
        </is>
      </c>
      <c r="H4367" s="134" t="inlineStr">
        <is>
          <t>پاییز</t>
        </is>
      </c>
      <c r="I4367" s="134" t="inlineStr">
        <is>
          <t>یکشنبه</t>
        </is>
      </c>
      <c r="J4367" s="134" t="inlineStr">
        <is>
          <t>خیر</t>
        </is>
      </c>
    </row>
    <row r="4368">
      <c r="A4368" s="173" t="n">
        <v>49289</v>
      </c>
      <c r="B4368" s="174" t="n">
        <v>49289</v>
      </c>
      <c r="C4368" s="174" t="n">
        <v>1413</v>
      </c>
      <c r="D4368" s="174" t="n">
        <v>9</v>
      </c>
      <c r="E4368" s="175" t="inlineStr">
        <is>
          <t>1413/09/20</t>
        </is>
      </c>
      <c r="F4368" s="128" t="inlineStr">
        <is>
          <t>1413/09</t>
        </is>
      </c>
      <c r="G4368" s="58" t="inlineStr">
        <is>
          <t>آذر</t>
        </is>
      </c>
      <c r="H4368" s="128" t="inlineStr">
        <is>
          <t>پاییز</t>
        </is>
      </c>
      <c r="I4368" s="128" t="inlineStr">
        <is>
          <t>دوشنبه</t>
        </is>
      </c>
      <c r="J4368" s="128" t="inlineStr">
        <is>
          <t>بله</t>
        </is>
      </c>
    </row>
    <row r="4369">
      <c r="A4369" s="176" t="n">
        <v>49290</v>
      </c>
      <c r="B4369" s="177" t="n">
        <v>49290</v>
      </c>
      <c r="C4369" s="177" t="n">
        <v>1413</v>
      </c>
      <c r="D4369" s="177" t="n">
        <v>9</v>
      </c>
      <c r="E4369" s="178" t="inlineStr">
        <is>
          <t>1413/09/21</t>
        </is>
      </c>
      <c r="F4369" s="134" t="inlineStr">
        <is>
          <t>1413/09</t>
        </is>
      </c>
      <c r="G4369" s="61" t="inlineStr">
        <is>
          <t>آذر</t>
        </is>
      </c>
      <c r="H4369" s="134" t="inlineStr">
        <is>
          <t>پاییز</t>
        </is>
      </c>
      <c r="I4369" s="134" t="inlineStr">
        <is>
          <t>سه‌شنبه</t>
        </is>
      </c>
      <c r="J4369" s="134" t="inlineStr">
        <is>
          <t>بله</t>
        </is>
      </c>
    </row>
    <row r="4370">
      <c r="A4370" s="173" t="n">
        <v>49291</v>
      </c>
      <c r="B4370" s="174" t="n">
        <v>49291</v>
      </c>
      <c r="C4370" s="174" t="n">
        <v>1413</v>
      </c>
      <c r="D4370" s="174" t="n">
        <v>9</v>
      </c>
      <c r="E4370" s="175" t="inlineStr">
        <is>
          <t>1413/09/22</t>
        </is>
      </c>
      <c r="F4370" s="128" t="inlineStr">
        <is>
          <t>1413/09</t>
        </is>
      </c>
      <c r="G4370" s="58" t="inlineStr">
        <is>
          <t>آذر</t>
        </is>
      </c>
      <c r="H4370" s="128" t="inlineStr">
        <is>
          <t>پاییز</t>
        </is>
      </c>
      <c r="I4370" s="128" t="inlineStr">
        <is>
          <t>چهارشنبه</t>
        </is>
      </c>
      <c r="J4370" s="128" t="inlineStr">
        <is>
          <t>بله</t>
        </is>
      </c>
    </row>
    <row r="4371">
      <c r="A4371" s="176" t="n">
        <v>49292</v>
      </c>
      <c r="B4371" s="177" t="n">
        <v>49292</v>
      </c>
      <c r="C4371" s="177" t="n">
        <v>1413</v>
      </c>
      <c r="D4371" s="177" t="n">
        <v>9</v>
      </c>
      <c r="E4371" s="178" t="inlineStr">
        <is>
          <t>1413/09/23</t>
        </is>
      </c>
      <c r="F4371" s="134" t="inlineStr">
        <is>
          <t>1413/09</t>
        </is>
      </c>
      <c r="G4371" s="61" t="inlineStr">
        <is>
          <t>آذر</t>
        </is>
      </c>
      <c r="H4371" s="134" t="inlineStr">
        <is>
          <t>پاییز</t>
        </is>
      </c>
      <c r="I4371" s="134" t="inlineStr">
        <is>
          <t>پنجشنبه</t>
        </is>
      </c>
      <c r="J4371" s="134" t="inlineStr">
        <is>
          <t>بله</t>
        </is>
      </c>
    </row>
    <row r="4372">
      <c r="A4372" s="173" t="n">
        <v>49293</v>
      </c>
      <c r="B4372" s="174" t="n">
        <v>49293</v>
      </c>
      <c r="C4372" s="174" t="n">
        <v>1413</v>
      </c>
      <c r="D4372" s="174" t="n">
        <v>9</v>
      </c>
      <c r="E4372" s="175" t="inlineStr">
        <is>
          <t>1413/09/24</t>
        </is>
      </c>
      <c r="F4372" s="128" t="inlineStr">
        <is>
          <t>1413/09</t>
        </is>
      </c>
      <c r="G4372" s="58" t="inlineStr">
        <is>
          <t>آذر</t>
        </is>
      </c>
      <c r="H4372" s="128" t="inlineStr">
        <is>
          <t>پاییز</t>
        </is>
      </c>
      <c r="I4372" s="128" t="inlineStr">
        <is>
          <t>جمعه</t>
        </is>
      </c>
      <c r="J4372" s="128" t="inlineStr">
        <is>
          <t>بله</t>
        </is>
      </c>
    </row>
    <row r="4373">
      <c r="A4373" s="176" t="n">
        <v>49294</v>
      </c>
      <c r="B4373" s="177" t="n">
        <v>49294</v>
      </c>
      <c r="C4373" s="177" t="n">
        <v>1413</v>
      </c>
      <c r="D4373" s="177" t="n">
        <v>9</v>
      </c>
      <c r="E4373" s="178" t="inlineStr">
        <is>
          <t>1413/09/25</t>
        </is>
      </c>
      <c r="F4373" s="134" t="inlineStr">
        <is>
          <t>1413/09</t>
        </is>
      </c>
      <c r="G4373" s="61" t="inlineStr">
        <is>
          <t>آذر</t>
        </is>
      </c>
      <c r="H4373" s="134" t="inlineStr">
        <is>
          <t>پاییز</t>
        </is>
      </c>
      <c r="I4373" s="134" t="inlineStr">
        <is>
          <t>شنبه</t>
        </is>
      </c>
      <c r="J4373" s="134" t="inlineStr">
        <is>
          <t>خیر</t>
        </is>
      </c>
    </row>
    <row r="4374">
      <c r="A4374" s="173" t="n">
        <v>49295</v>
      </c>
      <c r="B4374" s="174" t="n">
        <v>49295</v>
      </c>
      <c r="C4374" s="174" t="n">
        <v>1413</v>
      </c>
      <c r="D4374" s="174" t="n">
        <v>9</v>
      </c>
      <c r="E4374" s="175" t="inlineStr">
        <is>
          <t>1413/09/26</t>
        </is>
      </c>
      <c r="F4374" s="128" t="inlineStr">
        <is>
          <t>1413/09</t>
        </is>
      </c>
      <c r="G4374" s="58" t="inlineStr">
        <is>
          <t>آذر</t>
        </is>
      </c>
      <c r="H4374" s="128" t="inlineStr">
        <is>
          <t>پاییز</t>
        </is>
      </c>
      <c r="I4374" s="128" t="inlineStr">
        <is>
          <t>یکشنبه</t>
        </is>
      </c>
      <c r="J4374" s="128" t="inlineStr">
        <is>
          <t>خیر</t>
        </is>
      </c>
    </row>
    <row r="4375">
      <c r="A4375" s="176" t="n">
        <v>49296</v>
      </c>
      <c r="B4375" s="177" t="n">
        <v>49296</v>
      </c>
      <c r="C4375" s="177" t="n">
        <v>1413</v>
      </c>
      <c r="D4375" s="177" t="n">
        <v>9</v>
      </c>
      <c r="E4375" s="178" t="inlineStr">
        <is>
          <t>1413/09/27</t>
        </is>
      </c>
      <c r="F4375" s="134" t="inlineStr">
        <is>
          <t>1413/09</t>
        </is>
      </c>
      <c r="G4375" s="61" t="inlineStr">
        <is>
          <t>آذر</t>
        </is>
      </c>
      <c r="H4375" s="134" t="inlineStr">
        <is>
          <t>پاییز</t>
        </is>
      </c>
      <c r="I4375" s="134" t="inlineStr">
        <is>
          <t>دوشنبه</t>
        </is>
      </c>
      <c r="J4375" s="134" t="inlineStr">
        <is>
          <t>بله</t>
        </is>
      </c>
    </row>
    <row r="4376">
      <c r="A4376" s="173" t="n">
        <v>49297</v>
      </c>
      <c r="B4376" s="174" t="n">
        <v>49297</v>
      </c>
      <c r="C4376" s="174" t="n">
        <v>1413</v>
      </c>
      <c r="D4376" s="174" t="n">
        <v>9</v>
      </c>
      <c r="E4376" s="175" t="inlineStr">
        <is>
          <t>1413/09/28</t>
        </is>
      </c>
      <c r="F4376" s="128" t="inlineStr">
        <is>
          <t>1413/09</t>
        </is>
      </c>
      <c r="G4376" s="58" t="inlineStr">
        <is>
          <t>آذر</t>
        </is>
      </c>
      <c r="H4376" s="128" t="inlineStr">
        <is>
          <t>پاییز</t>
        </is>
      </c>
      <c r="I4376" s="128" t="inlineStr">
        <is>
          <t>سه‌شنبه</t>
        </is>
      </c>
      <c r="J4376" s="128" t="inlineStr">
        <is>
          <t>بله</t>
        </is>
      </c>
    </row>
    <row r="4377">
      <c r="A4377" s="176" t="n">
        <v>49298</v>
      </c>
      <c r="B4377" s="177" t="n">
        <v>49298</v>
      </c>
      <c r="C4377" s="177" t="n">
        <v>1413</v>
      </c>
      <c r="D4377" s="177" t="n">
        <v>9</v>
      </c>
      <c r="E4377" s="178" t="inlineStr">
        <is>
          <t>1413/09/29</t>
        </is>
      </c>
      <c r="F4377" s="134" t="inlineStr">
        <is>
          <t>1413/09</t>
        </is>
      </c>
      <c r="G4377" s="61" t="inlineStr">
        <is>
          <t>آذر</t>
        </is>
      </c>
      <c r="H4377" s="134" t="inlineStr">
        <is>
          <t>پاییز</t>
        </is>
      </c>
      <c r="I4377" s="134" t="inlineStr">
        <is>
          <t>چهارشنبه</t>
        </is>
      </c>
      <c r="J4377" s="134" t="inlineStr">
        <is>
          <t>بله</t>
        </is>
      </c>
    </row>
    <row r="4378">
      <c r="A4378" s="173" t="n">
        <v>49299</v>
      </c>
      <c r="B4378" s="174" t="n">
        <v>49299</v>
      </c>
      <c r="C4378" s="174" t="n">
        <v>1413</v>
      </c>
      <c r="D4378" s="174" t="n">
        <v>9</v>
      </c>
      <c r="E4378" s="175" t="inlineStr">
        <is>
          <t>1413/09/30</t>
        </is>
      </c>
      <c r="F4378" s="128" t="inlineStr">
        <is>
          <t>1413/09</t>
        </is>
      </c>
      <c r="G4378" s="58" t="inlineStr">
        <is>
          <t>آذر</t>
        </is>
      </c>
      <c r="H4378" s="128" t="inlineStr">
        <is>
          <t>پاییز</t>
        </is>
      </c>
      <c r="I4378" s="128" t="inlineStr">
        <is>
          <t>پنجشنبه</t>
        </is>
      </c>
      <c r="J4378" s="128" t="inlineStr">
        <is>
          <t>بله</t>
        </is>
      </c>
    </row>
    <row r="4379">
      <c r="A4379" s="176" t="n">
        <v>49300</v>
      </c>
      <c r="B4379" s="177" t="n">
        <v>49300</v>
      </c>
      <c r="C4379" s="177" t="n">
        <v>1413</v>
      </c>
      <c r="D4379" s="177" t="n">
        <v>10</v>
      </c>
      <c r="E4379" s="178" t="inlineStr">
        <is>
          <t>1413/10/01</t>
        </is>
      </c>
      <c r="F4379" s="134" t="inlineStr">
        <is>
          <t>1413/10</t>
        </is>
      </c>
      <c r="G4379" s="61" t="inlineStr">
        <is>
          <t>دی</t>
        </is>
      </c>
      <c r="H4379" s="134" t="inlineStr">
        <is>
          <t>زمستان</t>
        </is>
      </c>
      <c r="I4379" s="134" t="inlineStr">
        <is>
          <t>جمعه</t>
        </is>
      </c>
      <c r="J4379" s="134" t="inlineStr">
        <is>
          <t>بله</t>
        </is>
      </c>
    </row>
    <row r="4380">
      <c r="A4380" s="173" t="n">
        <v>49301</v>
      </c>
      <c r="B4380" s="174" t="n">
        <v>49301</v>
      </c>
      <c r="C4380" s="174" t="n">
        <v>1413</v>
      </c>
      <c r="D4380" s="174" t="n">
        <v>10</v>
      </c>
      <c r="E4380" s="175" t="inlineStr">
        <is>
          <t>1413/10/02</t>
        </is>
      </c>
      <c r="F4380" s="128" t="inlineStr">
        <is>
          <t>1413/10</t>
        </is>
      </c>
      <c r="G4380" s="58" t="inlineStr">
        <is>
          <t>دی</t>
        </is>
      </c>
      <c r="H4380" s="128" t="inlineStr">
        <is>
          <t>زمستان</t>
        </is>
      </c>
      <c r="I4380" s="128" t="inlineStr">
        <is>
          <t>شنبه</t>
        </is>
      </c>
      <c r="J4380" s="128" t="inlineStr">
        <is>
          <t>خیر</t>
        </is>
      </c>
    </row>
    <row r="4381">
      <c r="A4381" s="176" t="n">
        <v>49302</v>
      </c>
      <c r="B4381" s="177" t="n">
        <v>49302</v>
      </c>
      <c r="C4381" s="177" t="n">
        <v>1413</v>
      </c>
      <c r="D4381" s="177" t="n">
        <v>10</v>
      </c>
      <c r="E4381" s="178" t="inlineStr">
        <is>
          <t>1413/10/03</t>
        </is>
      </c>
      <c r="F4381" s="134" t="inlineStr">
        <is>
          <t>1413/10</t>
        </is>
      </c>
      <c r="G4381" s="61" t="inlineStr">
        <is>
          <t>دی</t>
        </is>
      </c>
      <c r="H4381" s="134" t="inlineStr">
        <is>
          <t>زمستان</t>
        </is>
      </c>
      <c r="I4381" s="134" t="inlineStr">
        <is>
          <t>یکشنبه</t>
        </is>
      </c>
      <c r="J4381" s="134" t="inlineStr">
        <is>
          <t>خیر</t>
        </is>
      </c>
    </row>
    <row r="4382">
      <c r="A4382" s="173" t="n">
        <v>49303</v>
      </c>
      <c r="B4382" s="174" t="n">
        <v>49303</v>
      </c>
      <c r="C4382" s="174" t="n">
        <v>1413</v>
      </c>
      <c r="D4382" s="174" t="n">
        <v>10</v>
      </c>
      <c r="E4382" s="175" t="inlineStr">
        <is>
          <t>1413/10/04</t>
        </is>
      </c>
      <c r="F4382" s="128" t="inlineStr">
        <is>
          <t>1413/10</t>
        </is>
      </c>
      <c r="G4382" s="58" t="inlineStr">
        <is>
          <t>دی</t>
        </is>
      </c>
      <c r="H4382" s="128" t="inlineStr">
        <is>
          <t>زمستان</t>
        </is>
      </c>
      <c r="I4382" s="128" t="inlineStr">
        <is>
          <t>دوشنبه</t>
        </is>
      </c>
      <c r="J4382" s="128" t="inlineStr">
        <is>
          <t>بله</t>
        </is>
      </c>
    </row>
    <row r="4383">
      <c r="A4383" s="176" t="n">
        <v>49304</v>
      </c>
      <c r="B4383" s="177" t="n">
        <v>49304</v>
      </c>
      <c r="C4383" s="177" t="n">
        <v>1413</v>
      </c>
      <c r="D4383" s="177" t="n">
        <v>10</v>
      </c>
      <c r="E4383" s="178" t="inlineStr">
        <is>
          <t>1413/10/05</t>
        </is>
      </c>
      <c r="F4383" s="134" t="inlineStr">
        <is>
          <t>1413/10</t>
        </is>
      </c>
      <c r="G4383" s="61" t="inlineStr">
        <is>
          <t>دی</t>
        </is>
      </c>
      <c r="H4383" s="134" t="inlineStr">
        <is>
          <t>زمستان</t>
        </is>
      </c>
      <c r="I4383" s="134" t="inlineStr">
        <is>
          <t>سه‌شنبه</t>
        </is>
      </c>
      <c r="J4383" s="134" t="inlineStr">
        <is>
          <t>بله</t>
        </is>
      </c>
    </row>
    <row r="4384">
      <c r="A4384" s="173" t="n">
        <v>49305</v>
      </c>
      <c r="B4384" s="174" t="n">
        <v>49305</v>
      </c>
      <c r="C4384" s="174" t="n">
        <v>1413</v>
      </c>
      <c r="D4384" s="174" t="n">
        <v>10</v>
      </c>
      <c r="E4384" s="175" t="inlineStr">
        <is>
          <t>1413/10/06</t>
        </is>
      </c>
      <c r="F4384" s="128" t="inlineStr">
        <is>
          <t>1413/10</t>
        </is>
      </c>
      <c r="G4384" s="58" t="inlineStr">
        <is>
          <t>دی</t>
        </is>
      </c>
      <c r="H4384" s="128" t="inlineStr">
        <is>
          <t>زمستان</t>
        </is>
      </c>
      <c r="I4384" s="128" t="inlineStr">
        <is>
          <t>چهارشنبه</t>
        </is>
      </c>
      <c r="J4384" s="128" t="inlineStr">
        <is>
          <t>بله</t>
        </is>
      </c>
    </row>
    <row r="4385">
      <c r="A4385" s="176" t="n">
        <v>49306</v>
      </c>
      <c r="B4385" s="177" t="n">
        <v>49306</v>
      </c>
      <c r="C4385" s="177" t="n">
        <v>1413</v>
      </c>
      <c r="D4385" s="177" t="n">
        <v>10</v>
      </c>
      <c r="E4385" s="178" t="inlineStr">
        <is>
          <t>1413/10/07</t>
        </is>
      </c>
      <c r="F4385" s="134" t="inlineStr">
        <is>
          <t>1413/10</t>
        </is>
      </c>
      <c r="G4385" s="61" t="inlineStr">
        <is>
          <t>دی</t>
        </is>
      </c>
      <c r="H4385" s="134" t="inlineStr">
        <is>
          <t>زمستان</t>
        </is>
      </c>
      <c r="I4385" s="134" t="inlineStr">
        <is>
          <t>پنجشنبه</t>
        </is>
      </c>
      <c r="J4385" s="134" t="inlineStr">
        <is>
          <t>بله</t>
        </is>
      </c>
    </row>
    <row r="4386">
      <c r="A4386" s="173" t="n">
        <v>49307</v>
      </c>
      <c r="B4386" s="174" t="n">
        <v>49307</v>
      </c>
      <c r="C4386" s="174" t="n">
        <v>1413</v>
      </c>
      <c r="D4386" s="174" t="n">
        <v>10</v>
      </c>
      <c r="E4386" s="175" t="inlineStr">
        <is>
          <t>1413/10/08</t>
        </is>
      </c>
      <c r="F4386" s="128" t="inlineStr">
        <is>
          <t>1413/10</t>
        </is>
      </c>
      <c r="G4386" s="58" t="inlineStr">
        <is>
          <t>دی</t>
        </is>
      </c>
      <c r="H4386" s="128" t="inlineStr">
        <is>
          <t>زمستان</t>
        </is>
      </c>
      <c r="I4386" s="128" t="inlineStr">
        <is>
          <t>جمعه</t>
        </is>
      </c>
      <c r="J4386" s="128" t="inlineStr">
        <is>
          <t>بله</t>
        </is>
      </c>
    </row>
    <row r="4387">
      <c r="A4387" s="176" t="n">
        <v>49308</v>
      </c>
      <c r="B4387" s="177" t="n">
        <v>49308</v>
      </c>
      <c r="C4387" s="177" t="n">
        <v>1413</v>
      </c>
      <c r="D4387" s="177" t="n">
        <v>10</v>
      </c>
      <c r="E4387" s="178" t="inlineStr">
        <is>
          <t>1413/10/09</t>
        </is>
      </c>
      <c r="F4387" s="134" t="inlineStr">
        <is>
          <t>1413/10</t>
        </is>
      </c>
      <c r="G4387" s="61" t="inlineStr">
        <is>
          <t>دی</t>
        </is>
      </c>
      <c r="H4387" s="134" t="inlineStr">
        <is>
          <t>زمستان</t>
        </is>
      </c>
      <c r="I4387" s="134" t="inlineStr">
        <is>
          <t>شنبه</t>
        </is>
      </c>
      <c r="J4387" s="134" t="inlineStr">
        <is>
          <t>خیر</t>
        </is>
      </c>
    </row>
    <row r="4388">
      <c r="A4388" s="173" t="n">
        <v>49309</v>
      </c>
      <c r="B4388" s="174" t="n">
        <v>49309</v>
      </c>
      <c r="C4388" s="174" t="n">
        <v>1413</v>
      </c>
      <c r="D4388" s="174" t="n">
        <v>10</v>
      </c>
      <c r="E4388" s="175" t="inlineStr">
        <is>
          <t>1413/10/10</t>
        </is>
      </c>
      <c r="F4388" s="128" t="inlineStr">
        <is>
          <t>1413/10</t>
        </is>
      </c>
      <c r="G4388" s="58" t="inlineStr">
        <is>
          <t>دی</t>
        </is>
      </c>
      <c r="H4388" s="128" t="inlineStr">
        <is>
          <t>زمستان</t>
        </is>
      </c>
      <c r="I4388" s="128" t="inlineStr">
        <is>
          <t>یکشنبه</t>
        </is>
      </c>
      <c r="J4388" s="128" t="inlineStr">
        <is>
          <t>خیر</t>
        </is>
      </c>
    </row>
    <row r="4389">
      <c r="A4389" s="176" t="n">
        <v>49310</v>
      </c>
      <c r="B4389" s="177" t="n">
        <v>49310</v>
      </c>
      <c r="C4389" s="177" t="n">
        <v>1413</v>
      </c>
      <c r="D4389" s="177" t="n">
        <v>10</v>
      </c>
      <c r="E4389" s="178" t="inlineStr">
        <is>
          <t>1413/10/11</t>
        </is>
      </c>
      <c r="F4389" s="134" t="inlineStr">
        <is>
          <t>1413/10</t>
        </is>
      </c>
      <c r="G4389" s="61" t="inlineStr">
        <is>
          <t>دی</t>
        </is>
      </c>
      <c r="H4389" s="134" t="inlineStr">
        <is>
          <t>زمستان</t>
        </is>
      </c>
      <c r="I4389" s="134" t="inlineStr">
        <is>
          <t>دوشنبه</t>
        </is>
      </c>
      <c r="J4389" s="134" t="inlineStr">
        <is>
          <t>بله</t>
        </is>
      </c>
    </row>
    <row r="4390">
      <c r="A4390" s="173" t="n">
        <v>49311</v>
      </c>
      <c r="B4390" s="174" t="n">
        <v>49311</v>
      </c>
      <c r="C4390" s="174" t="n">
        <v>1413</v>
      </c>
      <c r="D4390" s="174" t="n">
        <v>10</v>
      </c>
      <c r="E4390" s="175" t="inlineStr">
        <is>
          <t>1413/10/12</t>
        </is>
      </c>
      <c r="F4390" s="128" t="inlineStr">
        <is>
          <t>1413/10</t>
        </is>
      </c>
      <c r="G4390" s="58" t="inlineStr">
        <is>
          <t>دی</t>
        </is>
      </c>
      <c r="H4390" s="128" t="inlineStr">
        <is>
          <t>زمستان</t>
        </is>
      </c>
      <c r="I4390" s="128" t="inlineStr">
        <is>
          <t>سه‌شنبه</t>
        </is>
      </c>
      <c r="J4390" s="128" t="inlineStr">
        <is>
          <t>بله</t>
        </is>
      </c>
    </row>
    <row r="4391">
      <c r="A4391" s="176" t="n">
        <v>49312</v>
      </c>
      <c r="B4391" s="177" t="n">
        <v>49312</v>
      </c>
      <c r="C4391" s="177" t="n">
        <v>1413</v>
      </c>
      <c r="D4391" s="177" t="n">
        <v>10</v>
      </c>
      <c r="E4391" s="178" t="inlineStr">
        <is>
          <t>1413/10/13</t>
        </is>
      </c>
      <c r="F4391" s="134" t="inlineStr">
        <is>
          <t>1413/10</t>
        </is>
      </c>
      <c r="G4391" s="61" t="inlineStr">
        <is>
          <t>دی</t>
        </is>
      </c>
      <c r="H4391" s="134" t="inlineStr">
        <is>
          <t>زمستان</t>
        </is>
      </c>
      <c r="I4391" s="134" t="inlineStr">
        <is>
          <t>چهارشنبه</t>
        </is>
      </c>
      <c r="J4391" s="134" t="inlineStr">
        <is>
          <t>بله</t>
        </is>
      </c>
    </row>
    <row r="4392">
      <c r="A4392" s="173" t="n">
        <v>49313</v>
      </c>
      <c r="B4392" s="174" t="n">
        <v>49313</v>
      </c>
      <c r="C4392" s="174" t="n">
        <v>1413</v>
      </c>
      <c r="D4392" s="174" t="n">
        <v>10</v>
      </c>
      <c r="E4392" s="175" t="inlineStr">
        <is>
          <t>1413/10/14</t>
        </is>
      </c>
      <c r="F4392" s="128" t="inlineStr">
        <is>
          <t>1413/10</t>
        </is>
      </c>
      <c r="G4392" s="58" t="inlineStr">
        <is>
          <t>دی</t>
        </is>
      </c>
      <c r="H4392" s="128" t="inlineStr">
        <is>
          <t>زمستان</t>
        </is>
      </c>
      <c r="I4392" s="128" t="inlineStr">
        <is>
          <t>پنجشنبه</t>
        </is>
      </c>
      <c r="J4392" s="128" t="inlineStr">
        <is>
          <t>بله</t>
        </is>
      </c>
    </row>
    <row r="4393">
      <c r="A4393" s="176" t="n">
        <v>49314</v>
      </c>
      <c r="B4393" s="177" t="n">
        <v>49314</v>
      </c>
      <c r="C4393" s="177" t="n">
        <v>1413</v>
      </c>
      <c r="D4393" s="177" t="n">
        <v>10</v>
      </c>
      <c r="E4393" s="178" t="inlineStr">
        <is>
          <t>1413/10/15</t>
        </is>
      </c>
      <c r="F4393" s="134" t="inlineStr">
        <is>
          <t>1413/10</t>
        </is>
      </c>
      <c r="G4393" s="61" t="inlineStr">
        <is>
          <t>دی</t>
        </is>
      </c>
      <c r="H4393" s="134" t="inlineStr">
        <is>
          <t>زمستان</t>
        </is>
      </c>
      <c r="I4393" s="134" t="inlineStr">
        <is>
          <t>جمعه</t>
        </is>
      </c>
      <c r="J4393" s="134" t="inlineStr">
        <is>
          <t>بله</t>
        </is>
      </c>
    </row>
    <row r="4394">
      <c r="A4394" s="173" t="n">
        <v>49315</v>
      </c>
      <c r="B4394" s="174" t="n">
        <v>49315</v>
      </c>
      <c r="C4394" s="174" t="n">
        <v>1413</v>
      </c>
      <c r="D4394" s="174" t="n">
        <v>10</v>
      </c>
      <c r="E4394" s="175" t="inlineStr">
        <is>
          <t>1413/10/16</t>
        </is>
      </c>
      <c r="F4394" s="128" t="inlineStr">
        <is>
          <t>1413/10</t>
        </is>
      </c>
      <c r="G4394" s="58" t="inlineStr">
        <is>
          <t>دی</t>
        </is>
      </c>
      <c r="H4394" s="128" t="inlineStr">
        <is>
          <t>زمستان</t>
        </is>
      </c>
      <c r="I4394" s="128" t="inlineStr">
        <is>
          <t>شنبه</t>
        </is>
      </c>
      <c r="J4394" s="128" t="inlineStr">
        <is>
          <t>خیر</t>
        </is>
      </c>
    </row>
    <row r="4395">
      <c r="A4395" s="176" t="n">
        <v>49316</v>
      </c>
      <c r="B4395" s="177" t="n">
        <v>49316</v>
      </c>
      <c r="C4395" s="177" t="n">
        <v>1413</v>
      </c>
      <c r="D4395" s="177" t="n">
        <v>10</v>
      </c>
      <c r="E4395" s="178" t="inlineStr">
        <is>
          <t>1413/10/17</t>
        </is>
      </c>
      <c r="F4395" s="134" t="inlineStr">
        <is>
          <t>1413/10</t>
        </is>
      </c>
      <c r="G4395" s="61" t="inlineStr">
        <is>
          <t>دی</t>
        </is>
      </c>
      <c r="H4395" s="134" t="inlineStr">
        <is>
          <t>زمستان</t>
        </is>
      </c>
      <c r="I4395" s="134" t="inlineStr">
        <is>
          <t>یکشنبه</t>
        </is>
      </c>
      <c r="J4395" s="134" t="inlineStr">
        <is>
          <t>خیر</t>
        </is>
      </c>
    </row>
    <row r="4396">
      <c r="A4396" s="173" t="n">
        <v>49317</v>
      </c>
      <c r="B4396" s="174" t="n">
        <v>49317</v>
      </c>
      <c r="C4396" s="174" t="n">
        <v>1413</v>
      </c>
      <c r="D4396" s="174" t="n">
        <v>10</v>
      </c>
      <c r="E4396" s="175" t="inlineStr">
        <is>
          <t>1413/10/18</t>
        </is>
      </c>
      <c r="F4396" s="128" t="inlineStr">
        <is>
          <t>1413/10</t>
        </is>
      </c>
      <c r="G4396" s="58" t="inlineStr">
        <is>
          <t>دی</t>
        </is>
      </c>
      <c r="H4396" s="128" t="inlineStr">
        <is>
          <t>زمستان</t>
        </is>
      </c>
      <c r="I4396" s="128" t="inlineStr">
        <is>
          <t>دوشنبه</t>
        </is>
      </c>
      <c r="J4396" s="128" t="inlineStr">
        <is>
          <t>بله</t>
        </is>
      </c>
    </row>
    <row r="4397">
      <c r="A4397" s="176" t="n">
        <v>49318</v>
      </c>
      <c r="B4397" s="177" t="n">
        <v>49318</v>
      </c>
      <c r="C4397" s="177" t="n">
        <v>1413</v>
      </c>
      <c r="D4397" s="177" t="n">
        <v>10</v>
      </c>
      <c r="E4397" s="178" t="inlineStr">
        <is>
          <t>1413/10/19</t>
        </is>
      </c>
      <c r="F4397" s="134" t="inlineStr">
        <is>
          <t>1413/10</t>
        </is>
      </c>
      <c r="G4397" s="61" t="inlineStr">
        <is>
          <t>دی</t>
        </is>
      </c>
      <c r="H4397" s="134" t="inlineStr">
        <is>
          <t>زمستان</t>
        </is>
      </c>
      <c r="I4397" s="134" t="inlineStr">
        <is>
          <t>سه‌شنبه</t>
        </is>
      </c>
      <c r="J4397" s="134" t="inlineStr">
        <is>
          <t>بله</t>
        </is>
      </c>
    </row>
    <row r="4398">
      <c r="A4398" s="173" t="n">
        <v>49319</v>
      </c>
      <c r="B4398" s="174" t="n">
        <v>49319</v>
      </c>
      <c r="C4398" s="174" t="n">
        <v>1413</v>
      </c>
      <c r="D4398" s="174" t="n">
        <v>10</v>
      </c>
      <c r="E4398" s="175" t="inlineStr">
        <is>
          <t>1413/10/20</t>
        </is>
      </c>
      <c r="F4398" s="128" t="inlineStr">
        <is>
          <t>1413/10</t>
        </is>
      </c>
      <c r="G4398" s="58" t="inlineStr">
        <is>
          <t>دی</t>
        </is>
      </c>
      <c r="H4398" s="128" t="inlineStr">
        <is>
          <t>زمستان</t>
        </is>
      </c>
      <c r="I4398" s="128" t="inlineStr">
        <is>
          <t>چهارشنبه</t>
        </is>
      </c>
      <c r="J4398" s="128" t="inlineStr">
        <is>
          <t>بله</t>
        </is>
      </c>
    </row>
    <row r="4399">
      <c r="A4399" s="176" t="n">
        <v>49320</v>
      </c>
      <c r="B4399" s="177" t="n">
        <v>49320</v>
      </c>
      <c r="C4399" s="177" t="n">
        <v>1413</v>
      </c>
      <c r="D4399" s="177" t="n">
        <v>10</v>
      </c>
      <c r="E4399" s="178" t="inlineStr">
        <is>
          <t>1413/10/21</t>
        </is>
      </c>
      <c r="F4399" s="134" t="inlineStr">
        <is>
          <t>1413/10</t>
        </is>
      </c>
      <c r="G4399" s="61" t="inlineStr">
        <is>
          <t>دی</t>
        </is>
      </c>
      <c r="H4399" s="134" t="inlineStr">
        <is>
          <t>زمستان</t>
        </is>
      </c>
      <c r="I4399" s="134" t="inlineStr">
        <is>
          <t>پنجشنبه</t>
        </is>
      </c>
      <c r="J4399" s="134" t="inlineStr">
        <is>
          <t>بله</t>
        </is>
      </c>
    </row>
    <row r="4400">
      <c r="A4400" s="173" t="n">
        <v>49321</v>
      </c>
      <c r="B4400" s="174" t="n">
        <v>49321</v>
      </c>
      <c r="C4400" s="174" t="n">
        <v>1413</v>
      </c>
      <c r="D4400" s="174" t="n">
        <v>10</v>
      </c>
      <c r="E4400" s="175" t="inlineStr">
        <is>
          <t>1413/10/22</t>
        </is>
      </c>
      <c r="F4400" s="128" t="inlineStr">
        <is>
          <t>1413/10</t>
        </is>
      </c>
      <c r="G4400" s="58" t="inlineStr">
        <is>
          <t>دی</t>
        </is>
      </c>
      <c r="H4400" s="128" t="inlineStr">
        <is>
          <t>زمستان</t>
        </is>
      </c>
      <c r="I4400" s="128" t="inlineStr">
        <is>
          <t>جمعه</t>
        </is>
      </c>
      <c r="J4400" s="128" t="inlineStr">
        <is>
          <t>بله</t>
        </is>
      </c>
    </row>
    <row r="4401">
      <c r="A4401" s="176" t="n">
        <v>49322</v>
      </c>
      <c r="B4401" s="177" t="n">
        <v>49322</v>
      </c>
      <c r="C4401" s="177" t="n">
        <v>1413</v>
      </c>
      <c r="D4401" s="177" t="n">
        <v>10</v>
      </c>
      <c r="E4401" s="178" t="inlineStr">
        <is>
          <t>1413/10/23</t>
        </is>
      </c>
      <c r="F4401" s="134" t="inlineStr">
        <is>
          <t>1413/10</t>
        </is>
      </c>
      <c r="G4401" s="61" t="inlineStr">
        <is>
          <t>دی</t>
        </is>
      </c>
      <c r="H4401" s="134" t="inlineStr">
        <is>
          <t>زمستان</t>
        </is>
      </c>
      <c r="I4401" s="134" t="inlineStr">
        <is>
          <t>شنبه</t>
        </is>
      </c>
      <c r="J4401" s="134" t="inlineStr">
        <is>
          <t>خیر</t>
        </is>
      </c>
    </row>
    <row r="4402">
      <c r="A4402" s="173" t="n">
        <v>49323</v>
      </c>
      <c r="B4402" s="174" t="n">
        <v>49323</v>
      </c>
      <c r="C4402" s="174" t="n">
        <v>1413</v>
      </c>
      <c r="D4402" s="174" t="n">
        <v>10</v>
      </c>
      <c r="E4402" s="175" t="inlineStr">
        <is>
          <t>1413/10/24</t>
        </is>
      </c>
      <c r="F4402" s="128" t="inlineStr">
        <is>
          <t>1413/10</t>
        </is>
      </c>
      <c r="G4402" s="58" t="inlineStr">
        <is>
          <t>دی</t>
        </is>
      </c>
      <c r="H4402" s="128" t="inlineStr">
        <is>
          <t>زمستان</t>
        </is>
      </c>
      <c r="I4402" s="128" t="inlineStr">
        <is>
          <t>یکشنبه</t>
        </is>
      </c>
      <c r="J4402" s="128" t="inlineStr">
        <is>
          <t>خیر</t>
        </is>
      </c>
    </row>
    <row r="4403">
      <c r="A4403" s="176" t="n">
        <v>49324</v>
      </c>
      <c r="B4403" s="177" t="n">
        <v>49324</v>
      </c>
      <c r="C4403" s="177" t="n">
        <v>1413</v>
      </c>
      <c r="D4403" s="177" t="n">
        <v>10</v>
      </c>
      <c r="E4403" s="178" t="inlineStr">
        <is>
          <t>1413/10/25</t>
        </is>
      </c>
      <c r="F4403" s="134" t="inlineStr">
        <is>
          <t>1413/10</t>
        </is>
      </c>
      <c r="G4403" s="61" t="inlineStr">
        <is>
          <t>دی</t>
        </is>
      </c>
      <c r="H4403" s="134" t="inlineStr">
        <is>
          <t>زمستان</t>
        </is>
      </c>
      <c r="I4403" s="134" t="inlineStr">
        <is>
          <t>دوشنبه</t>
        </is>
      </c>
      <c r="J4403" s="134" t="inlineStr">
        <is>
          <t>بله</t>
        </is>
      </c>
    </row>
    <row r="4404">
      <c r="A4404" s="173" t="n">
        <v>49325</v>
      </c>
      <c r="B4404" s="174" t="n">
        <v>49325</v>
      </c>
      <c r="C4404" s="174" t="n">
        <v>1413</v>
      </c>
      <c r="D4404" s="174" t="n">
        <v>10</v>
      </c>
      <c r="E4404" s="175" t="inlineStr">
        <is>
          <t>1413/10/26</t>
        </is>
      </c>
      <c r="F4404" s="128" t="inlineStr">
        <is>
          <t>1413/10</t>
        </is>
      </c>
      <c r="G4404" s="58" t="inlineStr">
        <is>
          <t>دی</t>
        </is>
      </c>
      <c r="H4404" s="128" t="inlineStr">
        <is>
          <t>زمستان</t>
        </is>
      </c>
      <c r="I4404" s="128" t="inlineStr">
        <is>
          <t>سه‌شنبه</t>
        </is>
      </c>
      <c r="J4404" s="128" t="inlineStr">
        <is>
          <t>بله</t>
        </is>
      </c>
    </row>
    <row r="4405">
      <c r="A4405" s="176" t="n">
        <v>49326</v>
      </c>
      <c r="B4405" s="177" t="n">
        <v>49326</v>
      </c>
      <c r="C4405" s="177" t="n">
        <v>1413</v>
      </c>
      <c r="D4405" s="177" t="n">
        <v>10</v>
      </c>
      <c r="E4405" s="178" t="inlineStr">
        <is>
          <t>1413/10/27</t>
        </is>
      </c>
      <c r="F4405" s="134" t="inlineStr">
        <is>
          <t>1413/10</t>
        </is>
      </c>
      <c r="G4405" s="61" t="inlineStr">
        <is>
          <t>دی</t>
        </is>
      </c>
      <c r="H4405" s="134" t="inlineStr">
        <is>
          <t>زمستان</t>
        </is>
      </c>
      <c r="I4405" s="134" t="inlineStr">
        <is>
          <t>چهارشنبه</t>
        </is>
      </c>
      <c r="J4405" s="134" t="inlineStr">
        <is>
          <t>بله</t>
        </is>
      </c>
    </row>
    <row r="4406">
      <c r="A4406" s="173" t="n">
        <v>49327</v>
      </c>
      <c r="B4406" s="174" t="n">
        <v>49327</v>
      </c>
      <c r="C4406" s="174" t="n">
        <v>1413</v>
      </c>
      <c r="D4406" s="174" t="n">
        <v>10</v>
      </c>
      <c r="E4406" s="175" t="inlineStr">
        <is>
          <t>1413/10/28</t>
        </is>
      </c>
      <c r="F4406" s="128" t="inlineStr">
        <is>
          <t>1413/10</t>
        </is>
      </c>
      <c r="G4406" s="58" t="inlineStr">
        <is>
          <t>دی</t>
        </is>
      </c>
      <c r="H4406" s="128" t="inlineStr">
        <is>
          <t>زمستان</t>
        </is>
      </c>
      <c r="I4406" s="128" t="inlineStr">
        <is>
          <t>پنجشنبه</t>
        </is>
      </c>
      <c r="J4406" s="128" t="inlineStr">
        <is>
          <t>بله</t>
        </is>
      </c>
    </row>
    <row r="4407">
      <c r="A4407" s="176" t="n">
        <v>49328</v>
      </c>
      <c r="B4407" s="177" t="n">
        <v>49328</v>
      </c>
      <c r="C4407" s="177" t="n">
        <v>1413</v>
      </c>
      <c r="D4407" s="177" t="n">
        <v>10</v>
      </c>
      <c r="E4407" s="178" t="inlineStr">
        <is>
          <t>1413/10/29</t>
        </is>
      </c>
      <c r="F4407" s="134" t="inlineStr">
        <is>
          <t>1413/10</t>
        </is>
      </c>
      <c r="G4407" s="61" t="inlineStr">
        <is>
          <t>دی</t>
        </is>
      </c>
      <c r="H4407" s="134" t="inlineStr">
        <is>
          <t>زمستان</t>
        </is>
      </c>
      <c r="I4407" s="134" t="inlineStr">
        <is>
          <t>جمعه</t>
        </is>
      </c>
      <c r="J4407" s="134" t="inlineStr">
        <is>
          <t>بله</t>
        </is>
      </c>
    </row>
    <row r="4408">
      <c r="A4408" s="173" t="n">
        <v>49329</v>
      </c>
      <c r="B4408" s="174" t="n">
        <v>49329</v>
      </c>
      <c r="C4408" s="174" t="n">
        <v>1413</v>
      </c>
      <c r="D4408" s="174" t="n">
        <v>10</v>
      </c>
      <c r="E4408" s="175" t="inlineStr">
        <is>
          <t>1413/10/30</t>
        </is>
      </c>
      <c r="F4408" s="128" t="inlineStr">
        <is>
          <t>1413/10</t>
        </is>
      </c>
      <c r="G4408" s="58" t="inlineStr">
        <is>
          <t>دی</t>
        </is>
      </c>
      <c r="H4408" s="128" t="inlineStr">
        <is>
          <t>زمستان</t>
        </is>
      </c>
      <c r="I4408" s="128" t="inlineStr">
        <is>
          <t>شنبه</t>
        </is>
      </c>
      <c r="J4408" s="128" t="inlineStr">
        <is>
          <t>خیر</t>
        </is>
      </c>
    </row>
    <row r="4409">
      <c r="A4409" s="176" t="n">
        <v>49330</v>
      </c>
      <c r="B4409" s="177" t="n">
        <v>49330</v>
      </c>
      <c r="C4409" s="177" t="n">
        <v>1413</v>
      </c>
      <c r="D4409" s="177" t="n">
        <v>11</v>
      </c>
      <c r="E4409" s="178" t="inlineStr">
        <is>
          <t>1413/11/01</t>
        </is>
      </c>
      <c r="F4409" s="134" t="inlineStr">
        <is>
          <t>1413/11</t>
        </is>
      </c>
      <c r="G4409" s="61" t="inlineStr">
        <is>
          <t>بهمن</t>
        </is>
      </c>
      <c r="H4409" s="134" t="inlineStr">
        <is>
          <t>زمستان</t>
        </is>
      </c>
      <c r="I4409" s="134" t="inlineStr">
        <is>
          <t>یکشنبه</t>
        </is>
      </c>
      <c r="J4409" s="134" t="inlineStr">
        <is>
          <t>خیر</t>
        </is>
      </c>
    </row>
    <row r="4410">
      <c r="A4410" s="173" t="n">
        <v>49331</v>
      </c>
      <c r="B4410" s="174" t="n">
        <v>49331</v>
      </c>
      <c r="C4410" s="174" t="n">
        <v>1413</v>
      </c>
      <c r="D4410" s="174" t="n">
        <v>11</v>
      </c>
      <c r="E4410" s="175" t="inlineStr">
        <is>
          <t>1413/11/02</t>
        </is>
      </c>
      <c r="F4410" s="128" t="inlineStr">
        <is>
          <t>1413/11</t>
        </is>
      </c>
      <c r="G4410" s="58" t="inlineStr">
        <is>
          <t>بهمن</t>
        </is>
      </c>
      <c r="H4410" s="128" t="inlineStr">
        <is>
          <t>زمستان</t>
        </is>
      </c>
      <c r="I4410" s="128" t="inlineStr">
        <is>
          <t>دوشنبه</t>
        </is>
      </c>
      <c r="J4410" s="128" t="inlineStr">
        <is>
          <t>بله</t>
        </is>
      </c>
    </row>
    <row r="4411">
      <c r="A4411" s="176" t="n">
        <v>49332</v>
      </c>
      <c r="B4411" s="177" t="n">
        <v>49332</v>
      </c>
      <c r="C4411" s="177" t="n">
        <v>1413</v>
      </c>
      <c r="D4411" s="177" t="n">
        <v>11</v>
      </c>
      <c r="E4411" s="178" t="inlineStr">
        <is>
          <t>1413/11/03</t>
        </is>
      </c>
      <c r="F4411" s="134" t="inlineStr">
        <is>
          <t>1413/11</t>
        </is>
      </c>
      <c r="G4411" s="61" t="inlineStr">
        <is>
          <t>بهمن</t>
        </is>
      </c>
      <c r="H4411" s="134" t="inlineStr">
        <is>
          <t>زمستان</t>
        </is>
      </c>
      <c r="I4411" s="134" t="inlineStr">
        <is>
          <t>سه‌شنبه</t>
        </is>
      </c>
      <c r="J4411" s="134" t="inlineStr">
        <is>
          <t>بله</t>
        </is>
      </c>
    </row>
    <row r="4412">
      <c r="A4412" s="173" t="n">
        <v>49333</v>
      </c>
      <c r="B4412" s="174" t="n">
        <v>49333</v>
      </c>
      <c r="C4412" s="174" t="n">
        <v>1413</v>
      </c>
      <c r="D4412" s="174" t="n">
        <v>11</v>
      </c>
      <c r="E4412" s="175" t="inlineStr">
        <is>
          <t>1413/11/04</t>
        </is>
      </c>
      <c r="F4412" s="128" t="inlineStr">
        <is>
          <t>1413/11</t>
        </is>
      </c>
      <c r="G4412" s="58" t="inlineStr">
        <is>
          <t>بهمن</t>
        </is>
      </c>
      <c r="H4412" s="128" t="inlineStr">
        <is>
          <t>زمستان</t>
        </is>
      </c>
      <c r="I4412" s="128" t="inlineStr">
        <is>
          <t>چهارشنبه</t>
        </is>
      </c>
      <c r="J4412" s="128" t="inlineStr">
        <is>
          <t>بله</t>
        </is>
      </c>
    </row>
    <row r="4413">
      <c r="A4413" s="176" t="n">
        <v>49334</v>
      </c>
      <c r="B4413" s="177" t="n">
        <v>49334</v>
      </c>
      <c r="C4413" s="177" t="n">
        <v>1413</v>
      </c>
      <c r="D4413" s="177" t="n">
        <v>11</v>
      </c>
      <c r="E4413" s="178" t="inlineStr">
        <is>
          <t>1413/11/05</t>
        </is>
      </c>
      <c r="F4413" s="134" t="inlineStr">
        <is>
          <t>1413/11</t>
        </is>
      </c>
      <c r="G4413" s="61" t="inlineStr">
        <is>
          <t>بهمن</t>
        </is>
      </c>
      <c r="H4413" s="134" t="inlineStr">
        <is>
          <t>زمستان</t>
        </is>
      </c>
      <c r="I4413" s="134" t="inlineStr">
        <is>
          <t>پنجشنبه</t>
        </is>
      </c>
      <c r="J4413" s="134" t="inlineStr">
        <is>
          <t>بله</t>
        </is>
      </c>
    </row>
    <row r="4414">
      <c r="A4414" s="173" t="n">
        <v>49335</v>
      </c>
      <c r="B4414" s="174" t="n">
        <v>49335</v>
      </c>
      <c r="C4414" s="174" t="n">
        <v>1413</v>
      </c>
      <c r="D4414" s="174" t="n">
        <v>11</v>
      </c>
      <c r="E4414" s="175" t="inlineStr">
        <is>
          <t>1413/11/06</t>
        </is>
      </c>
      <c r="F4414" s="128" t="inlineStr">
        <is>
          <t>1413/11</t>
        </is>
      </c>
      <c r="G4414" s="58" t="inlineStr">
        <is>
          <t>بهمن</t>
        </is>
      </c>
      <c r="H4414" s="128" t="inlineStr">
        <is>
          <t>زمستان</t>
        </is>
      </c>
      <c r="I4414" s="128" t="inlineStr">
        <is>
          <t>جمعه</t>
        </is>
      </c>
      <c r="J4414" s="128" t="inlineStr">
        <is>
          <t>بله</t>
        </is>
      </c>
    </row>
    <row r="4415">
      <c r="A4415" s="176" t="n">
        <v>49336</v>
      </c>
      <c r="B4415" s="177" t="n">
        <v>49336</v>
      </c>
      <c r="C4415" s="177" t="n">
        <v>1413</v>
      </c>
      <c r="D4415" s="177" t="n">
        <v>11</v>
      </c>
      <c r="E4415" s="178" t="inlineStr">
        <is>
          <t>1413/11/07</t>
        </is>
      </c>
      <c r="F4415" s="134" t="inlineStr">
        <is>
          <t>1413/11</t>
        </is>
      </c>
      <c r="G4415" s="61" t="inlineStr">
        <is>
          <t>بهمن</t>
        </is>
      </c>
      <c r="H4415" s="134" t="inlineStr">
        <is>
          <t>زمستان</t>
        </is>
      </c>
      <c r="I4415" s="134" t="inlineStr">
        <is>
          <t>شنبه</t>
        </is>
      </c>
      <c r="J4415" s="134" t="inlineStr">
        <is>
          <t>خیر</t>
        </is>
      </c>
    </row>
    <row r="4416">
      <c r="A4416" s="173" t="n">
        <v>49337</v>
      </c>
      <c r="B4416" s="174" t="n">
        <v>49337</v>
      </c>
      <c r="C4416" s="174" t="n">
        <v>1413</v>
      </c>
      <c r="D4416" s="174" t="n">
        <v>11</v>
      </c>
      <c r="E4416" s="175" t="inlineStr">
        <is>
          <t>1413/11/08</t>
        </is>
      </c>
      <c r="F4416" s="128" t="inlineStr">
        <is>
          <t>1413/11</t>
        </is>
      </c>
      <c r="G4416" s="58" t="inlineStr">
        <is>
          <t>بهمن</t>
        </is>
      </c>
      <c r="H4416" s="128" t="inlineStr">
        <is>
          <t>زمستان</t>
        </is>
      </c>
      <c r="I4416" s="128" t="inlineStr">
        <is>
          <t>یکشنبه</t>
        </is>
      </c>
      <c r="J4416" s="128" t="inlineStr">
        <is>
          <t>خیر</t>
        </is>
      </c>
    </row>
    <row r="4417">
      <c r="A4417" s="176" t="n">
        <v>49338</v>
      </c>
      <c r="B4417" s="177" t="n">
        <v>49338</v>
      </c>
      <c r="C4417" s="177" t="n">
        <v>1413</v>
      </c>
      <c r="D4417" s="177" t="n">
        <v>11</v>
      </c>
      <c r="E4417" s="178" t="inlineStr">
        <is>
          <t>1413/11/09</t>
        </is>
      </c>
      <c r="F4417" s="134" t="inlineStr">
        <is>
          <t>1413/11</t>
        </is>
      </c>
      <c r="G4417" s="61" t="inlineStr">
        <is>
          <t>بهمن</t>
        </is>
      </c>
      <c r="H4417" s="134" t="inlineStr">
        <is>
          <t>زمستان</t>
        </is>
      </c>
      <c r="I4417" s="134" t="inlineStr">
        <is>
          <t>دوشنبه</t>
        </is>
      </c>
      <c r="J4417" s="134" t="inlineStr">
        <is>
          <t>بله</t>
        </is>
      </c>
    </row>
    <row r="4418">
      <c r="A4418" s="173" t="n">
        <v>49339</v>
      </c>
      <c r="B4418" s="174" t="n">
        <v>49339</v>
      </c>
      <c r="C4418" s="174" t="n">
        <v>1413</v>
      </c>
      <c r="D4418" s="174" t="n">
        <v>11</v>
      </c>
      <c r="E4418" s="175" t="inlineStr">
        <is>
          <t>1413/11/10</t>
        </is>
      </c>
      <c r="F4418" s="128" t="inlineStr">
        <is>
          <t>1413/11</t>
        </is>
      </c>
      <c r="G4418" s="58" t="inlineStr">
        <is>
          <t>بهمن</t>
        </is>
      </c>
      <c r="H4418" s="128" t="inlineStr">
        <is>
          <t>زمستان</t>
        </is>
      </c>
      <c r="I4418" s="128" t="inlineStr">
        <is>
          <t>سه‌شنبه</t>
        </is>
      </c>
      <c r="J4418" s="128" t="inlineStr">
        <is>
          <t>بله</t>
        </is>
      </c>
    </row>
    <row r="4419">
      <c r="A4419" s="176" t="n">
        <v>49340</v>
      </c>
      <c r="B4419" s="177" t="n">
        <v>49340</v>
      </c>
      <c r="C4419" s="177" t="n">
        <v>1413</v>
      </c>
      <c r="D4419" s="177" t="n">
        <v>11</v>
      </c>
      <c r="E4419" s="178" t="inlineStr">
        <is>
          <t>1413/11/11</t>
        </is>
      </c>
      <c r="F4419" s="134" t="inlineStr">
        <is>
          <t>1413/11</t>
        </is>
      </c>
      <c r="G4419" s="61" t="inlineStr">
        <is>
          <t>بهمن</t>
        </is>
      </c>
      <c r="H4419" s="134" t="inlineStr">
        <is>
          <t>زمستان</t>
        </is>
      </c>
      <c r="I4419" s="134" t="inlineStr">
        <is>
          <t>چهارشنبه</t>
        </is>
      </c>
      <c r="J4419" s="134" t="inlineStr">
        <is>
          <t>بله</t>
        </is>
      </c>
    </row>
    <row r="4420">
      <c r="A4420" s="173" t="n">
        <v>49341</v>
      </c>
      <c r="B4420" s="174" t="n">
        <v>49341</v>
      </c>
      <c r="C4420" s="174" t="n">
        <v>1413</v>
      </c>
      <c r="D4420" s="174" t="n">
        <v>11</v>
      </c>
      <c r="E4420" s="175" t="inlineStr">
        <is>
          <t>1413/11/12</t>
        </is>
      </c>
      <c r="F4420" s="128" t="inlineStr">
        <is>
          <t>1413/11</t>
        </is>
      </c>
      <c r="G4420" s="58" t="inlineStr">
        <is>
          <t>بهمن</t>
        </is>
      </c>
      <c r="H4420" s="128" t="inlineStr">
        <is>
          <t>زمستان</t>
        </is>
      </c>
      <c r="I4420" s="128" t="inlineStr">
        <is>
          <t>پنجشنبه</t>
        </is>
      </c>
      <c r="J4420" s="128" t="inlineStr">
        <is>
          <t>بله</t>
        </is>
      </c>
    </row>
    <row r="4421">
      <c r="A4421" s="176" t="n">
        <v>49342</v>
      </c>
      <c r="B4421" s="177" t="n">
        <v>49342</v>
      </c>
      <c r="C4421" s="177" t="n">
        <v>1413</v>
      </c>
      <c r="D4421" s="177" t="n">
        <v>11</v>
      </c>
      <c r="E4421" s="178" t="inlineStr">
        <is>
          <t>1413/11/13</t>
        </is>
      </c>
      <c r="F4421" s="134" t="inlineStr">
        <is>
          <t>1413/11</t>
        </is>
      </c>
      <c r="G4421" s="61" t="inlineStr">
        <is>
          <t>بهمن</t>
        </is>
      </c>
      <c r="H4421" s="134" t="inlineStr">
        <is>
          <t>زمستان</t>
        </is>
      </c>
      <c r="I4421" s="134" t="inlineStr">
        <is>
          <t>جمعه</t>
        </is>
      </c>
      <c r="J4421" s="134" t="inlineStr">
        <is>
          <t>بله</t>
        </is>
      </c>
    </row>
    <row r="4422">
      <c r="A4422" s="173" t="n">
        <v>49343</v>
      </c>
      <c r="B4422" s="174" t="n">
        <v>49343</v>
      </c>
      <c r="C4422" s="174" t="n">
        <v>1413</v>
      </c>
      <c r="D4422" s="174" t="n">
        <v>11</v>
      </c>
      <c r="E4422" s="175" t="inlineStr">
        <is>
          <t>1413/11/14</t>
        </is>
      </c>
      <c r="F4422" s="128" t="inlineStr">
        <is>
          <t>1413/11</t>
        </is>
      </c>
      <c r="G4422" s="58" t="inlineStr">
        <is>
          <t>بهمن</t>
        </is>
      </c>
      <c r="H4422" s="128" t="inlineStr">
        <is>
          <t>زمستان</t>
        </is>
      </c>
      <c r="I4422" s="128" t="inlineStr">
        <is>
          <t>شنبه</t>
        </is>
      </c>
      <c r="J4422" s="128" t="inlineStr">
        <is>
          <t>خیر</t>
        </is>
      </c>
    </row>
    <row r="4423">
      <c r="A4423" s="176" t="n">
        <v>49344</v>
      </c>
      <c r="B4423" s="177" t="n">
        <v>49344</v>
      </c>
      <c r="C4423" s="177" t="n">
        <v>1413</v>
      </c>
      <c r="D4423" s="177" t="n">
        <v>11</v>
      </c>
      <c r="E4423" s="178" t="inlineStr">
        <is>
          <t>1413/11/15</t>
        </is>
      </c>
      <c r="F4423" s="134" t="inlineStr">
        <is>
          <t>1413/11</t>
        </is>
      </c>
      <c r="G4423" s="61" t="inlineStr">
        <is>
          <t>بهمن</t>
        </is>
      </c>
      <c r="H4423" s="134" t="inlineStr">
        <is>
          <t>زمستان</t>
        </is>
      </c>
      <c r="I4423" s="134" t="inlineStr">
        <is>
          <t>یکشنبه</t>
        </is>
      </c>
      <c r="J4423" s="134" t="inlineStr">
        <is>
          <t>خیر</t>
        </is>
      </c>
    </row>
    <row r="4424">
      <c r="A4424" s="173" t="n">
        <v>49345</v>
      </c>
      <c r="B4424" s="174" t="n">
        <v>49345</v>
      </c>
      <c r="C4424" s="174" t="n">
        <v>1413</v>
      </c>
      <c r="D4424" s="174" t="n">
        <v>11</v>
      </c>
      <c r="E4424" s="175" t="inlineStr">
        <is>
          <t>1413/11/16</t>
        </is>
      </c>
      <c r="F4424" s="128" t="inlineStr">
        <is>
          <t>1413/11</t>
        </is>
      </c>
      <c r="G4424" s="58" t="inlineStr">
        <is>
          <t>بهمن</t>
        </is>
      </c>
      <c r="H4424" s="128" t="inlineStr">
        <is>
          <t>زمستان</t>
        </is>
      </c>
      <c r="I4424" s="128" t="inlineStr">
        <is>
          <t>دوشنبه</t>
        </is>
      </c>
      <c r="J4424" s="128" t="inlineStr">
        <is>
          <t>بله</t>
        </is>
      </c>
    </row>
    <row r="4425">
      <c r="A4425" s="176" t="n">
        <v>49346</v>
      </c>
      <c r="B4425" s="177" t="n">
        <v>49346</v>
      </c>
      <c r="C4425" s="177" t="n">
        <v>1413</v>
      </c>
      <c r="D4425" s="177" t="n">
        <v>11</v>
      </c>
      <c r="E4425" s="178" t="inlineStr">
        <is>
          <t>1413/11/17</t>
        </is>
      </c>
      <c r="F4425" s="134" t="inlineStr">
        <is>
          <t>1413/11</t>
        </is>
      </c>
      <c r="G4425" s="61" t="inlineStr">
        <is>
          <t>بهمن</t>
        </is>
      </c>
      <c r="H4425" s="134" t="inlineStr">
        <is>
          <t>زمستان</t>
        </is>
      </c>
      <c r="I4425" s="134" t="inlineStr">
        <is>
          <t>سه‌شنبه</t>
        </is>
      </c>
      <c r="J4425" s="134" t="inlineStr">
        <is>
          <t>بله</t>
        </is>
      </c>
    </row>
    <row r="4426">
      <c r="A4426" s="173" t="n">
        <v>49347</v>
      </c>
      <c r="B4426" s="174" t="n">
        <v>49347</v>
      </c>
      <c r="C4426" s="174" t="n">
        <v>1413</v>
      </c>
      <c r="D4426" s="174" t="n">
        <v>11</v>
      </c>
      <c r="E4426" s="175" t="inlineStr">
        <is>
          <t>1413/11/18</t>
        </is>
      </c>
      <c r="F4426" s="128" t="inlineStr">
        <is>
          <t>1413/11</t>
        </is>
      </c>
      <c r="G4426" s="58" t="inlineStr">
        <is>
          <t>بهمن</t>
        </is>
      </c>
      <c r="H4426" s="128" t="inlineStr">
        <is>
          <t>زمستان</t>
        </is>
      </c>
      <c r="I4426" s="128" t="inlineStr">
        <is>
          <t>چهارشنبه</t>
        </is>
      </c>
      <c r="J4426" s="128" t="inlineStr">
        <is>
          <t>بله</t>
        </is>
      </c>
    </row>
    <row r="4427">
      <c r="A4427" s="176" t="n">
        <v>49348</v>
      </c>
      <c r="B4427" s="177" t="n">
        <v>49348</v>
      </c>
      <c r="C4427" s="177" t="n">
        <v>1413</v>
      </c>
      <c r="D4427" s="177" t="n">
        <v>11</v>
      </c>
      <c r="E4427" s="178" t="inlineStr">
        <is>
          <t>1413/11/19</t>
        </is>
      </c>
      <c r="F4427" s="134" t="inlineStr">
        <is>
          <t>1413/11</t>
        </is>
      </c>
      <c r="G4427" s="61" t="inlineStr">
        <is>
          <t>بهمن</t>
        </is>
      </c>
      <c r="H4427" s="134" t="inlineStr">
        <is>
          <t>زمستان</t>
        </is>
      </c>
      <c r="I4427" s="134" t="inlineStr">
        <is>
          <t>پنجشنبه</t>
        </is>
      </c>
      <c r="J4427" s="134" t="inlineStr">
        <is>
          <t>بله</t>
        </is>
      </c>
    </row>
    <row r="4428">
      <c r="A4428" s="173" t="n">
        <v>49349</v>
      </c>
      <c r="B4428" s="174" t="n">
        <v>49349</v>
      </c>
      <c r="C4428" s="174" t="n">
        <v>1413</v>
      </c>
      <c r="D4428" s="174" t="n">
        <v>11</v>
      </c>
      <c r="E4428" s="175" t="inlineStr">
        <is>
          <t>1413/11/20</t>
        </is>
      </c>
      <c r="F4428" s="128" t="inlineStr">
        <is>
          <t>1413/11</t>
        </is>
      </c>
      <c r="G4428" s="58" t="inlineStr">
        <is>
          <t>بهمن</t>
        </is>
      </c>
      <c r="H4428" s="128" t="inlineStr">
        <is>
          <t>زمستان</t>
        </is>
      </c>
      <c r="I4428" s="128" t="inlineStr">
        <is>
          <t>جمعه</t>
        </is>
      </c>
      <c r="J4428" s="128" t="inlineStr">
        <is>
          <t>بله</t>
        </is>
      </c>
    </row>
    <row r="4429">
      <c r="A4429" s="176" t="n">
        <v>49350</v>
      </c>
      <c r="B4429" s="177" t="n">
        <v>49350</v>
      </c>
      <c r="C4429" s="177" t="n">
        <v>1413</v>
      </c>
      <c r="D4429" s="177" t="n">
        <v>11</v>
      </c>
      <c r="E4429" s="178" t="inlineStr">
        <is>
          <t>1413/11/21</t>
        </is>
      </c>
      <c r="F4429" s="134" t="inlineStr">
        <is>
          <t>1413/11</t>
        </is>
      </c>
      <c r="G4429" s="61" t="inlineStr">
        <is>
          <t>بهمن</t>
        </is>
      </c>
      <c r="H4429" s="134" t="inlineStr">
        <is>
          <t>زمستان</t>
        </is>
      </c>
      <c r="I4429" s="134" t="inlineStr">
        <is>
          <t>شنبه</t>
        </is>
      </c>
      <c r="J4429" s="134" t="inlineStr">
        <is>
          <t>خیر</t>
        </is>
      </c>
    </row>
    <row r="4430">
      <c r="A4430" s="173" t="n">
        <v>49351</v>
      </c>
      <c r="B4430" s="174" t="n">
        <v>49351</v>
      </c>
      <c r="C4430" s="174" t="n">
        <v>1413</v>
      </c>
      <c r="D4430" s="174" t="n">
        <v>11</v>
      </c>
      <c r="E4430" s="175" t="inlineStr">
        <is>
          <t>1413/11/22</t>
        </is>
      </c>
      <c r="F4430" s="128" t="inlineStr">
        <is>
          <t>1413/11</t>
        </is>
      </c>
      <c r="G4430" s="58" t="inlineStr">
        <is>
          <t>بهمن</t>
        </is>
      </c>
      <c r="H4430" s="128" t="inlineStr">
        <is>
          <t>زمستان</t>
        </is>
      </c>
      <c r="I4430" s="128" t="inlineStr">
        <is>
          <t>یکشنبه</t>
        </is>
      </c>
      <c r="J4430" s="128" t="inlineStr">
        <is>
          <t>خیر</t>
        </is>
      </c>
    </row>
    <row r="4431">
      <c r="A4431" s="176" t="n">
        <v>49352</v>
      </c>
      <c r="B4431" s="177" t="n">
        <v>49352</v>
      </c>
      <c r="C4431" s="177" t="n">
        <v>1413</v>
      </c>
      <c r="D4431" s="177" t="n">
        <v>11</v>
      </c>
      <c r="E4431" s="178" t="inlineStr">
        <is>
          <t>1413/11/23</t>
        </is>
      </c>
      <c r="F4431" s="134" t="inlineStr">
        <is>
          <t>1413/11</t>
        </is>
      </c>
      <c r="G4431" s="61" t="inlineStr">
        <is>
          <t>بهمن</t>
        </is>
      </c>
      <c r="H4431" s="134" t="inlineStr">
        <is>
          <t>زمستان</t>
        </is>
      </c>
      <c r="I4431" s="134" t="inlineStr">
        <is>
          <t>دوشنبه</t>
        </is>
      </c>
      <c r="J4431" s="134" t="inlineStr">
        <is>
          <t>بله</t>
        </is>
      </c>
    </row>
    <row r="4432">
      <c r="A4432" s="173" t="n">
        <v>49353</v>
      </c>
      <c r="B4432" s="174" t="n">
        <v>49353</v>
      </c>
      <c r="C4432" s="174" t="n">
        <v>1413</v>
      </c>
      <c r="D4432" s="174" t="n">
        <v>11</v>
      </c>
      <c r="E4432" s="175" t="inlineStr">
        <is>
          <t>1413/11/24</t>
        </is>
      </c>
      <c r="F4432" s="128" t="inlineStr">
        <is>
          <t>1413/11</t>
        </is>
      </c>
      <c r="G4432" s="58" t="inlineStr">
        <is>
          <t>بهمن</t>
        </is>
      </c>
      <c r="H4432" s="128" t="inlineStr">
        <is>
          <t>زمستان</t>
        </is>
      </c>
      <c r="I4432" s="128" t="inlineStr">
        <is>
          <t>سه‌شنبه</t>
        </is>
      </c>
      <c r="J4432" s="128" t="inlineStr">
        <is>
          <t>بله</t>
        </is>
      </c>
    </row>
    <row r="4433">
      <c r="A4433" s="176" t="n">
        <v>49354</v>
      </c>
      <c r="B4433" s="177" t="n">
        <v>49354</v>
      </c>
      <c r="C4433" s="177" t="n">
        <v>1413</v>
      </c>
      <c r="D4433" s="177" t="n">
        <v>11</v>
      </c>
      <c r="E4433" s="178" t="inlineStr">
        <is>
          <t>1413/11/25</t>
        </is>
      </c>
      <c r="F4433" s="134" t="inlineStr">
        <is>
          <t>1413/11</t>
        </is>
      </c>
      <c r="G4433" s="61" t="inlineStr">
        <is>
          <t>بهمن</t>
        </is>
      </c>
      <c r="H4433" s="134" t="inlineStr">
        <is>
          <t>زمستان</t>
        </is>
      </c>
      <c r="I4433" s="134" t="inlineStr">
        <is>
          <t>چهارشنبه</t>
        </is>
      </c>
      <c r="J4433" s="134" t="inlineStr">
        <is>
          <t>بله</t>
        </is>
      </c>
    </row>
    <row r="4434">
      <c r="A4434" s="173" t="n">
        <v>49355</v>
      </c>
      <c r="B4434" s="174" t="n">
        <v>49355</v>
      </c>
      <c r="C4434" s="174" t="n">
        <v>1413</v>
      </c>
      <c r="D4434" s="174" t="n">
        <v>11</v>
      </c>
      <c r="E4434" s="175" t="inlineStr">
        <is>
          <t>1413/11/26</t>
        </is>
      </c>
      <c r="F4434" s="128" t="inlineStr">
        <is>
          <t>1413/11</t>
        </is>
      </c>
      <c r="G4434" s="58" t="inlineStr">
        <is>
          <t>بهمن</t>
        </is>
      </c>
      <c r="H4434" s="128" t="inlineStr">
        <is>
          <t>زمستان</t>
        </is>
      </c>
      <c r="I4434" s="128" t="inlineStr">
        <is>
          <t>پنجشنبه</t>
        </is>
      </c>
      <c r="J4434" s="128" t="inlineStr">
        <is>
          <t>بله</t>
        </is>
      </c>
    </row>
    <row r="4435">
      <c r="A4435" s="176" t="n">
        <v>49356</v>
      </c>
      <c r="B4435" s="177" t="n">
        <v>49356</v>
      </c>
      <c r="C4435" s="177" t="n">
        <v>1413</v>
      </c>
      <c r="D4435" s="177" t="n">
        <v>11</v>
      </c>
      <c r="E4435" s="178" t="inlineStr">
        <is>
          <t>1413/11/27</t>
        </is>
      </c>
      <c r="F4435" s="134" t="inlineStr">
        <is>
          <t>1413/11</t>
        </is>
      </c>
      <c r="G4435" s="61" t="inlineStr">
        <is>
          <t>بهمن</t>
        </is>
      </c>
      <c r="H4435" s="134" t="inlineStr">
        <is>
          <t>زمستان</t>
        </is>
      </c>
      <c r="I4435" s="134" t="inlineStr">
        <is>
          <t>جمعه</t>
        </is>
      </c>
      <c r="J4435" s="134" t="inlineStr">
        <is>
          <t>بله</t>
        </is>
      </c>
    </row>
    <row r="4436">
      <c r="A4436" s="173" t="n">
        <v>49357</v>
      </c>
      <c r="B4436" s="174" t="n">
        <v>49357</v>
      </c>
      <c r="C4436" s="174" t="n">
        <v>1413</v>
      </c>
      <c r="D4436" s="174" t="n">
        <v>11</v>
      </c>
      <c r="E4436" s="175" t="inlineStr">
        <is>
          <t>1413/11/28</t>
        </is>
      </c>
      <c r="F4436" s="128" t="inlineStr">
        <is>
          <t>1413/11</t>
        </is>
      </c>
      <c r="G4436" s="58" t="inlineStr">
        <is>
          <t>بهمن</t>
        </is>
      </c>
      <c r="H4436" s="128" t="inlineStr">
        <is>
          <t>زمستان</t>
        </is>
      </c>
      <c r="I4436" s="128" t="inlineStr">
        <is>
          <t>شنبه</t>
        </is>
      </c>
      <c r="J4436" s="128" t="inlineStr">
        <is>
          <t>خیر</t>
        </is>
      </c>
    </row>
    <row r="4437">
      <c r="A4437" s="176" t="n">
        <v>49358</v>
      </c>
      <c r="B4437" s="177" t="n">
        <v>49358</v>
      </c>
      <c r="C4437" s="177" t="n">
        <v>1413</v>
      </c>
      <c r="D4437" s="177" t="n">
        <v>11</v>
      </c>
      <c r="E4437" s="178" t="inlineStr">
        <is>
          <t>1413/11/29</t>
        </is>
      </c>
      <c r="F4437" s="134" t="inlineStr">
        <is>
          <t>1413/11</t>
        </is>
      </c>
      <c r="G4437" s="61" t="inlineStr">
        <is>
          <t>بهمن</t>
        </is>
      </c>
      <c r="H4437" s="134" t="inlineStr">
        <is>
          <t>زمستان</t>
        </is>
      </c>
      <c r="I4437" s="134" t="inlineStr">
        <is>
          <t>یکشنبه</t>
        </is>
      </c>
      <c r="J4437" s="134" t="inlineStr">
        <is>
          <t>خیر</t>
        </is>
      </c>
    </row>
    <row r="4438">
      <c r="A4438" s="173" t="n">
        <v>49359</v>
      </c>
      <c r="B4438" s="174" t="n">
        <v>49359</v>
      </c>
      <c r="C4438" s="174" t="n">
        <v>1413</v>
      </c>
      <c r="D4438" s="174" t="n">
        <v>11</v>
      </c>
      <c r="E4438" s="175" t="inlineStr">
        <is>
          <t>1413/11/30</t>
        </is>
      </c>
      <c r="F4438" s="128" t="inlineStr">
        <is>
          <t>1413/11</t>
        </is>
      </c>
      <c r="G4438" s="58" t="inlineStr">
        <is>
          <t>بهمن</t>
        </is>
      </c>
      <c r="H4438" s="128" t="inlineStr">
        <is>
          <t>زمستان</t>
        </is>
      </c>
      <c r="I4438" s="128" t="inlineStr">
        <is>
          <t>دوشنبه</t>
        </is>
      </c>
      <c r="J4438" s="128" t="inlineStr">
        <is>
          <t>بله</t>
        </is>
      </c>
    </row>
    <row r="4439">
      <c r="A4439" s="176" t="n">
        <v>49360</v>
      </c>
      <c r="B4439" s="177" t="n">
        <v>49360</v>
      </c>
      <c r="C4439" s="177" t="n">
        <v>1413</v>
      </c>
      <c r="D4439" s="177" t="n">
        <v>12</v>
      </c>
      <c r="E4439" s="178" t="inlineStr">
        <is>
          <t>1413/12/01</t>
        </is>
      </c>
      <c r="F4439" s="134" t="inlineStr">
        <is>
          <t>1413/12</t>
        </is>
      </c>
      <c r="G4439" s="61" t="inlineStr">
        <is>
          <t>اسفند</t>
        </is>
      </c>
      <c r="H4439" s="134" t="inlineStr">
        <is>
          <t>زمستان</t>
        </is>
      </c>
      <c r="I4439" s="134" t="inlineStr">
        <is>
          <t>سه‌شنبه</t>
        </is>
      </c>
      <c r="J4439" s="134" t="inlineStr">
        <is>
          <t>بله</t>
        </is>
      </c>
    </row>
    <row r="4440">
      <c r="A4440" s="173" t="n">
        <v>49361</v>
      </c>
      <c r="B4440" s="174" t="n">
        <v>49361</v>
      </c>
      <c r="C4440" s="174" t="n">
        <v>1413</v>
      </c>
      <c r="D4440" s="174" t="n">
        <v>12</v>
      </c>
      <c r="E4440" s="175" t="inlineStr">
        <is>
          <t>1413/12/02</t>
        </is>
      </c>
      <c r="F4440" s="128" t="inlineStr">
        <is>
          <t>1413/12</t>
        </is>
      </c>
      <c r="G4440" s="58" t="inlineStr">
        <is>
          <t>اسفند</t>
        </is>
      </c>
      <c r="H4440" s="128" t="inlineStr">
        <is>
          <t>زمستان</t>
        </is>
      </c>
      <c r="I4440" s="128" t="inlineStr">
        <is>
          <t>چهارشنبه</t>
        </is>
      </c>
      <c r="J4440" s="128" t="inlineStr">
        <is>
          <t>بله</t>
        </is>
      </c>
    </row>
    <row r="4441">
      <c r="A4441" s="176" t="n">
        <v>49362</v>
      </c>
      <c r="B4441" s="177" t="n">
        <v>49362</v>
      </c>
      <c r="C4441" s="177" t="n">
        <v>1413</v>
      </c>
      <c r="D4441" s="177" t="n">
        <v>12</v>
      </c>
      <c r="E4441" s="178" t="inlineStr">
        <is>
          <t>1413/12/03</t>
        </is>
      </c>
      <c r="F4441" s="134" t="inlineStr">
        <is>
          <t>1413/12</t>
        </is>
      </c>
      <c r="G4441" s="61" t="inlineStr">
        <is>
          <t>اسفند</t>
        </is>
      </c>
      <c r="H4441" s="134" t="inlineStr">
        <is>
          <t>زمستان</t>
        </is>
      </c>
      <c r="I4441" s="134" t="inlineStr">
        <is>
          <t>پنجشنبه</t>
        </is>
      </c>
      <c r="J4441" s="134" t="inlineStr">
        <is>
          <t>بله</t>
        </is>
      </c>
    </row>
    <row r="4442">
      <c r="A4442" s="173" t="n">
        <v>49363</v>
      </c>
      <c r="B4442" s="174" t="n">
        <v>49363</v>
      </c>
      <c r="C4442" s="174" t="n">
        <v>1413</v>
      </c>
      <c r="D4442" s="174" t="n">
        <v>12</v>
      </c>
      <c r="E4442" s="175" t="inlineStr">
        <is>
          <t>1413/12/04</t>
        </is>
      </c>
      <c r="F4442" s="128" t="inlineStr">
        <is>
          <t>1413/12</t>
        </is>
      </c>
      <c r="G4442" s="58" t="inlineStr">
        <is>
          <t>اسفند</t>
        </is>
      </c>
      <c r="H4442" s="128" t="inlineStr">
        <is>
          <t>زمستان</t>
        </is>
      </c>
      <c r="I4442" s="128" t="inlineStr">
        <is>
          <t>جمعه</t>
        </is>
      </c>
      <c r="J4442" s="128" t="inlineStr">
        <is>
          <t>بله</t>
        </is>
      </c>
    </row>
    <row r="4443">
      <c r="A4443" s="176" t="n">
        <v>49364</v>
      </c>
      <c r="B4443" s="177" t="n">
        <v>49364</v>
      </c>
      <c r="C4443" s="177" t="n">
        <v>1413</v>
      </c>
      <c r="D4443" s="177" t="n">
        <v>12</v>
      </c>
      <c r="E4443" s="178" t="inlineStr">
        <is>
          <t>1413/12/05</t>
        </is>
      </c>
      <c r="F4443" s="134" t="inlineStr">
        <is>
          <t>1413/12</t>
        </is>
      </c>
      <c r="G4443" s="61" t="inlineStr">
        <is>
          <t>اسفند</t>
        </is>
      </c>
      <c r="H4443" s="134" t="inlineStr">
        <is>
          <t>زمستان</t>
        </is>
      </c>
      <c r="I4443" s="134" t="inlineStr">
        <is>
          <t>شنبه</t>
        </is>
      </c>
      <c r="J4443" s="134" t="inlineStr">
        <is>
          <t>خیر</t>
        </is>
      </c>
    </row>
    <row r="4444">
      <c r="A4444" s="173" t="n">
        <v>49365</v>
      </c>
      <c r="B4444" s="174" t="n">
        <v>49365</v>
      </c>
      <c r="C4444" s="174" t="n">
        <v>1413</v>
      </c>
      <c r="D4444" s="174" t="n">
        <v>12</v>
      </c>
      <c r="E4444" s="175" t="inlineStr">
        <is>
          <t>1413/12/06</t>
        </is>
      </c>
      <c r="F4444" s="128" t="inlineStr">
        <is>
          <t>1413/12</t>
        </is>
      </c>
      <c r="G4444" s="58" t="inlineStr">
        <is>
          <t>اسفند</t>
        </is>
      </c>
      <c r="H4444" s="128" t="inlineStr">
        <is>
          <t>زمستان</t>
        </is>
      </c>
      <c r="I4444" s="128" t="inlineStr">
        <is>
          <t>یکشنبه</t>
        </is>
      </c>
      <c r="J4444" s="128" t="inlineStr">
        <is>
          <t>خیر</t>
        </is>
      </c>
    </row>
    <row r="4445">
      <c r="A4445" s="176" t="n">
        <v>49366</v>
      </c>
      <c r="B4445" s="177" t="n">
        <v>49366</v>
      </c>
      <c r="C4445" s="177" t="n">
        <v>1413</v>
      </c>
      <c r="D4445" s="177" t="n">
        <v>12</v>
      </c>
      <c r="E4445" s="178" t="inlineStr">
        <is>
          <t>1413/12/07</t>
        </is>
      </c>
      <c r="F4445" s="134" t="inlineStr">
        <is>
          <t>1413/12</t>
        </is>
      </c>
      <c r="G4445" s="61" t="inlineStr">
        <is>
          <t>اسفند</t>
        </is>
      </c>
      <c r="H4445" s="134" t="inlineStr">
        <is>
          <t>زمستان</t>
        </is>
      </c>
      <c r="I4445" s="134" t="inlineStr">
        <is>
          <t>دوشنبه</t>
        </is>
      </c>
      <c r="J4445" s="134" t="inlineStr">
        <is>
          <t>بله</t>
        </is>
      </c>
    </row>
    <row r="4446">
      <c r="A4446" s="173" t="n">
        <v>49367</v>
      </c>
      <c r="B4446" s="174" t="n">
        <v>49367</v>
      </c>
      <c r="C4446" s="174" t="n">
        <v>1413</v>
      </c>
      <c r="D4446" s="174" t="n">
        <v>12</v>
      </c>
      <c r="E4446" s="175" t="inlineStr">
        <is>
          <t>1413/12/08</t>
        </is>
      </c>
      <c r="F4446" s="128" t="inlineStr">
        <is>
          <t>1413/12</t>
        </is>
      </c>
      <c r="G4446" s="58" t="inlineStr">
        <is>
          <t>اسفند</t>
        </is>
      </c>
      <c r="H4446" s="128" t="inlineStr">
        <is>
          <t>زمستان</t>
        </is>
      </c>
      <c r="I4446" s="128" t="inlineStr">
        <is>
          <t>سه‌شنبه</t>
        </is>
      </c>
      <c r="J4446" s="128" t="inlineStr">
        <is>
          <t>بله</t>
        </is>
      </c>
    </row>
    <row r="4447">
      <c r="A4447" s="176" t="n">
        <v>49368</v>
      </c>
      <c r="B4447" s="177" t="n">
        <v>49368</v>
      </c>
      <c r="C4447" s="177" t="n">
        <v>1413</v>
      </c>
      <c r="D4447" s="177" t="n">
        <v>12</v>
      </c>
      <c r="E4447" s="178" t="inlineStr">
        <is>
          <t>1413/12/09</t>
        </is>
      </c>
      <c r="F4447" s="134" t="inlineStr">
        <is>
          <t>1413/12</t>
        </is>
      </c>
      <c r="G4447" s="61" t="inlineStr">
        <is>
          <t>اسفند</t>
        </is>
      </c>
      <c r="H4447" s="134" t="inlineStr">
        <is>
          <t>زمستان</t>
        </is>
      </c>
      <c r="I4447" s="134" t="inlineStr">
        <is>
          <t>چهارشنبه</t>
        </is>
      </c>
      <c r="J4447" s="134" t="inlineStr">
        <is>
          <t>بله</t>
        </is>
      </c>
    </row>
    <row r="4448">
      <c r="A4448" s="173" t="n">
        <v>49369</v>
      </c>
      <c r="B4448" s="174" t="n">
        <v>49369</v>
      </c>
      <c r="C4448" s="174" t="n">
        <v>1413</v>
      </c>
      <c r="D4448" s="174" t="n">
        <v>12</v>
      </c>
      <c r="E4448" s="175" t="inlineStr">
        <is>
          <t>1413/12/10</t>
        </is>
      </c>
      <c r="F4448" s="128" t="inlineStr">
        <is>
          <t>1413/12</t>
        </is>
      </c>
      <c r="G4448" s="58" t="inlineStr">
        <is>
          <t>اسفند</t>
        </is>
      </c>
      <c r="H4448" s="128" t="inlineStr">
        <is>
          <t>زمستان</t>
        </is>
      </c>
      <c r="I4448" s="128" t="inlineStr">
        <is>
          <t>پنجشنبه</t>
        </is>
      </c>
      <c r="J4448" s="128" t="inlineStr">
        <is>
          <t>بله</t>
        </is>
      </c>
    </row>
    <row r="4449">
      <c r="A4449" s="176" t="n">
        <v>49370</v>
      </c>
      <c r="B4449" s="177" t="n">
        <v>49370</v>
      </c>
      <c r="C4449" s="177" t="n">
        <v>1413</v>
      </c>
      <c r="D4449" s="177" t="n">
        <v>12</v>
      </c>
      <c r="E4449" s="178" t="inlineStr">
        <is>
          <t>1413/12/11</t>
        </is>
      </c>
      <c r="F4449" s="134" t="inlineStr">
        <is>
          <t>1413/12</t>
        </is>
      </c>
      <c r="G4449" s="61" t="inlineStr">
        <is>
          <t>اسفند</t>
        </is>
      </c>
      <c r="H4449" s="134" t="inlineStr">
        <is>
          <t>زمستان</t>
        </is>
      </c>
      <c r="I4449" s="134" t="inlineStr">
        <is>
          <t>جمعه</t>
        </is>
      </c>
      <c r="J4449" s="134" t="inlineStr">
        <is>
          <t>بله</t>
        </is>
      </c>
    </row>
    <row r="4450">
      <c r="A4450" s="173" t="n">
        <v>49371</v>
      </c>
      <c r="B4450" s="174" t="n">
        <v>49371</v>
      </c>
      <c r="C4450" s="174" t="n">
        <v>1413</v>
      </c>
      <c r="D4450" s="174" t="n">
        <v>12</v>
      </c>
      <c r="E4450" s="175" t="inlineStr">
        <is>
          <t>1413/12/12</t>
        </is>
      </c>
      <c r="F4450" s="128" t="inlineStr">
        <is>
          <t>1413/12</t>
        </is>
      </c>
      <c r="G4450" s="58" t="inlineStr">
        <is>
          <t>اسفند</t>
        </is>
      </c>
      <c r="H4450" s="128" t="inlineStr">
        <is>
          <t>زمستان</t>
        </is>
      </c>
      <c r="I4450" s="128" t="inlineStr">
        <is>
          <t>شنبه</t>
        </is>
      </c>
      <c r="J4450" s="128" t="inlineStr">
        <is>
          <t>خیر</t>
        </is>
      </c>
    </row>
    <row r="4451">
      <c r="A4451" s="176" t="n">
        <v>49372</v>
      </c>
      <c r="B4451" s="177" t="n">
        <v>49372</v>
      </c>
      <c r="C4451" s="177" t="n">
        <v>1413</v>
      </c>
      <c r="D4451" s="177" t="n">
        <v>12</v>
      </c>
      <c r="E4451" s="178" t="inlineStr">
        <is>
          <t>1413/12/13</t>
        </is>
      </c>
      <c r="F4451" s="134" t="inlineStr">
        <is>
          <t>1413/12</t>
        </is>
      </c>
      <c r="G4451" s="61" t="inlineStr">
        <is>
          <t>اسفند</t>
        </is>
      </c>
      <c r="H4451" s="134" t="inlineStr">
        <is>
          <t>زمستان</t>
        </is>
      </c>
      <c r="I4451" s="134" t="inlineStr">
        <is>
          <t>یکشنبه</t>
        </is>
      </c>
      <c r="J4451" s="134" t="inlineStr">
        <is>
          <t>خیر</t>
        </is>
      </c>
    </row>
    <row r="4452">
      <c r="A4452" s="173" t="n">
        <v>49373</v>
      </c>
      <c r="B4452" s="174" t="n">
        <v>49373</v>
      </c>
      <c r="C4452" s="174" t="n">
        <v>1413</v>
      </c>
      <c r="D4452" s="174" t="n">
        <v>12</v>
      </c>
      <c r="E4452" s="175" t="inlineStr">
        <is>
          <t>1413/12/14</t>
        </is>
      </c>
      <c r="F4452" s="128" t="inlineStr">
        <is>
          <t>1413/12</t>
        </is>
      </c>
      <c r="G4452" s="58" t="inlineStr">
        <is>
          <t>اسفند</t>
        </is>
      </c>
      <c r="H4452" s="128" t="inlineStr">
        <is>
          <t>زمستان</t>
        </is>
      </c>
      <c r="I4452" s="128" t="inlineStr">
        <is>
          <t>دوشنبه</t>
        </is>
      </c>
      <c r="J4452" s="128" t="inlineStr">
        <is>
          <t>بله</t>
        </is>
      </c>
    </row>
    <row r="4453">
      <c r="A4453" s="176" t="n">
        <v>49374</v>
      </c>
      <c r="B4453" s="177" t="n">
        <v>49374</v>
      </c>
      <c r="C4453" s="177" t="n">
        <v>1413</v>
      </c>
      <c r="D4453" s="177" t="n">
        <v>12</v>
      </c>
      <c r="E4453" s="178" t="inlineStr">
        <is>
          <t>1413/12/15</t>
        </is>
      </c>
      <c r="F4453" s="134" t="inlineStr">
        <is>
          <t>1413/12</t>
        </is>
      </c>
      <c r="G4453" s="61" t="inlineStr">
        <is>
          <t>اسفند</t>
        </is>
      </c>
      <c r="H4453" s="134" t="inlineStr">
        <is>
          <t>زمستان</t>
        </is>
      </c>
      <c r="I4453" s="134" t="inlineStr">
        <is>
          <t>سه‌شنبه</t>
        </is>
      </c>
      <c r="J4453" s="134" t="inlineStr">
        <is>
          <t>بله</t>
        </is>
      </c>
    </row>
    <row r="4454">
      <c r="A4454" s="173" t="n">
        <v>49375</v>
      </c>
      <c r="B4454" s="174" t="n">
        <v>49375</v>
      </c>
      <c r="C4454" s="174" t="n">
        <v>1413</v>
      </c>
      <c r="D4454" s="174" t="n">
        <v>12</v>
      </c>
      <c r="E4454" s="175" t="inlineStr">
        <is>
          <t>1413/12/16</t>
        </is>
      </c>
      <c r="F4454" s="128" t="inlineStr">
        <is>
          <t>1413/12</t>
        </is>
      </c>
      <c r="G4454" s="58" t="inlineStr">
        <is>
          <t>اسفند</t>
        </is>
      </c>
      <c r="H4454" s="128" t="inlineStr">
        <is>
          <t>زمستان</t>
        </is>
      </c>
      <c r="I4454" s="128" t="inlineStr">
        <is>
          <t>چهارشنبه</t>
        </is>
      </c>
      <c r="J4454" s="128" t="inlineStr">
        <is>
          <t>بله</t>
        </is>
      </c>
    </row>
    <row r="4455">
      <c r="A4455" s="176" t="n">
        <v>49376</v>
      </c>
      <c r="B4455" s="177" t="n">
        <v>49376</v>
      </c>
      <c r="C4455" s="177" t="n">
        <v>1413</v>
      </c>
      <c r="D4455" s="177" t="n">
        <v>12</v>
      </c>
      <c r="E4455" s="178" t="inlineStr">
        <is>
          <t>1413/12/17</t>
        </is>
      </c>
      <c r="F4455" s="134" t="inlineStr">
        <is>
          <t>1413/12</t>
        </is>
      </c>
      <c r="G4455" s="61" t="inlineStr">
        <is>
          <t>اسفند</t>
        </is>
      </c>
      <c r="H4455" s="134" t="inlineStr">
        <is>
          <t>زمستان</t>
        </is>
      </c>
      <c r="I4455" s="134" t="inlineStr">
        <is>
          <t>پنجشنبه</t>
        </is>
      </c>
      <c r="J4455" s="134" t="inlineStr">
        <is>
          <t>بله</t>
        </is>
      </c>
    </row>
    <row r="4456">
      <c r="A4456" s="173" t="n">
        <v>49377</v>
      </c>
      <c r="B4456" s="174" t="n">
        <v>49377</v>
      </c>
      <c r="C4456" s="174" t="n">
        <v>1413</v>
      </c>
      <c r="D4456" s="174" t="n">
        <v>12</v>
      </c>
      <c r="E4456" s="175" t="inlineStr">
        <is>
          <t>1413/12/18</t>
        </is>
      </c>
      <c r="F4456" s="128" t="inlineStr">
        <is>
          <t>1413/12</t>
        </is>
      </c>
      <c r="G4456" s="58" t="inlineStr">
        <is>
          <t>اسفند</t>
        </is>
      </c>
      <c r="H4456" s="128" t="inlineStr">
        <is>
          <t>زمستان</t>
        </is>
      </c>
      <c r="I4456" s="128" t="inlineStr">
        <is>
          <t>جمعه</t>
        </is>
      </c>
      <c r="J4456" s="128" t="inlineStr">
        <is>
          <t>بله</t>
        </is>
      </c>
    </row>
    <row r="4457">
      <c r="A4457" s="176" t="n">
        <v>49378</v>
      </c>
      <c r="B4457" s="177" t="n">
        <v>49378</v>
      </c>
      <c r="C4457" s="177" t="n">
        <v>1413</v>
      </c>
      <c r="D4457" s="177" t="n">
        <v>12</v>
      </c>
      <c r="E4457" s="178" t="inlineStr">
        <is>
          <t>1413/12/19</t>
        </is>
      </c>
      <c r="F4457" s="134" t="inlineStr">
        <is>
          <t>1413/12</t>
        </is>
      </c>
      <c r="G4457" s="61" t="inlineStr">
        <is>
          <t>اسفند</t>
        </is>
      </c>
      <c r="H4457" s="134" t="inlineStr">
        <is>
          <t>زمستان</t>
        </is>
      </c>
      <c r="I4457" s="134" t="inlineStr">
        <is>
          <t>شنبه</t>
        </is>
      </c>
      <c r="J4457" s="134" t="inlineStr">
        <is>
          <t>خیر</t>
        </is>
      </c>
    </row>
    <row r="4458">
      <c r="A4458" s="173" t="n">
        <v>49379</v>
      </c>
      <c r="B4458" s="174" t="n">
        <v>49379</v>
      </c>
      <c r="C4458" s="174" t="n">
        <v>1413</v>
      </c>
      <c r="D4458" s="174" t="n">
        <v>12</v>
      </c>
      <c r="E4458" s="175" t="inlineStr">
        <is>
          <t>1413/12/20</t>
        </is>
      </c>
      <c r="F4458" s="128" t="inlineStr">
        <is>
          <t>1413/12</t>
        </is>
      </c>
      <c r="G4458" s="58" t="inlineStr">
        <is>
          <t>اسفند</t>
        </is>
      </c>
      <c r="H4458" s="128" t="inlineStr">
        <is>
          <t>زمستان</t>
        </is>
      </c>
      <c r="I4458" s="128" t="inlineStr">
        <is>
          <t>یکشنبه</t>
        </is>
      </c>
      <c r="J4458" s="128" t="inlineStr">
        <is>
          <t>خیر</t>
        </is>
      </c>
    </row>
    <row r="4459">
      <c r="A4459" s="176" t="n">
        <v>49380</v>
      </c>
      <c r="B4459" s="177" t="n">
        <v>49380</v>
      </c>
      <c r="C4459" s="177" t="n">
        <v>1413</v>
      </c>
      <c r="D4459" s="177" t="n">
        <v>12</v>
      </c>
      <c r="E4459" s="178" t="inlineStr">
        <is>
          <t>1413/12/21</t>
        </is>
      </c>
      <c r="F4459" s="134" t="inlineStr">
        <is>
          <t>1413/12</t>
        </is>
      </c>
      <c r="G4459" s="61" t="inlineStr">
        <is>
          <t>اسفند</t>
        </is>
      </c>
      <c r="H4459" s="134" t="inlineStr">
        <is>
          <t>زمستان</t>
        </is>
      </c>
      <c r="I4459" s="134" t="inlineStr">
        <is>
          <t>دوشنبه</t>
        </is>
      </c>
      <c r="J4459" s="134" t="inlineStr">
        <is>
          <t>بله</t>
        </is>
      </c>
    </row>
    <row r="4460">
      <c r="A4460" s="173" t="n">
        <v>49381</v>
      </c>
      <c r="B4460" s="174" t="n">
        <v>49381</v>
      </c>
      <c r="C4460" s="174" t="n">
        <v>1413</v>
      </c>
      <c r="D4460" s="174" t="n">
        <v>12</v>
      </c>
      <c r="E4460" s="175" t="inlineStr">
        <is>
          <t>1413/12/22</t>
        </is>
      </c>
      <c r="F4460" s="128" t="inlineStr">
        <is>
          <t>1413/12</t>
        </is>
      </c>
      <c r="G4460" s="58" t="inlineStr">
        <is>
          <t>اسفند</t>
        </is>
      </c>
      <c r="H4460" s="128" t="inlineStr">
        <is>
          <t>زمستان</t>
        </is>
      </c>
      <c r="I4460" s="128" t="inlineStr">
        <is>
          <t>سه‌شنبه</t>
        </is>
      </c>
      <c r="J4460" s="128" t="inlineStr">
        <is>
          <t>بله</t>
        </is>
      </c>
    </row>
    <row r="4461">
      <c r="A4461" s="176" t="n">
        <v>49382</v>
      </c>
      <c r="B4461" s="177" t="n">
        <v>49382</v>
      </c>
      <c r="C4461" s="177" t="n">
        <v>1413</v>
      </c>
      <c r="D4461" s="177" t="n">
        <v>12</v>
      </c>
      <c r="E4461" s="178" t="inlineStr">
        <is>
          <t>1413/12/23</t>
        </is>
      </c>
      <c r="F4461" s="134" t="inlineStr">
        <is>
          <t>1413/12</t>
        </is>
      </c>
      <c r="G4461" s="61" t="inlineStr">
        <is>
          <t>اسفند</t>
        </is>
      </c>
      <c r="H4461" s="134" t="inlineStr">
        <is>
          <t>زمستان</t>
        </is>
      </c>
      <c r="I4461" s="134" t="inlineStr">
        <is>
          <t>چهارشنبه</t>
        </is>
      </c>
      <c r="J4461" s="134" t="inlineStr">
        <is>
          <t>بله</t>
        </is>
      </c>
    </row>
    <row r="4462">
      <c r="A4462" s="173" t="n">
        <v>49383</v>
      </c>
      <c r="B4462" s="174" t="n">
        <v>49383</v>
      </c>
      <c r="C4462" s="174" t="n">
        <v>1413</v>
      </c>
      <c r="D4462" s="174" t="n">
        <v>12</v>
      </c>
      <c r="E4462" s="175" t="inlineStr">
        <is>
          <t>1413/12/24</t>
        </is>
      </c>
      <c r="F4462" s="128" t="inlineStr">
        <is>
          <t>1413/12</t>
        </is>
      </c>
      <c r="G4462" s="58" t="inlineStr">
        <is>
          <t>اسفند</t>
        </is>
      </c>
      <c r="H4462" s="128" t="inlineStr">
        <is>
          <t>زمستان</t>
        </is>
      </c>
      <c r="I4462" s="128" t="inlineStr">
        <is>
          <t>پنجشنبه</t>
        </is>
      </c>
      <c r="J4462" s="128" t="inlineStr">
        <is>
          <t>بله</t>
        </is>
      </c>
    </row>
    <row r="4463">
      <c r="A4463" s="176" t="n">
        <v>49384</v>
      </c>
      <c r="B4463" s="177" t="n">
        <v>49384</v>
      </c>
      <c r="C4463" s="177" t="n">
        <v>1413</v>
      </c>
      <c r="D4463" s="177" t="n">
        <v>12</v>
      </c>
      <c r="E4463" s="178" t="inlineStr">
        <is>
          <t>1413/12/25</t>
        </is>
      </c>
      <c r="F4463" s="134" t="inlineStr">
        <is>
          <t>1413/12</t>
        </is>
      </c>
      <c r="G4463" s="61" t="inlineStr">
        <is>
          <t>اسفند</t>
        </is>
      </c>
      <c r="H4463" s="134" t="inlineStr">
        <is>
          <t>زمستان</t>
        </is>
      </c>
      <c r="I4463" s="134" t="inlineStr">
        <is>
          <t>جمعه</t>
        </is>
      </c>
      <c r="J4463" s="134" t="inlineStr">
        <is>
          <t>بله</t>
        </is>
      </c>
    </row>
    <row r="4464">
      <c r="A4464" s="173" t="n">
        <v>49385</v>
      </c>
      <c r="B4464" s="174" t="n">
        <v>49385</v>
      </c>
      <c r="C4464" s="174" t="n">
        <v>1413</v>
      </c>
      <c r="D4464" s="174" t="n">
        <v>12</v>
      </c>
      <c r="E4464" s="175" t="inlineStr">
        <is>
          <t>1413/12/26</t>
        </is>
      </c>
      <c r="F4464" s="128" t="inlineStr">
        <is>
          <t>1413/12</t>
        </is>
      </c>
      <c r="G4464" s="58" t="inlineStr">
        <is>
          <t>اسفند</t>
        </is>
      </c>
      <c r="H4464" s="128" t="inlineStr">
        <is>
          <t>زمستان</t>
        </is>
      </c>
      <c r="I4464" s="128" t="inlineStr">
        <is>
          <t>شنبه</t>
        </is>
      </c>
      <c r="J4464" s="128" t="inlineStr">
        <is>
          <t>خیر</t>
        </is>
      </c>
    </row>
    <row r="4465">
      <c r="A4465" s="176" t="n">
        <v>49386</v>
      </c>
      <c r="B4465" s="177" t="n">
        <v>49386</v>
      </c>
      <c r="C4465" s="177" t="n">
        <v>1413</v>
      </c>
      <c r="D4465" s="177" t="n">
        <v>12</v>
      </c>
      <c r="E4465" s="178" t="inlineStr">
        <is>
          <t>1413/12/27</t>
        </is>
      </c>
      <c r="F4465" s="134" t="inlineStr">
        <is>
          <t>1413/12</t>
        </is>
      </c>
      <c r="G4465" s="61" t="inlineStr">
        <is>
          <t>اسفند</t>
        </is>
      </c>
      <c r="H4465" s="134" t="inlineStr">
        <is>
          <t>زمستان</t>
        </is>
      </c>
      <c r="I4465" s="134" t="inlineStr">
        <is>
          <t>یکشنبه</t>
        </is>
      </c>
      <c r="J4465" s="134" t="inlineStr">
        <is>
          <t>خیر</t>
        </is>
      </c>
    </row>
    <row r="4466">
      <c r="A4466" s="173" t="n">
        <v>49387</v>
      </c>
      <c r="B4466" s="174" t="n">
        <v>49387</v>
      </c>
      <c r="C4466" s="174" t="n">
        <v>1413</v>
      </c>
      <c r="D4466" s="174" t="n">
        <v>12</v>
      </c>
      <c r="E4466" s="175" t="inlineStr">
        <is>
          <t>1413/12/28</t>
        </is>
      </c>
      <c r="F4466" s="128" t="inlineStr">
        <is>
          <t>1413/12</t>
        </is>
      </c>
      <c r="G4466" s="58" t="inlineStr">
        <is>
          <t>اسفند</t>
        </is>
      </c>
      <c r="H4466" s="128" t="inlineStr">
        <is>
          <t>زمستان</t>
        </is>
      </c>
      <c r="I4466" s="128" t="inlineStr">
        <is>
          <t>دوشنبه</t>
        </is>
      </c>
      <c r="J4466" s="128" t="inlineStr">
        <is>
          <t>بله</t>
        </is>
      </c>
    </row>
    <row r="4467">
      <c r="A4467" s="176" t="n">
        <v>49388</v>
      </c>
      <c r="B4467" s="177" t="n">
        <v>49388</v>
      </c>
      <c r="C4467" s="177" t="n">
        <v>1413</v>
      </c>
      <c r="D4467" s="177" t="n">
        <v>12</v>
      </c>
      <c r="E4467" s="178" t="inlineStr">
        <is>
          <t>1413/12/29</t>
        </is>
      </c>
      <c r="F4467" s="134" t="inlineStr">
        <is>
          <t>1413/12</t>
        </is>
      </c>
      <c r="G4467" s="61" t="inlineStr">
        <is>
          <t>اسفند</t>
        </is>
      </c>
      <c r="H4467" s="134" t="inlineStr">
        <is>
          <t>زمستان</t>
        </is>
      </c>
      <c r="I4467" s="134" t="inlineStr">
        <is>
          <t>سه‌شنبه</t>
        </is>
      </c>
      <c r="J4467" s="134" t="inlineStr">
        <is>
          <t>بله</t>
        </is>
      </c>
    </row>
    <row r="4468">
      <c r="A4468" s="173" t="n">
        <v>49389</v>
      </c>
      <c r="B4468" s="174" t="n">
        <v>49389</v>
      </c>
      <c r="C4468" s="174" t="n">
        <v>1414</v>
      </c>
      <c r="D4468" s="174" t="n">
        <v>1</v>
      </c>
      <c r="E4468" s="175" t="inlineStr">
        <is>
          <t>1414/01/01</t>
        </is>
      </c>
      <c r="F4468" s="128" t="inlineStr">
        <is>
          <t>1414/01</t>
        </is>
      </c>
      <c r="G4468" s="58" t="inlineStr">
        <is>
          <t>فروردین</t>
        </is>
      </c>
      <c r="H4468" s="128" t="inlineStr">
        <is>
          <t>بهار</t>
        </is>
      </c>
      <c r="I4468" s="128" t="inlineStr">
        <is>
          <t>چهارشنبه</t>
        </is>
      </c>
      <c r="J4468" s="128" t="inlineStr">
        <is>
          <t>بله</t>
        </is>
      </c>
    </row>
    <row r="4469">
      <c r="A4469" s="176" t="n">
        <v>49390</v>
      </c>
      <c r="B4469" s="177" t="n">
        <v>49390</v>
      </c>
      <c r="C4469" s="177" t="n">
        <v>1414</v>
      </c>
      <c r="D4469" s="177" t="n">
        <v>1</v>
      </c>
      <c r="E4469" s="178" t="inlineStr">
        <is>
          <t>1414/01/02</t>
        </is>
      </c>
      <c r="F4469" s="134" t="inlineStr">
        <is>
          <t>1414/01</t>
        </is>
      </c>
      <c r="G4469" s="61" t="inlineStr">
        <is>
          <t>فروردین</t>
        </is>
      </c>
      <c r="H4469" s="134" t="inlineStr">
        <is>
          <t>بهار</t>
        </is>
      </c>
      <c r="I4469" s="134" t="inlineStr">
        <is>
          <t>پنجشنبه</t>
        </is>
      </c>
      <c r="J4469" s="134" t="inlineStr">
        <is>
          <t>بله</t>
        </is>
      </c>
    </row>
    <row r="4470">
      <c r="A4470" s="173" t="n">
        <v>49391</v>
      </c>
      <c r="B4470" s="174" t="n">
        <v>49391</v>
      </c>
      <c r="C4470" s="174" t="n">
        <v>1414</v>
      </c>
      <c r="D4470" s="174" t="n">
        <v>1</v>
      </c>
      <c r="E4470" s="175" t="inlineStr">
        <is>
          <t>1414/01/03</t>
        </is>
      </c>
      <c r="F4470" s="128" t="inlineStr">
        <is>
          <t>1414/01</t>
        </is>
      </c>
      <c r="G4470" s="58" t="inlineStr">
        <is>
          <t>فروردین</t>
        </is>
      </c>
      <c r="H4470" s="128" t="inlineStr">
        <is>
          <t>بهار</t>
        </is>
      </c>
      <c r="I4470" s="128" t="inlineStr">
        <is>
          <t>جمعه</t>
        </is>
      </c>
      <c r="J4470" s="128" t="inlineStr">
        <is>
          <t>بله</t>
        </is>
      </c>
    </row>
    <row r="4471">
      <c r="A4471" s="176" t="n">
        <v>49392</v>
      </c>
      <c r="B4471" s="177" t="n">
        <v>49392</v>
      </c>
      <c r="C4471" s="177" t="n">
        <v>1414</v>
      </c>
      <c r="D4471" s="177" t="n">
        <v>1</v>
      </c>
      <c r="E4471" s="178" t="inlineStr">
        <is>
          <t>1414/01/04</t>
        </is>
      </c>
      <c r="F4471" s="134" t="inlineStr">
        <is>
          <t>1414/01</t>
        </is>
      </c>
      <c r="G4471" s="61" t="inlineStr">
        <is>
          <t>فروردین</t>
        </is>
      </c>
      <c r="H4471" s="134" t="inlineStr">
        <is>
          <t>بهار</t>
        </is>
      </c>
      <c r="I4471" s="134" t="inlineStr">
        <is>
          <t>شنبه</t>
        </is>
      </c>
      <c r="J4471" s="134" t="inlineStr">
        <is>
          <t>خیر</t>
        </is>
      </c>
    </row>
    <row r="4472">
      <c r="A4472" s="173" t="n">
        <v>49393</v>
      </c>
      <c r="B4472" s="174" t="n">
        <v>49393</v>
      </c>
      <c r="C4472" s="174" t="n">
        <v>1414</v>
      </c>
      <c r="D4472" s="174" t="n">
        <v>1</v>
      </c>
      <c r="E4472" s="175" t="inlineStr">
        <is>
          <t>1414/01/05</t>
        </is>
      </c>
      <c r="F4472" s="128" t="inlineStr">
        <is>
          <t>1414/01</t>
        </is>
      </c>
      <c r="G4472" s="58" t="inlineStr">
        <is>
          <t>فروردین</t>
        </is>
      </c>
      <c r="H4472" s="128" t="inlineStr">
        <is>
          <t>بهار</t>
        </is>
      </c>
      <c r="I4472" s="128" t="inlineStr">
        <is>
          <t>یکشنبه</t>
        </is>
      </c>
      <c r="J4472" s="128" t="inlineStr">
        <is>
          <t>خیر</t>
        </is>
      </c>
    </row>
    <row r="4473">
      <c r="A4473" s="176" t="n">
        <v>49394</v>
      </c>
      <c r="B4473" s="177" t="n">
        <v>49394</v>
      </c>
      <c r="C4473" s="177" t="n">
        <v>1414</v>
      </c>
      <c r="D4473" s="177" t="n">
        <v>1</v>
      </c>
      <c r="E4473" s="178" t="inlineStr">
        <is>
          <t>1414/01/06</t>
        </is>
      </c>
      <c r="F4473" s="134" t="inlineStr">
        <is>
          <t>1414/01</t>
        </is>
      </c>
      <c r="G4473" s="61" t="inlineStr">
        <is>
          <t>فروردین</t>
        </is>
      </c>
      <c r="H4473" s="134" t="inlineStr">
        <is>
          <t>بهار</t>
        </is>
      </c>
      <c r="I4473" s="134" t="inlineStr">
        <is>
          <t>دوشنبه</t>
        </is>
      </c>
      <c r="J4473" s="134" t="inlineStr">
        <is>
          <t>بله</t>
        </is>
      </c>
    </row>
    <row r="4474">
      <c r="A4474" s="173" t="n">
        <v>49395</v>
      </c>
      <c r="B4474" s="174" t="n">
        <v>49395</v>
      </c>
      <c r="C4474" s="174" t="n">
        <v>1414</v>
      </c>
      <c r="D4474" s="174" t="n">
        <v>1</v>
      </c>
      <c r="E4474" s="175" t="inlineStr">
        <is>
          <t>1414/01/07</t>
        </is>
      </c>
      <c r="F4474" s="128" t="inlineStr">
        <is>
          <t>1414/01</t>
        </is>
      </c>
      <c r="G4474" s="58" t="inlineStr">
        <is>
          <t>فروردین</t>
        </is>
      </c>
      <c r="H4474" s="128" t="inlineStr">
        <is>
          <t>بهار</t>
        </is>
      </c>
      <c r="I4474" s="128" t="inlineStr">
        <is>
          <t>سه‌شنبه</t>
        </is>
      </c>
      <c r="J4474" s="128" t="inlineStr">
        <is>
          <t>بله</t>
        </is>
      </c>
    </row>
    <row r="4475">
      <c r="A4475" s="176" t="n">
        <v>49396</v>
      </c>
      <c r="B4475" s="177" t="n">
        <v>49396</v>
      </c>
      <c r="C4475" s="177" t="n">
        <v>1414</v>
      </c>
      <c r="D4475" s="177" t="n">
        <v>1</v>
      </c>
      <c r="E4475" s="178" t="inlineStr">
        <is>
          <t>1414/01/08</t>
        </is>
      </c>
      <c r="F4475" s="134" t="inlineStr">
        <is>
          <t>1414/01</t>
        </is>
      </c>
      <c r="G4475" s="61" t="inlineStr">
        <is>
          <t>فروردین</t>
        </is>
      </c>
      <c r="H4475" s="134" t="inlineStr">
        <is>
          <t>بهار</t>
        </is>
      </c>
      <c r="I4475" s="134" t="inlineStr">
        <is>
          <t>چهارشنبه</t>
        </is>
      </c>
      <c r="J4475" s="134" t="inlineStr">
        <is>
          <t>بله</t>
        </is>
      </c>
    </row>
    <row r="4476">
      <c r="A4476" s="173" t="n">
        <v>49397</v>
      </c>
      <c r="B4476" s="174" t="n">
        <v>49397</v>
      </c>
      <c r="C4476" s="174" t="n">
        <v>1414</v>
      </c>
      <c r="D4476" s="174" t="n">
        <v>1</v>
      </c>
      <c r="E4476" s="175" t="inlineStr">
        <is>
          <t>1414/01/09</t>
        </is>
      </c>
      <c r="F4476" s="128" t="inlineStr">
        <is>
          <t>1414/01</t>
        </is>
      </c>
      <c r="G4476" s="58" t="inlineStr">
        <is>
          <t>فروردین</t>
        </is>
      </c>
      <c r="H4476" s="128" t="inlineStr">
        <is>
          <t>بهار</t>
        </is>
      </c>
      <c r="I4476" s="128" t="inlineStr">
        <is>
          <t>پنجشنبه</t>
        </is>
      </c>
      <c r="J4476" s="128" t="inlineStr">
        <is>
          <t>بله</t>
        </is>
      </c>
    </row>
    <row r="4477">
      <c r="A4477" s="176" t="n">
        <v>49398</v>
      </c>
      <c r="B4477" s="177" t="n">
        <v>49398</v>
      </c>
      <c r="C4477" s="177" t="n">
        <v>1414</v>
      </c>
      <c r="D4477" s="177" t="n">
        <v>1</v>
      </c>
      <c r="E4477" s="178" t="inlineStr">
        <is>
          <t>1414/01/10</t>
        </is>
      </c>
      <c r="F4477" s="134" t="inlineStr">
        <is>
          <t>1414/01</t>
        </is>
      </c>
      <c r="G4477" s="61" t="inlineStr">
        <is>
          <t>فروردین</t>
        </is>
      </c>
      <c r="H4477" s="134" t="inlineStr">
        <is>
          <t>بهار</t>
        </is>
      </c>
      <c r="I4477" s="134" t="inlineStr">
        <is>
          <t>جمعه</t>
        </is>
      </c>
      <c r="J4477" s="134" t="inlineStr">
        <is>
          <t>بله</t>
        </is>
      </c>
    </row>
    <row r="4478">
      <c r="A4478" s="173" t="n">
        <v>49399</v>
      </c>
      <c r="B4478" s="174" t="n">
        <v>49399</v>
      </c>
      <c r="C4478" s="174" t="n">
        <v>1414</v>
      </c>
      <c r="D4478" s="174" t="n">
        <v>1</v>
      </c>
      <c r="E4478" s="175" t="inlineStr">
        <is>
          <t>1414/01/11</t>
        </is>
      </c>
      <c r="F4478" s="128" t="inlineStr">
        <is>
          <t>1414/01</t>
        </is>
      </c>
      <c r="G4478" s="58" t="inlineStr">
        <is>
          <t>فروردین</t>
        </is>
      </c>
      <c r="H4478" s="128" t="inlineStr">
        <is>
          <t>بهار</t>
        </is>
      </c>
      <c r="I4478" s="128" t="inlineStr">
        <is>
          <t>شنبه</t>
        </is>
      </c>
      <c r="J4478" s="128" t="inlineStr">
        <is>
          <t>خیر</t>
        </is>
      </c>
    </row>
    <row r="4479">
      <c r="A4479" s="176" t="n">
        <v>49400</v>
      </c>
      <c r="B4479" s="177" t="n">
        <v>49400</v>
      </c>
      <c r="C4479" s="177" t="n">
        <v>1414</v>
      </c>
      <c r="D4479" s="177" t="n">
        <v>1</v>
      </c>
      <c r="E4479" s="178" t="inlineStr">
        <is>
          <t>1414/01/12</t>
        </is>
      </c>
      <c r="F4479" s="134" t="inlineStr">
        <is>
          <t>1414/01</t>
        </is>
      </c>
      <c r="G4479" s="61" t="inlineStr">
        <is>
          <t>فروردین</t>
        </is>
      </c>
      <c r="H4479" s="134" t="inlineStr">
        <is>
          <t>بهار</t>
        </is>
      </c>
      <c r="I4479" s="134" t="inlineStr">
        <is>
          <t>یکشنبه</t>
        </is>
      </c>
      <c r="J4479" s="134" t="inlineStr">
        <is>
          <t>خیر</t>
        </is>
      </c>
    </row>
    <row r="4480">
      <c r="A4480" s="173" t="n">
        <v>49401</v>
      </c>
      <c r="B4480" s="174" t="n">
        <v>49401</v>
      </c>
      <c r="C4480" s="174" t="n">
        <v>1414</v>
      </c>
      <c r="D4480" s="174" t="n">
        <v>1</v>
      </c>
      <c r="E4480" s="175" t="inlineStr">
        <is>
          <t>1414/01/13</t>
        </is>
      </c>
      <c r="F4480" s="128" t="inlineStr">
        <is>
          <t>1414/01</t>
        </is>
      </c>
      <c r="G4480" s="58" t="inlineStr">
        <is>
          <t>فروردین</t>
        </is>
      </c>
      <c r="H4480" s="128" t="inlineStr">
        <is>
          <t>بهار</t>
        </is>
      </c>
      <c r="I4480" s="128" t="inlineStr">
        <is>
          <t>دوشنبه</t>
        </is>
      </c>
      <c r="J4480" s="128" t="inlineStr">
        <is>
          <t>بله</t>
        </is>
      </c>
    </row>
    <row r="4481">
      <c r="A4481" s="176" t="n">
        <v>49402</v>
      </c>
      <c r="B4481" s="177" t="n">
        <v>49402</v>
      </c>
      <c r="C4481" s="177" t="n">
        <v>1414</v>
      </c>
      <c r="D4481" s="177" t="n">
        <v>1</v>
      </c>
      <c r="E4481" s="178" t="inlineStr">
        <is>
          <t>1414/01/14</t>
        </is>
      </c>
      <c r="F4481" s="134" t="inlineStr">
        <is>
          <t>1414/01</t>
        </is>
      </c>
      <c r="G4481" s="61" t="inlineStr">
        <is>
          <t>فروردین</t>
        </is>
      </c>
      <c r="H4481" s="134" t="inlineStr">
        <is>
          <t>بهار</t>
        </is>
      </c>
      <c r="I4481" s="134" t="inlineStr">
        <is>
          <t>سه‌شنبه</t>
        </is>
      </c>
      <c r="J4481" s="134" t="inlineStr">
        <is>
          <t>بله</t>
        </is>
      </c>
    </row>
    <row r="4482">
      <c r="A4482" s="173" t="n">
        <v>49403</v>
      </c>
      <c r="B4482" s="174" t="n">
        <v>49403</v>
      </c>
      <c r="C4482" s="174" t="n">
        <v>1414</v>
      </c>
      <c r="D4482" s="174" t="n">
        <v>1</v>
      </c>
      <c r="E4482" s="175" t="inlineStr">
        <is>
          <t>1414/01/15</t>
        </is>
      </c>
      <c r="F4482" s="128" t="inlineStr">
        <is>
          <t>1414/01</t>
        </is>
      </c>
      <c r="G4482" s="58" t="inlineStr">
        <is>
          <t>فروردین</t>
        </is>
      </c>
      <c r="H4482" s="128" t="inlineStr">
        <is>
          <t>بهار</t>
        </is>
      </c>
      <c r="I4482" s="128" t="inlineStr">
        <is>
          <t>چهارشنبه</t>
        </is>
      </c>
      <c r="J4482" s="128" t="inlineStr">
        <is>
          <t>بله</t>
        </is>
      </c>
    </row>
    <row r="4483">
      <c r="A4483" s="176" t="n">
        <v>49404</v>
      </c>
      <c r="B4483" s="177" t="n">
        <v>49404</v>
      </c>
      <c r="C4483" s="177" t="n">
        <v>1414</v>
      </c>
      <c r="D4483" s="177" t="n">
        <v>1</v>
      </c>
      <c r="E4483" s="178" t="inlineStr">
        <is>
          <t>1414/01/16</t>
        </is>
      </c>
      <c r="F4483" s="134" t="inlineStr">
        <is>
          <t>1414/01</t>
        </is>
      </c>
      <c r="G4483" s="61" t="inlineStr">
        <is>
          <t>فروردین</t>
        </is>
      </c>
      <c r="H4483" s="134" t="inlineStr">
        <is>
          <t>بهار</t>
        </is>
      </c>
      <c r="I4483" s="134" t="inlineStr">
        <is>
          <t>پنجشنبه</t>
        </is>
      </c>
      <c r="J4483" s="134" t="inlineStr">
        <is>
          <t>بله</t>
        </is>
      </c>
    </row>
    <row r="4484">
      <c r="A4484" s="173" t="n">
        <v>49405</v>
      </c>
      <c r="B4484" s="174" t="n">
        <v>49405</v>
      </c>
      <c r="C4484" s="174" t="n">
        <v>1414</v>
      </c>
      <c r="D4484" s="174" t="n">
        <v>1</v>
      </c>
      <c r="E4484" s="175" t="inlineStr">
        <is>
          <t>1414/01/17</t>
        </is>
      </c>
      <c r="F4484" s="128" t="inlineStr">
        <is>
          <t>1414/01</t>
        </is>
      </c>
      <c r="G4484" s="58" t="inlineStr">
        <is>
          <t>فروردین</t>
        </is>
      </c>
      <c r="H4484" s="128" t="inlineStr">
        <is>
          <t>بهار</t>
        </is>
      </c>
      <c r="I4484" s="128" t="inlineStr">
        <is>
          <t>جمعه</t>
        </is>
      </c>
      <c r="J4484" s="128" t="inlineStr">
        <is>
          <t>بله</t>
        </is>
      </c>
    </row>
    <row r="4485">
      <c r="A4485" s="176" t="n">
        <v>49406</v>
      </c>
      <c r="B4485" s="177" t="n">
        <v>49406</v>
      </c>
      <c r="C4485" s="177" t="n">
        <v>1414</v>
      </c>
      <c r="D4485" s="177" t="n">
        <v>1</v>
      </c>
      <c r="E4485" s="178" t="inlineStr">
        <is>
          <t>1414/01/18</t>
        </is>
      </c>
      <c r="F4485" s="134" t="inlineStr">
        <is>
          <t>1414/01</t>
        </is>
      </c>
      <c r="G4485" s="61" t="inlineStr">
        <is>
          <t>فروردین</t>
        </is>
      </c>
      <c r="H4485" s="134" t="inlineStr">
        <is>
          <t>بهار</t>
        </is>
      </c>
      <c r="I4485" s="134" t="inlineStr">
        <is>
          <t>شنبه</t>
        </is>
      </c>
      <c r="J4485" s="134" t="inlineStr">
        <is>
          <t>خیر</t>
        </is>
      </c>
    </row>
    <row r="4486">
      <c r="A4486" s="173" t="n">
        <v>49407</v>
      </c>
      <c r="B4486" s="174" t="n">
        <v>49407</v>
      </c>
      <c r="C4486" s="174" t="n">
        <v>1414</v>
      </c>
      <c r="D4486" s="174" t="n">
        <v>1</v>
      </c>
      <c r="E4486" s="175" t="inlineStr">
        <is>
          <t>1414/01/19</t>
        </is>
      </c>
      <c r="F4486" s="128" t="inlineStr">
        <is>
          <t>1414/01</t>
        </is>
      </c>
      <c r="G4486" s="58" t="inlineStr">
        <is>
          <t>فروردین</t>
        </is>
      </c>
      <c r="H4486" s="128" t="inlineStr">
        <is>
          <t>بهار</t>
        </is>
      </c>
      <c r="I4486" s="128" t="inlineStr">
        <is>
          <t>یکشنبه</t>
        </is>
      </c>
      <c r="J4486" s="128" t="inlineStr">
        <is>
          <t>خیر</t>
        </is>
      </c>
    </row>
    <row r="4487">
      <c r="A4487" s="176" t="n">
        <v>49408</v>
      </c>
      <c r="B4487" s="177" t="n">
        <v>49408</v>
      </c>
      <c r="C4487" s="177" t="n">
        <v>1414</v>
      </c>
      <c r="D4487" s="177" t="n">
        <v>1</v>
      </c>
      <c r="E4487" s="178" t="inlineStr">
        <is>
          <t>1414/01/20</t>
        </is>
      </c>
      <c r="F4487" s="134" t="inlineStr">
        <is>
          <t>1414/01</t>
        </is>
      </c>
      <c r="G4487" s="61" t="inlineStr">
        <is>
          <t>فروردین</t>
        </is>
      </c>
      <c r="H4487" s="134" t="inlineStr">
        <is>
          <t>بهار</t>
        </is>
      </c>
      <c r="I4487" s="134" t="inlineStr">
        <is>
          <t>دوشنبه</t>
        </is>
      </c>
      <c r="J4487" s="134" t="inlineStr">
        <is>
          <t>بله</t>
        </is>
      </c>
    </row>
    <row r="4488">
      <c r="A4488" s="173" t="n">
        <v>49409</v>
      </c>
      <c r="B4488" s="174" t="n">
        <v>49409</v>
      </c>
      <c r="C4488" s="174" t="n">
        <v>1414</v>
      </c>
      <c r="D4488" s="174" t="n">
        <v>1</v>
      </c>
      <c r="E4488" s="175" t="inlineStr">
        <is>
          <t>1414/01/21</t>
        </is>
      </c>
      <c r="F4488" s="128" t="inlineStr">
        <is>
          <t>1414/01</t>
        </is>
      </c>
      <c r="G4488" s="58" t="inlineStr">
        <is>
          <t>فروردین</t>
        </is>
      </c>
      <c r="H4488" s="128" t="inlineStr">
        <is>
          <t>بهار</t>
        </is>
      </c>
      <c r="I4488" s="128" t="inlineStr">
        <is>
          <t>سه‌شنبه</t>
        </is>
      </c>
      <c r="J4488" s="128" t="inlineStr">
        <is>
          <t>بله</t>
        </is>
      </c>
    </row>
    <row r="4489">
      <c r="A4489" s="176" t="n">
        <v>49410</v>
      </c>
      <c r="B4489" s="177" t="n">
        <v>49410</v>
      </c>
      <c r="C4489" s="177" t="n">
        <v>1414</v>
      </c>
      <c r="D4489" s="177" t="n">
        <v>1</v>
      </c>
      <c r="E4489" s="178" t="inlineStr">
        <is>
          <t>1414/01/22</t>
        </is>
      </c>
      <c r="F4489" s="134" t="inlineStr">
        <is>
          <t>1414/01</t>
        </is>
      </c>
      <c r="G4489" s="61" t="inlineStr">
        <is>
          <t>فروردین</t>
        </is>
      </c>
      <c r="H4489" s="134" t="inlineStr">
        <is>
          <t>بهار</t>
        </is>
      </c>
      <c r="I4489" s="134" t="inlineStr">
        <is>
          <t>چهارشنبه</t>
        </is>
      </c>
      <c r="J4489" s="134" t="inlineStr">
        <is>
          <t>بله</t>
        </is>
      </c>
    </row>
    <row r="4490">
      <c r="A4490" s="173" t="n">
        <v>49411</v>
      </c>
      <c r="B4490" s="174" t="n">
        <v>49411</v>
      </c>
      <c r="C4490" s="174" t="n">
        <v>1414</v>
      </c>
      <c r="D4490" s="174" t="n">
        <v>1</v>
      </c>
      <c r="E4490" s="175" t="inlineStr">
        <is>
          <t>1414/01/23</t>
        </is>
      </c>
      <c r="F4490" s="128" t="inlineStr">
        <is>
          <t>1414/01</t>
        </is>
      </c>
      <c r="G4490" s="58" t="inlineStr">
        <is>
          <t>فروردین</t>
        </is>
      </c>
      <c r="H4490" s="128" t="inlineStr">
        <is>
          <t>بهار</t>
        </is>
      </c>
      <c r="I4490" s="128" t="inlineStr">
        <is>
          <t>پنجشنبه</t>
        </is>
      </c>
      <c r="J4490" s="128" t="inlineStr">
        <is>
          <t>بله</t>
        </is>
      </c>
    </row>
    <row r="4491">
      <c r="A4491" s="176" t="n">
        <v>49412</v>
      </c>
      <c r="B4491" s="177" t="n">
        <v>49412</v>
      </c>
      <c r="C4491" s="177" t="n">
        <v>1414</v>
      </c>
      <c r="D4491" s="177" t="n">
        <v>1</v>
      </c>
      <c r="E4491" s="178" t="inlineStr">
        <is>
          <t>1414/01/24</t>
        </is>
      </c>
      <c r="F4491" s="134" t="inlineStr">
        <is>
          <t>1414/01</t>
        </is>
      </c>
      <c r="G4491" s="61" t="inlineStr">
        <is>
          <t>فروردین</t>
        </is>
      </c>
      <c r="H4491" s="134" t="inlineStr">
        <is>
          <t>بهار</t>
        </is>
      </c>
      <c r="I4491" s="134" t="inlineStr">
        <is>
          <t>جمعه</t>
        </is>
      </c>
      <c r="J4491" s="134" t="inlineStr">
        <is>
          <t>بله</t>
        </is>
      </c>
    </row>
    <row r="4492">
      <c r="A4492" s="173" t="n">
        <v>49413</v>
      </c>
      <c r="B4492" s="174" t="n">
        <v>49413</v>
      </c>
      <c r="C4492" s="174" t="n">
        <v>1414</v>
      </c>
      <c r="D4492" s="174" t="n">
        <v>1</v>
      </c>
      <c r="E4492" s="175" t="inlineStr">
        <is>
          <t>1414/01/25</t>
        </is>
      </c>
      <c r="F4492" s="128" t="inlineStr">
        <is>
          <t>1414/01</t>
        </is>
      </c>
      <c r="G4492" s="58" t="inlineStr">
        <is>
          <t>فروردین</t>
        </is>
      </c>
      <c r="H4492" s="128" t="inlineStr">
        <is>
          <t>بهار</t>
        </is>
      </c>
      <c r="I4492" s="128" t="inlineStr">
        <is>
          <t>شنبه</t>
        </is>
      </c>
      <c r="J4492" s="128" t="inlineStr">
        <is>
          <t>خیر</t>
        </is>
      </c>
    </row>
    <row r="4493">
      <c r="A4493" s="176" t="n">
        <v>49414</v>
      </c>
      <c r="B4493" s="177" t="n">
        <v>49414</v>
      </c>
      <c r="C4493" s="177" t="n">
        <v>1414</v>
      </c>
      <c r="D4493" s="177" t="n">
        <v>1</v>
      </c>
      <c r="E4493" s="178" t="inlineStr">
        <is>
          <t>1414/01/26</t>
        </is>
      </c>
      <c r="F4493" s="134" t="inlineStr">
        <is>
          <t>1414/01</t>
        </is>
      </c>
      <c r="G4493" s="61" t="inlineStr">
        <is>
          <t>فروردین</t>
        </is>
      </c>
      <c r="H4493" s="134" t="inlineStr">
        <is>
          <t>بهار</t>
        </is>
      </c>
      <c r="I4493" s="134" t="inlineStr">
        <is>
          <t>یکشنبه</t>
        </is>
      </c>
      <c r="J4493" s="134" t="inlineStr">
        <is>
          <t>خیر</t>
        </is>
      </c>
    </row>
    <row r="4494">
      <c r="A4494" s="173" t="n">
        <v>49415</v>
      </c>
      <c r="B4494" s="174" t="n">
        <v>49415</v>
      </c>
      <c r="C4494" s="174" t="n">
        <v>1414</v>
      </c>
      <c r="D4494" s="174" t="n">
        <v>1</v>
      </c>
      <c r="E4494" s="175" t="inlineStr">
        <is>
          <t>1414/01/27</t>
        </is>
      </c>
      <c r="F4494" s="128" t="inlineStr">
        <is>
          <t>1414/01</t>
        </is>
      </c>
      <c r="G4494" s="58" t="inlineStr">
        <is>
          <t>فروردین</t>
        </is>
      </c>
      <c r="H4494" s="128" t="inlineStr">
        <is>
          <t>بهار</t>
        </is>
      </c>
      <c r="I4494" s="128" t="inlineStr">
        <is>
          <t>دوشنبه</t>
        </is>
      </c>
      <c r="J4494" s="128" t="inlineStr">
        <is>
          <t>بله</t>
        </is>
      </c>
    </row>
    <row r="4495">
      <c r="A4495" s="176" t="n">
        <v>49416</v>
      </c>
      <c r="B4495" s="177" t="n">
        <v>49416</v>
      </c>
      <c r="C4495" s="177" t="n">
        <v>1414</v>
      </c>
      <c r="D4495" s="177" t="n">
        <v>1</v>
      </c>
      <c r="E4495" s="178" t="inlineStr">
        <is>
          <t>1414/01/28</t>
        </is>
      </c>
      <c r="F4495" s="134" t="inlineStr">
        <is>
          <t>1414/01</t>
        </is>
      </c>
      <c r="G4495" s="61" t="inlineStr">
        <is>
          <t>فروردین</t>
        </is>
      </c>
      <c r="H4495" s="134" t="inlineStr">
        <is>
          <t>بهار</t>
        </is>
      </c>
      <c r="I4495" s="134" t="inlineStr">
        <is>
          <t>سه‌شنبه</t>
        </is>
      </c>
      <c r="J4495" s="134" t="inlineStr">
        <is>
          <t>بله</t>
        </is>
      </c>
    </row>
    <row r="4496">
      <c r="A4496" s="173" t="n">
        <v>49417</v>
      </c>
      <c r="B4496" s="174" t="n">
        <v>49417</v>
      </c>
      <c r="C4496" s="174" t="n">
        <v>1414</v>
      </c>
      <c r="D4496" s="174" t="n">
        <v>1</v>
      </c>
      <c r="E4496" s="175" t="inlineStr">
        <is>
          <t>1414/01/29</t>
        </is>
      </c>
      <c r="F4496" s="128" t="inlineStr">
        <is>
          <t>1414/01</t>
        </is>
      </c>
      <c r="G4496" s="58" t="inlineStr">
        <is>
          <t>فروردین</t>
        </is>
      </c>
      <c r="H4496" s="128" t="inlineStr">
        <is>
          <t>بهار</t>
        </is>
      </c>
      <c r="I4496" s="128" t="inlineStr">
        <is>
          <t>چهارشنبه</t>
        </is>
      </c>
      <c r="J4496" s="128" t="inlineStr">
        <is>
          <t>بله</t>
        </is>
      </c>
    </row>
    <row r="4497">
      <c r="A4497" s="176" t="n">
        <v>49418</v>
      </c>
      <c r="B4497" s="177" t="n">
        <v>49418</v>
      </c>
      <c r="C4497" s="177" t="n">
        <v>1414</v>
      </c>
      <c r="D4497" s="177" t="n">
        <v>1</v>
      </c>
      <c r="E4497" s="178" t="inlineStr">
        <is>
          <t>1414/01/30</t>
        </is>
      </c>
      <c r="F4497" s="134" t="inlineStr">
        <is>
          <t>1414/01</t>
        </is>
      </c>
      <c r="G4497" s="61" t="inlineStr">
        <is>
          <t>فروردین</t>
        </is>
      </c>
      <c r="H4497" s="134" t="inlineStr">
        <is>
          <t>بهار</t>
        </is>
      </c>
      <c r="I4497" s="134" t="inlineStr">
        <is>
          <t>پنجشنبه</t>
        </is>
      </c>
      <c r="J4497" s="134" t="inlineStr">
        <is>
          <t>بله</t>
        </is>
      </c>
    </row>
    <row r="4498">
      <c r="A4498" s="173" t="n">
        <v>49419</v>
      </c>
      <c r="B4498" s="174" t="n">
        <v>49419</v>
      </c>
      <c r="C4498" s="174" t="n">
        <v>1414</v>
      </c>
      <c r="D4498" s="174" t="n">
        <v>1</v>
      </c>
      <c r="E4498" s="175" t="inlineStr">
        <is>
          <t>1414/01/31</t>
        </is>
      </c>
      <c r="F4498" s="128" t="inlineStr">
        <is>
          <t>1414/01</t>
        </is>
      </c>
      <c r="G4498" s="58" t="inlineStr">
        <is>
          <t>فروردین</t>
        </is>
      </c>
      <c r="H4498" s="128" t="inlineStr">
        <is>
          <t>بهار</t>
        </is>
      </c>
      <c r="I4498" s="128" t="inlineStr">
        <is>
          <t>جمعه</t>
        </is>
      </c>
      <c r="J4498" s="128" t="inlineStr">
        <is>
          <t>بله</t>
        </is>
      </c>
    </row>
    <row r="4499">
      <c r="A4499" s="176" t="n">
        <v>49420</v>
      </c>
      <c r="B4499" s="177" t="n">
        <v>49420</v>
      </c>
      <c r="C4499" s="177" t="n">
        <v>1414</v>
      </c>
      <c r="D4499" s="177" t="n">
        <v>2</v>
      </c>
      <c r="E4499" s="178" t="inlineStr">
        <is>
          <t>1414/02/01</t>
        </is>
      </c>
      <c r="F4499" s="134" t="inlineStr">
        <is>
          <t>1414/02</t>
        </is>
      </c>
      <c r="G4499" s="61" t="inlineStr">
        <is>
          <t>اردیبهشت</t>
        </is>
      </c>
      <c r="H4499" s="134" t="inlineStr">
        <is>
          <t>بهار</t>
        </is>
      </c>
      <c r="I4499" s="134" t="inlineStr">
        <is>
          <t>شنبه</t>
        </is>
      </c>
      <c r="J4499" s="134" t="inlineStr">
        <is>
          <t>خیر</t>
        </is>
      </c>
    </row>
    <row r="4500">
      <c r="A4500" s="173" t="n">
        <v>49421</v>
      </c>
      <c r="B4500" s="174" t="n">
        <v>49421</v>
      </c>
      <c r="C4500" s="174" t="n">
        <v>1414</v>
      </c>
      <c r="D4500" s="174" t="n">
        <v>2</v>
      </c>
      <c r="E4500" s="175" t="inlineStr">
        <is>
          <t>1414/02/02</t>
        </is>
      </c>
      <c r="F4500" s="128" t="inlineStr">
        <is>
          <t>1414/02</t>
        </is>
      </c>
      <c r="G4500" s="58" t="inlineStr">
        <is>
          <t>اردیبهشت</t>
        </is>
      </c>
      <c r="H4500" s="128" t="inlineStr">
        <is>
          <t>بهار</t>
        </is>
      </c>
      <c r="I4500" s="128" t="inlineStr">
        <is>
          <t>یکشنبه</t>
        </is>
      </c>
      <c r="J4500" s="128" t="inlineStr">
        <is>
          <t>خیر</t>
        </is>
      </c>
    </row>
    <row r="4501">
      <c r="A4501" s="176" t="n">
        <v>49422</v>
      </c>
      <c r="B4501" s="177" t="n">
        <v>49422</v>
      </c>
      <c r="C4501" s="177" t="n">
        <v>1414</v>
      </c>
      <c r="D4501" s="177" t="n">
        <v>2</v>
      </c>
      <c r="E4501" s="178" t="inlineStr">
        <is>
          <t>1414/02/03</t>
        </is>
      </c>
      <c r="F4501" s="134" t="inlineStr">
        <is>
          <t>1414/02</t>
        </is>
      </c>
      <c r="G4501" s="61" t="inlineStr">
        <is>
          <t>اردیبهشت</t>
        </is>
      </c>
      <c r="H4501" s="134" t="inlineStr">
        <is>
          <t>بهار</t>
        </is>
      </c>
      <c r="I4501" s="134" t="inlineStr">
        <is>
          <t>دوشنبه</t>
        </is>
      </c>
      <c r="J4501" s="134" t="inlineStr">
        <is>
          <t>بله</t>
        </is>
      </c>
    </row>
    <row r="4502">
      <c r="A4502" s="173" t="n">
        <v>49423</v>
      </c>
      <c r="B4502" s="174" t="n">
        <v>49423</v>
      </c>
      <c r="C4502" s="174" t="n">
        <v>1414</v>
      </c>
      <c r="D4502" s="174" t="n">
        <v>2</v>
      </c>
      <c r="E4502" s="175" t="inlineStr">
        <is>
          <t>1414/02/04</t>
        </is>
      </c>
      <c r="F4502" s="128" t="inlineStr">
        <is>
          <t>1414/02</t>
        </is>
      </c>
      <c r="G4502" s="58" t="inlineStr">
        <is>
          <t>اردیبهشت</t>
        </is>
      </c>
      <c r="H4502" s="128" t="inlineStr">
        <is>
          <t>بهار</t>
        </is>
      </c>
      <c r="I4502" s="128" t="inlineStr">
        <is>
          <t>سه‌شنبه</t>
        </is>
      </c>
      <c r="J4502" s="128" t="inlineStr">
        <is>
          <t>بله</t>
        </is>
      </c>
    </row>
    <row r="4503">
      <c r="A4503" s="176" t="n">
        <v>49424</v>
      </c>
      <c r="B4503" s="177" t="n">
        <v>49424</v>
      </c>
      <c r="C4503" s="177" t="n">
        <v>1414</v>
      </c>
      <c r="D4503" s="177" t="n">
        <v>2</v>
      </c>
      <c r="E4503" s="178" t="inlineStr">
        <is>
          <t>1414/02/05</t>
        </is>
      </c>
      <c r="F4503" s="134" t="inlineStr">
        <is>
          <t>1414/02</t>
        </is>
      </c>
      <c r="G4503" s="61" t="inlineStr">
        <is>
          <t>اردیبهشت</t>
        </is>
      </c>
      <c r="H4503" s="134" t="inlineStr">
        <is>
          <t>بهار</t>
        </is>
      </c>
      <c r="I4503" s="134" t="inlineStr">
        <is>
          <t>چهارشنبه</t>
        </is>
      </c>
      <c r="J4503" s="134" t="inlineStr">
        <is>
          <t>بله</t>
        </is>
      </c>
    </row>
    <row r="4504">
      <c r="A4504" s="173" t="n">
        <v>49425</v>
      </c>
      <c r="B4504" s="174" t="n">
        <v>49425</v>
      </c>
      <c r="C4504" s="174" t="n">
        <v>1414</v>
      </c>
      <c r="D4504" s="174" t="n">
        <v>2</v>
      </c>
      <c r="E4504" s="175" t="inlineStr">
        <is>
          <t>1414/02/06</t>
        </is>
      </c>
      <c r="F4504" s="128" t="inlineStr">
        <is>
          <t>1414/02</t>
        </is>
      </c>
      <c r="G4504" s="58" t="inlineStr">
        <is>
          <t>اردیبهشت</t>
        </is>
      </c>
      <c r="H4504" s="128" t="inlineStr">
        <is>
          <t>بهار</t>
        </is>
      </c>
      <c r="I4504" s="128" t="inlineStr">
        <is>
          <t>پنجشنبه</t>
        </is>
      </c>
      <c r="J4504" s="128" t="inlineStr">
        <is>
          <t>بله</t>
        </is>
      </c>
    </row>
    <row r="4505">
      <c r="A4505" s="176" t="n">
        <v>49426</v>
      </c>
      <c r="B4505" s="177" t="n">
        <v>49426</v>
      </c>
      <c r="C4505" s="177" t="n">
        <v>1414</v>
      </c>
      <c r="D4505" s="177" t="n">
        <v>2</v>
      </c>
      <c r="E4505" s="178" t="inlineStr">
        <is>
          <t>1414/02/07</t>
        </is>
      </c>
      <c r="F4505" s="134" t="inlineStr">
        <is>
          <t>1414/02</t>
        </is>
      </c>
      <c r="G4505" s="61" t="inlineStr">
        <is>
          <t>اردیبهشت</t>
        </is>
      </c>
      <c r="H4505" s="134" t="inlineStr">
        <is>
          <t>بهار</t>
        </is>
      </c>
      <c r="I4505" s="134" t="inlineStr">
        <is>
          <t>جمعه</t>
        </is>
      </c>
      <c r="J4505" s="134" t="inlineStr">
        <is>
          <t>بله</t>
        </is>
      </c>
    </row>
    <row r="4506">
      <c r="A4506" s="173" t="n">
        <v>49427</v>
      </c>
      <c r="B4506" s="174" t="n">
        <v>49427</v>
      </c>
      <c r="C4506" s="174" t="n">
        <v>1414</v>
      </c>
      <c r="D4506" s="174" t="n">
        <v>2</v>
      </c>
      <c r="E4506" s="175" t="inlineStr">
        <is>
          <t>1414/02/08</t>
        </is>
      </c>
      <c r="F4506" s="128" t="inlineStr">
        <is>
          <t>1414/02</t>
        </is>
      </c>
      <c r="G4506" s="58" t="inlineStr">
        <is>
          <t>اردیبهشت</t>
        </is>
      </c>
      <c r="H4506" s="128" t="inlineStr">
        <is>
          <t>بهار</t>
        </is>
      </c>
      <c r="I4506" s="128" t="inlineStr">
        <is>
          <t>شنبه</t>
        </is>
      </c>
      <c r="J4506" s="128" t="inlineStr">
        <is>
          <t>خیر</t>
        </is>
      </c>
    </row>
    <row r="4507">
      <c r="A4507" s="176" t="n">
        <v>49428</v>
      </c>
      <c r="B4507" s="177" t="n">
        <v>49428</v>
      </c>
      <c r="C4507" s="177" t="n">
        <v>1414</v>
      </c>
      <c r="D4507" s="177" t="n">
        <v>2</v>
      </c>
      <c r="E4507" s="178" t="inlineStr">
        <is>
          <t>1414/02/09</t>
        </is>
      </c>
      <c r="F4507" s="134" t="inlineStr">
        <is>
          <t>1414/02</t>
        </is>
      </c>
      <c r="G4507" s="61" t="inlineStr">
        <is>
          <t>اردیبهشت</t>
        </is>
      </c>
      <c r="H4507" s="134" t="inlineStr">
        <is>
          <t>بهار</t>
        </is>
      </c>
      <c r="I4507" s="134" t="inlineStr">
        <is>
          <t>یکشنبه</t>
        </is>
      </c>
      <c r="J4507" s="134" t="inlineStr">
        <is>
          <t>خیر</t>
        </is>
      </c>
    </row>
    <row r="4508">
      <c r="A4508" s="173" t="n">
        <v>49429</v>
      </c>
      <c r="B4508" s="174" t="n">
        <v>49429</v>
      </c>
      <c r="C4508" s="174" t="n">
        <v>1414</v>
      </c>
      <c r="D4508" s="174" t="n">
        <v>2</v>
      </c>
      <c r="E4508" s="175" t="inlineStr">
        <is>
          <t>1414/02/10</t>
        </is>
      </c>
      <c r="F4508" s="128" t="inlineStr">
        <is>
          <t>1414/02</t>
        </is>
      </c>
      <c r="G4508" s="58" t="inlineStr">
        <is>
          <t>اردیبهشت</t>
        </is>
      </c>
      <c r="H4508" s="128" t="inlineStr">
        <is>
          <t>بهار</t>
        </is>
      </c>
      <c r="I4508" s="128" t="inlineStr">
        <is>
          <t>دوشنبه</t>
        </is>
      </c>
      <c r="J4508" s="128" t="inlineStr">
        <is>
          <t>بله</t>
        </is>
      </c>
    </row>
    <row r="4509">
      <c r="A4509" s="176" t="n">
        <v>49430</v>
      </c>
      <c r="B4509" s="177" t="n">
        <v>49430</v>
      </c>
      <c r="C4509" s="177" t="n">
        <v>1414</v>
      </c>
      <c r="D4509" s="177" t="n">
        <v>2</v>
      </c>
      <c r="E4509" s="178" t="inlineStr">
        <is>
          <t>1414/02/11</t>
        </is>
      </c>
      <c r="F4509" s="134" t="inlineStr">
        <is>
          <t>1414/02</t>
        </is>
      </c>
      <c r="G4509" s="61" t="inlineStr">
        <is>
          <t>اردیبهشت</t>
        </is>
      </c>
      <c r="H4509" s="134" t="inlineStr">
        <is>
          <t>بهار</t>
        </is>
      </c>
      <c r="I4509" s="134" t="inlineStr">
        <is>
          <t>سه‌شنبه</t>
        </is>
      </c>
      <c r="J4509" s="134" t="inlineStr">
        <is>
          <t>بله</t>
        </is>
      </c>
    </row>
    <row r="4510">
      <c r="A4510" s="173" t="n">
        <v>49431</v>
      </c>
      <c r="B4510" s="174" t="n">
        <v>49431</v>
      </c>
      <c r="C4510" s="174" t="n">
        <v>1414</v>
      </c>
      <c r="D4510" s="174" t="n">
        <v>2</v>
      </c>
      <c r="E4510" s="175" t="inlineStr">
        <is>
          <t>1414/02/12</t>
        </is>
      </c>
      <c r="F4510" s="128" t="inlineStr">
        <is>
          <t>1414/02</t>
        </is>
      </c>
      <c r="G4510" s="58" t="inlineStr">
        <is>
          <t>اردیبهشت</t>
        </is>
      </c>
      <c r="H4510" s="128" t="inlineStr">
        <is>
          <t>بهار</t>
        </is>
      </c>
      <c r="I4510" s="128" t="inlineStr">
        <is>
          <t>چهارشنبه</t>
        </is>
      </c>
      <c r="J4510" s="128" t="inlineStr">
        <is>
          <t>بله</t>
        </is>
      </c>
    </row>
    <row r="4511">
      <c r="A4511" s="176" t="n">
        <v>49432</v>
      </c>
      <c r="B4511" s="177" t="n">
        <v>49432</v>
      </c>
      <c r="C4511" s="177" t="n">
        <v>1414</v>
      </c>
      <c r="D4511" s="177" t="n">
        <v>2</v>
      </c>
      <c r="E4511" s="178" t="inlineStr">
        <is>
          <t>1414/02/13</t>
        </is>
      </c>
      <c r="F4511" s="134" t="inlineStr">
        <is>
          <t>1414/02</t>
        </is>
      </c>
      <c r="G4511" s="61" t="inlineStr">
        <is>
          <t>اردیبهشت</t>
        </is>
      </c>
      <c r="H4511" s="134" t="inlineStr">
        <is>
          <t>بهار</t>
        </is>
      </c>
      <c r="I4511" s="134" t="inlineStr">
        <is>
          <t>پنجشنبه</t>
        </is>
      </c>
      <c r="J4511" s="134" t="inlineStr">
        <is>
          <t>بله</t>
        </is>
      </c>
    </row>
    <row r="4512">
      <c r="A4512" s="173" t="n">
        <v>49433</v>
      </c>
      <c r="B4512" s="174" t="n">
        <v>49433</v>
      </c>
      <c r="C4512" s="174" t="n">
        <v>1414</v>
      </c>
      <c r="D4512" s="174" t="n">
        <v>2</v>
      </c>
      <c r="E4512" s="175" t="inlineStr">
        <is>
          <t>1414/02/14</t>
        </is>
      </c>
      <c r="F4512" s="128" t="inlineStr">
        <is>
          <t>1414/02</t>
        </is>
      </c>
      <c r="G4512" s="58" t="inlineStr">
        <is>
          <t>اردیبهشت</t>
        </is>
      </c>
      <c r="H4512" s="128" t="inlineStr">
        <is>
          <t>بهار</t>
        </is>
      </c>
      <c r="I4512" s="128" t="inlineStr">
        <is>
          <t>جمعه</t>
        </is>
      </c>
      <c r="J4512" s="128" t="inlineStr">
        <is>
          <t>بله</t>
        </is>
      </c>
    </row>
    <row r="4513">
      <c r="A4513" s="176" t="n">
        <v>49434</v>
      </c>
      <c r="B4513" s="177" t="n">
        <v>49434</v>
      </c>
      <c r="C4513" s="177" t="n">
        <v>1414</v>
      </c>
      <c r="D4513" s="177" t="n">
        <v>2</v>
      </c>
      <c r="E4513" s="178" t="inlineStr">
        <is>
          <t>1414/02/15</t>
        </is>
      </c>
      <c r="F4513" s="134" t="inlineStr">
        <is>
          <t>1414/02</t>
        </is>
      </c>
      <c r="G4513" s="61" t="inlineStr">
        <is>
          <t>اردیبهشت</t>
        </is>
      </c>
      <c r="H4513" s="134" t="inlineStr">
        <is>
          <t>بهار</t>
        </is>
      </c>
      <c r="I4513" s="134" t="inlineStr">
        <is>
          <t>شنبه</t>
        </is>
      </c>
      <c r="J4513" s="134" t="inlineStr">
        <is>
          <t>خیر</t>
        </is>
      </c>
    </row>
    <row r="4514">
      <c r="A4514" s="173" t="n">
        <v>49435</v>
      </c>
      <c r="B4514" s="174" t="n">
        <v>49435</v>
      </c>
      <c r="C4514" s="174" t="n">
        <v>1414</v>
      </c>
      <c r="D4514" s="174" t="n">
        <v>2</v>
      </c>
      <c r="E4514" s="175" t="inlineStr">
        <is>
          <t>1414/02/16</t>
        </is>
      </c>
      <c r="F4514" s="128" t="inlineStr">
        <is>
          <t>1414/02</t>
        </is>
      </c>
      <c r="G4514" s="58" t="inlineStr">
        <is>
          <t>اردیبهشت</t>
        </is>
      </c>
      <c r="H4514" s="128" t="inlineStr">
        <is>
          <t>بهار</t>
        </is>
      </c>
      <c r="I4514" s="128" t="inlineStr">
        <is>
          <t>یکشنبه</t>
        </is>
      </c>
      <c r="J4514" s="128" t="inlineStr">
        <is>
          <t>خیر</t>
        </is>
      </c>
    </row>
    <row r="4515">
      <c r="A4515" s="176" t="n">
        <v>49436</v>
      </c>
      <c r="B4515" s="177" t="n">
        <v>49436</v>
      </c>
      <c r="C4515" s="177" t="n">
        <v>1414</v>
      </c>
      <c r="D4515" s="177" t="n">
        <v>2</v>
      </c>
      <c r="E4515" s="178" t="inlineStr">
        <is>
          <t>1414/02/17</t>
        </is>
      </c>
      <c r="F4515" s="134" t="inlineStr">
        <is>
          <t>1414/02</t>
        </is>
      </c>
      <c r="G4515" s="61" t="inlineStr">
        <is>
          <t>اردیبهشت</t>
        </is>
      </c>
      <c r="H4515" s="134" t="inlineStr">
        <is>
          <t>بهار</t>
        </is>
      </c>
      <c r="I4515" s="134" t="inlineStr">
        <is>
          <t>دوشنبه</t>
        </is>
      </c>
      <c r="J4515" s="134" t="inlineStr">
        <is>
          <t>بله</t>
        </is>
      </c>
    </row>
    <row r="4516">
      <c r="A4516" s="173" t="n">
        <v>49437</v>
      </c>
      <c r="B4516" s="174" t="n">
        <v>49437</v>
      </c>
      <c r="C4516" s="174" t="n">
        <v>1414</v>
      </c>
      <c r="D4516" s="174" t="n">
        <v>2</v>
      </c>
      <c r="E4516" s="175" t="inlineStr">
        <is>
          <t>1414/02/18</t>
        </is>
      </c>
      <c r="F4516" s="128" t="inlineStr">
        <is>
          <t>1414/02</t>
        </is>
      </c>
      <c r="G4516" s="58" t="inlineStr">
        <is>
          <t>اردیبهشت</t>
        </is>
      </c>
      <c r="H4516" s="128" t="inlineStr">
        <is>
          <t>بهار</t>
        </is>
      </c>
      <c r="I4516" s="128" t="inlineStr">
        <is>
          <t>سه‌شنبه</t>
        </is>
      </c>
      <c r="J4516" s="128" t="inlineStr">
        <is>
          <t>بله</t>
        </is>
      </c>
    </row>
    <row r="4517">
      <c r="A4517" s="176" t="n">
        <v>49438</v>
      </c>
      <c r="B4517" s="177" t="n">
        <v>49438</v>
      </c>
      <c r="C4517" s="177" t="n">
        <v>1414</v>
      </c>
      <c r="D4517" s="177" t="n">
        <v>2</v>
      </c>
      <c r="E4517" s="178" t="inlineStr">
        <is>
          <t>1414/02/19</t>
        </is>
      </c>
      <c r="F4517" s="134" t="inlineStr">
        <is>
          <t>1414/02</t>
        </is>
      </c>
      <c r="G4517" s="61" t="inlineStr">
        <is>
          <t>اردیبهشت</t>
        </is>
      </c>
      <c r="H4517" s="134" t="inlineStr">
        <is>
          <t>بهار</t>
        </is>
      </c>
      <c r="I4517" s="134" t="inlineStr">
        <is>
          <t>چهارشنبه</t>
        </is>
      </c>
      <c r="J4517" s="134" t="inlineStr">
        <is>
          <t>بله</t>
        </is>
      </c>
    </row>
    <row r="4518">
      <c r="A4518" s="173" t="n">
        <v>49439</v>
      </c>
      <c r="B4518" s="174" t="n">
        <v>49439</v>
      </c>
      <c r="C4518" s="174" t="n">
        <v>1414</v>
      </c>
      <c r="D4518" s="174" t="n">
        <v>2</v>
      </c>
      <c r="E4518" s="175" t="inlineStr">
        <is>
          <t>1414/02/20</t>
        </is>
      </c>
      <c r="F4518" s="128" t="inlineStr">
        <is>
          <t>1414/02</t>
        </is>
      </c>
      <c r="G4518" s="58" t="inlineStr">
        <is>
          <t>اردیبهشت</t>
        </is>
      </c>
      <c r="H4518" s="128" t="inlineStr">
        <is>
          <t>بهار</t>
        </is>
      </c>
      <c r="I4518" s="128" t="inlineStr">
        <is>
          <t>پنجشنبه</t>
        </is>
      </c>
      <c r="J4518" s="128" t="inlineStr">
        <is>
          <t>بله</t>
        </is>
      </c>
    </row>
    <row r="4519">
      <c r="A4519" s="176" t="n">
        <v>49440</v>
      </c>
      <c r="B4519" s="177" t="n">
        <v>49440</v>
      </c>
      <c r="C4519" s="177" t="n">
        <v>1414</v>
      </c>
      <c r="D4519" s="177" t="n">
        <v>2</v>
      </c>
      <c r="E4519" s="178" t="inlineStr">
        <is>
          <t>1414/02/21</t>
        </is>
      </c>
      <c r="F4519" s="134" t="inlineStr">
        <is>
          <t>1414/02</t>
        </is>
      </c>
      <c r="G4519" s="61" t="inlineStr">
        <is>
          <t>اردیبهشت</t>
        </is>
      </c>
      <c r="H4519" s="134" t="inlineStr">
        <is>
          <t>بهار</t>
        </is>
      </c>
      <c r="I4519" s="134" t="inlineStr">
        <is>
          <t>جمعه</t>
        </is>
      </c>
      <c r="J4519" s="134" t="inlineStr">
        <is>
          <t>بله</t>
        </is>
      </c>
    </row>
    <row r="4520">
      <c r="A4520" s="173" t="n">
        <v>49441</v>
      </c>
      <c r="B4520" s="174" t="n">
        <v>49441</v>
      </c>
      <c r="C4520" s="174" t="n">
        <v>1414</v>
      </c>
      <c r="D4520" s="174" t="n">
        <v>2</v>
      </c>
      <c r="E4520" s="175" t="inlineStr">
        <is>
          <t>1414/02/22</t>
        </is>
      </c>
      <c r="F4520" s="128" t="inlineStr">
        <is>
          <t>1414/02</t>
        </is>
      </c>
      <c r="G4520" s="58" t="inlineStr">
        <is>
          <t>اردیبهشت</t>
        </is>
      </c>
      <c r="H4520" s="128" t="inlineStr">
        <is>
          <t>بهار</t>
        </is>
      </c>
      <c r="I4520" s="128" t="inlineStr">
        <is>
          <t>شنبه</t>
        </is>
      </c>
      <c r="J4520" s="128" t="inlineStr">
        <is>
          <t>خیر</t>
        </is>
      </c>
    </row>
    <row r="4521">
      <c r="A4521" s="176" t="n">
        <v>49442</v>
      </c>
      <c r="B4521" s="177" t="n">
        <v>49442</v>
      </c>
      <c r="C4521" s="177" t="n">
        <v>1414</v>
      </c>
      <c r="D4521" s="177" t="n">
        <v>2</v>
      </c>
      <c r="E4521" s="178" t="inlineStr">
        <is>
          <t>1414/02/23</t>
        </is>
      </c>
      <c r="F4521" s="134" t="inlineStr">
        <is>
          <t>1414/02</t>
        </is>
      </c>
      <c r="G4521" s="61" t="inlineStr">
        <is>
          <t>اردیبهشت</t>
        </is>
      </c>
      <c r="H4521" s="134" t="inlineStr">
        <is>
          <t>بهار</t>
        </is>
      </c>
      <c r="I4521" s="134" t="inlineStr">
        <is>
          <t>یکشنبه</t>
        </is>
      </c>
      <c r="J4521" s="134" t="inlineStr">
        <is>
          <t>خیر</t>
        </is>
      </c>
    </row>
    <row r="4522">
      <c r="A4522" s="173" t="n">
        <v>49443</v>
      </c>
      <c r="B4522" s="174" t="n">
        <v>49443</v>
      </c>
      <c r="C4522" s="174" t="n">
        <v>1414</v>
      </c>
      <c r="D4522" s="174" t="n">
        <v>2</v>
      </c>
      <c r="E4522" s="175" t="inlineStr">
        <is>
          <t>1414/02/24</t>
        </is>
      </c>
      <c r="F4522" s="128" t="inlineStr">
        <is>
          <t>1414/02</t>
        </is>
      </c>
      <c r="G4522" s="58" t="inlineStr">
        <is>
          <t>اردیبهشت</t>
        </is>
      </c>
      <c r="H4522" s="128" t="inlineStr">
        <is>
          <t>بهار</t>
        </is>
      </c>
      <c r="I4522" s="128" t="inlineStr">
        <is>
          <t>دوشنبه</t>
        </is>
      </c>
      <c r="J4522" s="128" t="inlineStr">
        <is>
          <t>بله</t>
        </is>
      </c>
    </row>
    <row r="4523">
      <c r="A4523" s="176" t="n">
        <v>49444</v>
      </c>
      <c r="B4523" s="177" t="n">
        <v>49444</v>
      </c>
      <c r="C4523" s="177" t="n">
        <v>1414</v>
      </c>
      <c r="D4523" s="177" t="n">
        <v>2</v>
      </c>
      <c r="E4523" s="178" t="inlineStr">
        <is>
          <t>1414/02/25</t>
        </is>
      </c>
      <c r="F4523" s="134" t="inlineStr">
        <is>
          <t>1414/02</t>
        </is>
      </c>
      <c r="G4523" s="61" t="inlineStr">
        <is>
          <t>اردیبهشت</t>
        </is>
      </c>
      <c r="H4523" s="134" t="inlineStr">
        <is>
          <t>بهار</t>
        </is>
      </c>
      <c r="I4523" s="134" t="inlineStr">
        <is>
          <t>سه‌شنبه</t>
        </is>
      </c>
      <c r="J4523" s="134" t="inlineStr">
        <is>
          <t>بله</t>
        </is>
      </c>
    </row>
    <row r="4524">
      <c r="A4524" s="173" t="n">
        <v>49445</v>
      </c>
      <c r="B4524" s="174" t="n">
        <v>49445</v>
      </c>
      <c r="C4524" s="174" t="n">
        <v>1414</v>
      </c>
      <c r="D4524" s="174" t="n">
        <v>2</v>
      </c>
      <c r="E4524" s="175" t="inlineStr">
        <is>
          <t>1414/02/26</t>
        </is>
      </c>
      <c r="F4524" s="128" t="inlineStr">
        <is>
          <t>1414/02</t>
        </is>
      </c>
      <c r="G4524" s="58" t="inlineStr">
        <is>
          <t>اردیبهشت</t>
        </is>
      </c>
      <c r="H4524" s="128" t="inlineStr">
        <is>
          <t>بهار</t>
        </is>
      </c>
      <c r="I4524" s="128" t="inlineStr">
        <is>
          <t>چهارشنبه</t>
        </is>
      </c>
      <c r="J4524" s="128" t="inlineStr">
        <is>
          <t>بله</t>
        </is>
      </c>
    </row>
    <row r="4525">
      <c r="A4525" s="176" t="n">
        <v>49446</v>
      </c>
      <c r="B4525" s="177" t="n">
        <v>49446</v>
      </c>
      <c r="C4525" s="177" t="n">
        <v>1414</v>
      </c>
      <c r="D4525" s="177" t="n">
        <v>2</v>
      </c>
      <c r="E4525" s="178" t="inlineStr">
        <is>
          <t>1414/02/27</t>
        </is>
      </c>
      <c r="F4525" s="134" t="inlineStr">
        <is>
          <t>1414/02</t>
        </is>
      </c>
      <c r="G4525" s="61" t="inlineStr">
        <is>
          <t>اردیبهشت</t>
        </is>
      </c>
      <c r="H4525" s="134" t="inlineStr">
        <is>
          <t>بهار</t>
        </is>
      </c>
      <c r="I4525" s="134" t="inlineStr">
        <is>
          <t>پنجشنبه</t>
        </is>
      </c>
      <c r="J4525" s="134" t="inlineStr">
        <is>
          <t>بله</t>
        </is>
      </c>
    </row>
    <row r="4526">
      <c r="A4526" s="173" t="n">
        <v>49447</v>
      </c>
      <c r="B4526" s="174" t="n">
        <v>49447</v>
      </c>
      <c r="C4526" s="174" t="n">
        <v>1414</v>
      </c>
      <c r="D4526" s="174" t="n">
        <v>2</v>
      </c>
      <c r="E4526" s="175" t="inlineStr">
        <is>
          <t>1414/02/28</t>
        </is>
      </c>
      <c r="F4526" s="128" t="inlineStr">
        <is>
          <t>1414/02</t>
        </is>
      </c>
      <c r="G4526" s="58" t="inlineStr">
        <is>
          <t>اردیبهشت</t>
        </is>
      </c>
      <c r="H4526" s="128" t="inlineStr">
        <is>
          <t>بهار</t>
        </is>
      </c>
      <c r="I4526" s="128" t="inlineStr">
        <is>
          <t>جمعه</t>
        </is>
      </c>
      <c r="J4526" s="128" t="inlineStr">
        <is>
          <t>بله</t>
        </is>
      </c>
    </row>
    <row r="4527">
      <c r="A4527" s="176" t="n">
        <v>49448</v>
      </c>
      <c r="B4527" s="177" t="n">
        <v>49448</v>
      </c>
      <c r="C4527" s="177" t="n">
        <v>1414</v>
      </c>
      <c r="D4527" s="177" t="n">
        <v>2</v>
      </c>
      <c r="E4527" s="178" t="inlineStr">
        <is>
          <t>1414/02/29</t>
        </is>
      </c>
      <c r="F4527" s="134" t="inlineStr">
        <is>
          <t>1414/02</t>
        </is>
      </c>
      <c r="G4527" s="61" t="inlineStr">
        <is>
          <t>اردیبهشت</t>
        </is>
      </c>
      <c r="H4527" s="134" t="inlineStr">
        <is>
          <t>بهار</t>
        </is>
      </c>
      <c r="I4527" s="134" t="inlineStr">
        <is>
          <t>شنبه</t>
        </is>
      </c>
      <c r="J4527" s="134" t="inlineStr">
        <is>
          <t>خیر</t>
        </is>
      </c>
    </row>
    <row r="4528">
      <c r="A4528" s="173" t="n">
        <v>49449</v>
      </c>
      <c r="B4528" s="174" t="n">
        <v>49449</v>
      </c>
      <c r="C4528" s="174" t="n">
        <v>1414</v>
      </c>
      <c r="D4528" s="174" t="n">
        <v>2</v>
      </c>
      <c r="E4528" s="175" t="inlineStr">
        <is>
          <t>1414/02/30</t>
        </is>
      </c>
      <c r="F4528" s="128" t="inlineStr">
        <is>
          <t>1414/02</t>
        </is>
      </c>
      <c r="G4528" s="58" t="inlineStr">
        <is>
          <t>اردیبهشت</t>
        </is>
      </c>
      <c r="H4528" s="128" t="inlineStr">
        <is>
          <t>بهار</t>
        </is>
      </c>
      <c r="I4528" s="128" t="inlineStr">
        <is>
          <t>یکشنبه</t>
        </is>
      </c>
      <c r="J4528" s="128" t="inlineStr">
        <is>
          <t>خیر</t>
        </is>
      </c>
    </row>
    <row r="4529">
      <c r="A4529" s="176" t="n">
        <v>49450</v>
      </c>
      <c r="B4529" s="177" t="n">
        <v>49450</v>
      </c>
      <c r="C4529" s="177" t="n">
        <v>1414</v>
      </c>
      <c r="D4529" s="177" t="n">
        <v>2</v>
      </c>
      <c r="E4529" s="178" t="inlineStr">
        <is>
          <t>1414/02/31</t>
        </is>
      </c>
      <c r="F4529" s="134" t="inlineStr">
        <is>
          <t>1414/02</t>
        </is>
      </c>
      <c r="G4529" s="61" t="inlineStr">
        <is>
          <t>اردیبهشت</t>
        </is>
      </c>
      <c r="H4529" s="134" t="inlineStr">
        <is>
          <t>بهار</t>
        </is>
      </c>
      <c r="I4529" s="134" t="inlineStr">
        <is>
          <t>دوشنبه</t>
        </is>
      </c>
      <c r="J4529" s="134" t="inlineStr">
        <is>
          <t>بله</t>
        </is>
      </c>
    </row>
    <row r="4530">
      <c r="A4530" s="173" t="n">
        <v>49451</v>
      </c>
      <c r="B4530" s="174" t="n">
        <v>49451</v>
      </c>
      <c r="C4530" s="174" t="n">
        <v>1414</v>
      </c>
      <c r="D4530" s="174" t="n">
        <v>3</v>
      </c>
      <c r="E4530" s="175" t="inlineStr">
        <is>
          <t>1414/03/01</t>
        </is>
      </c>
      <c r="F4530" s="128" t="inlineStr">
        <is>
          <t>1414/03</t>
        </is>
      </c>
      <c r="G4530" s="58" t="inlineStr">
        <is>
          <t>خرداد</t>
        </is>
      </c>
      <c r="H4530" s="128" t="inlineStr">
        <is>
          <t>بهار</t>
        </is>
      </c>
      <c r="I4530" s="128" t="inlineStr">
        <is>
          <t>سه‌شنبه</t>
        </is>
      </c>
      <c r="J4530" s="128" t="inlineStr">
        <is>
          <t>بله</t>
        </is>
      </c>
    </row>
    <row r="4531">
      <c r="A4531" s="176" t="n">
        <v>49452</v>
      </c>
      <c r="B4531" s="177" t="n">
        <v>49452</v>
      </c>
      <c r="C4531" s="177" t="n">
        <v>1414</v>
      </c>
      <c r="D4531" s="177" t="n">
        <v>3</v>
      </c>
      <c r="E4531" s="178" t="inlineStr">
        <is>
          <t>1414/03/02</t>
        </is>
      </c>
      <c r="F4531" s="134" t="inlineStr">
        <is>
          <t>1414/03</t>
        </is>
      </c>
      <c r="G4531" s="61" t="inlineStr">
        <is>
          <t>خرداد</t>
        </is>
      </c>
      <c r="H4531" s="134" t="inlineStr">
        <is>
          <t>بهار</t>
        </is>
      </c>
      <c r="I4531" s="134" t="inlineStr">
        <is>
          <t>چهارشنبه</t>
        </is>
      </c>
      <c r="J4531" s="134" t="inlineStr">
        <is>
          <t>بله</t>
        </is>
      </c>
    </row>
    <row r="4532">
      <c r="A4532" s="173" t="n">
        <v>49453</v>
      </c>
      <c r="B4532" s="174" t="n">
        <v>49453</v>
      </c>
      <c r="C4532" s="174" t="n">
        <v>1414</v>
      </c>
      <c r="D4532" s="174" t="n">
        <v>3</v>
      </c>
      <c r="E4532" s="175" t="inlineStr">
        <is>
          <t>1414/03/03</t>
        </is>
      </c>
      <c r="F4532" s="128" t="inlineStr">
        <is>
          <t>1414/03</t>
        </is>
      </c>
      <c r="G4532" s="58" t="inlineStr">
        <is>
          <t>خرداد</t>
        </is>
      </c>
      <c r="H4532" s="128" t="inlineStr">
        <is>
          <t>بهار</t>
        </is>
      </c>
      <c r="I4532" s="128" t="inlineStr">
        <is>
          <t>پنجشنبه</t>
        </is>
      </c>
      <c r="J4532" s="128" t="inlineStr">
        <is>
          <t>بله</t>
        </is>
      </c>
    </row>
    <row r="4533">
      <c r="A4533" s="176" t="n">
        <v>49454</v>
      </c>
      <c r="B4533" s="177" t="n">
        <v>49454</v>
      </c>
      <c r="C4533" s="177" t="n">
        <v>1414</v>
      </c>
      <c r="D4533" s="177" t="n">
        <v>3</v>
      </c>
      <c r="E4533" s="178" t="inlineStr">
        <is>
          <t>1414/03/04</t>
        </is>
      </c>
      <c r="F4533" s="134" t="inlineStr">
        <is>
          <t>1414/03</t>
        </is>
      </c>
      <c r="G4533" s="61" t="inlineStr">
        <is>
          <t>خرداد</t>
        </is>
      </c>
      <c r="H4533" s="134" t="inlineStr">
        <is>
          <t>بهار</t>
        </is>
      </c>
      <c r="I4533" s="134" t="inlineStr">
        <is>
          <t>جمعه</t>
        </is>
      </c>
      <c r="J4533" s="134" t="inlineStr">
        <is>
          <t>بله</t>
        </is>
      </c>
    </row>
    <row r="4534">
      <c r="A4534" s="173" t="n">
        <v>49455</v>
      </c>
      <c r="B4534" s="174" t="n">
        <v>49455</v>
      </c>
      <c r="C4534" s="174" t="n">
        <v>1414</v>
      </c>
      <c r="D4534" s="174" t="n">
        <v>3</v>
      </c>
      <c r="E4534" s="175" t="inlineStr">
        <is>
          <t>1414/03/05</t>
        </is>
      </c>
      <c r="F4534" s="128" t="inlineStr">
        <is>
          <t>1414/03</t>
        </is>
      </c>
      <c r="G4534" s="58" t="inlineStr">
        <is>
          <t>خرداد</t>
        </is>
      </c>
      <c r="H4534" s="128" t="inlineStr">
        <is>
          <t>بهار</t>
        </is>
      </c>
      <c r="I4534" s="128" t="inlineStr">
        <is>
          <t>شنبه</t>
        </is>
      </c>
      <c r="J4534" s="128" t="inlineStr">
        <is>
          <t>خیر</t>
        </is>
      </c>
    </row>
    <row r="4535">
      <c r="A4535" s="176" t="n">
        <v>49456</v>
      </c>
      <c r="B4535" s="177" t="n">
        <v>49456</v>
      </c>
      <c r="C4535" s="177" t="n">
        <v>1414</v>
      </c>
      <c r="D4535" s="177" t="n">
        <v>3</v>
      </c>
      <c r="E4535" s="178" t="inlineStr">
        <is>
          <t>1414/03/06</t>
        </is>
      </c>
      <c r="F4535" s="134" t="inlineStr">
        <is>
          <t>1414/03</t>
        </is>
      </c>
      <c r="G4535" s="61" t="inlineStr">
        <is>
          <t>خرداد</t>
        </is>
      </c>
      <c r="H4535" s="134" t="inlineStr">
        <is>
          <t>بهار</t>
        </is>
      </c>
      <c r="I4535" s="134" t="inlineStr">
        <is>
          <t>یکشنبه</t>
        </is>
      </c>
      <c r="J4535" s="134" t="inlineStr">
        <is>
          <t>خیر</t>
        </is>
      </c>
    </row>
    <row r="4536">
      <c r="A4536" s="173" t="n">
        <v>49457</v>
      </c>
      <c r="B4536" s="174" t="n">
        <v>49457</v>
      </c>
      <c r="C4536" s="174" t="n">
        <v>1414</v>
      </c>
      <c r="D4536" s="174" t="n">
        <v>3</v>
      </c>
      <c r="E4536" s="175" t="inlineStr">
        <is>
          <t>1414/03/07</t>
        </is>
      </c>
      <c r="F4536" s="128" t="inlineStr">
        <is>
          <t>1414/03</t>
        </is>
      </c>
      <c r="G4536" s="58" t="inlineStr">
        <is>
          <t>خرداد</t>
        </is>
      </c>
      <c r="H4536" s="128" t="inlineStr">
        <is>
          <t>بهار</t>
        </is>
      </c>
      <c r="I4536" s="128" t="inlineStr">
        <is>
          <t>دوشنبه</t>
        </is>
      </c>
      <c r="J4536" s="128" t="inlineStr">
        <is>
          <t>بله</t>
        </is>
      </c>
    </row>
    <row r="4537">
      <c r="A4537" s="176" t="n">
        <v>49458</v>
      </c>
      <c r="B4537" s="177" t="n">
        <v>49458</v>
      </c>
      <c r="C4537" s="177" t="n">
        <v>1414</v>
      </c>
      <c r="D4537" s="177" t="n">
        <v>3</v>
      </c>
      <c r="E4537" s="178" t="inlineStr">
        <is>
          <t>1414/03/08</t>
        </is>
      </c>
      <c r="F4537" s="134" t="inlineStr">
        <is>
          <t>1414/03</t>
        </is>
      </c>
      <c r="G4537" s="61" t="inlineStr">
        <is>
          <t>خرداد</t>
        </is>
      </c>
      <c r="H4537" s="134" t="inlineStr">
        <is>
          <t>بهار</t>
        </is>
      </c>
      <c r="I4537" s="134" t="inlineStr">
        <is>
          <t>سه‌شنبه</t>
        </is>
      </c>
      <c r="J4537" s="134" t="inlineStr">
        <is>
          <t>بله</t>
        </is>
      </c>
    </row>
    <row r="4538">
      <c r="A4538" s="173" t="n">
        <v>49459</v>
      </c>
      <c r="B4538" s="174" t="n">
        <v>49459</v>
      </c>
      <c r="C4538" s="174" t="n">
        <v>1414</v>
      </c>
      <c r="D4538" s="174" t="n">
        <v>3</v>
      </c>
      <c r="E4538" s="175" t="inlineStr">
        <is>
          <t>1414/03/09</t>
        </is>
      </c>
      <c r="F4538" s="128" t="inlineStr">
        <is>
          <t>1414/03</t>
        </is>
      </c>
      <c r="G4538" s="58" t="inlineStr">
        <is>
          <t>خرداد</t>
        </is>
      </c>
      <c r="H4538" s="128" t="inlineStr">
        <is>
          <t>بهار</t>
        </is>
      </c>
      <c r="I4538" s="128" t="inlineStr">
        <is>
          <t>چهارشنبه</t>
        </is>
      </c>
      <c r="J4538" s="128" t="inlineStr">
        <is>
          <t>بله</t>
        </is>
      </c>
    </row>
    <row r="4539">
      <c r="A4539" s="176" t="n">
        <v>49460</v>
      </c>
      <c r="B4539" s="177" t="n">
        <v>49460</v>
      </c>
      <c r="C4539" s="177" t="n">
        <v>1414</v>
      </c>
      <c r="D4539" s="177" t="n">
        <v>3</v>
      </c>
      <c r="E4539" s="178" t="inlineStr">
        <is>
          <t>1414/03/10</t>
        </is>
      </c>
      <c r="F4539" s="134" t="inlineStr">
        <is>
          <t>1414/03</t>
        </is>
      </c>
      <c r="G4539" s="61" t="inlineStr">
        <is>
          <t>خرداد</t>
        </is>
      </c>
      <c r="H4539" s="134" t="inlineStr">
        <is>
          <t>بهار</t>
        </is>
      </c>
      <c r="I4539" s="134" t="inlineStr">
        <is>
          <t>پنجشنبه</t>
        </is>
      </c>
      <c r="J4539" s="134" t="inlineStr">
        <is>
          <t>بله</t>
        </is>
      </c>
    </row>
    <row r="4540">
      <c r="A4540" s="173" t="n">
        <v>49461</v>
      </c>
      <c r="B4540" s="174" t="n">
        <v>49461</v>
      </c>
      <c r="C4540" s="174" t="n">
        <v>1414</v>
      </c>
      <c r="D4540" s="174" t="n">
        <v>3</v>
      </c>
      <c r="E4540" s="175" t="inlineStr">
        <is>
          <t>1414/03/11</t>
        </is>
      </c>
      <c r="F4540" s="128" t="inlineStr">
        <is>
          <t>1414/03</t>
        </is>
      </c>
      <c r="G4540" s="58" t="inlineStr">
        <is>
          <t>خرداد</t>
        </is>
      </c>
      <c r="H4540" s="128" t="inlineStr">
        <is>
          <t>بهار</t>
        </is>
      </c>
      <c r="I4540" s="128" t="inlineStr">
        <is>
          <t>جمعه</t>
        </is>
      </c>
      <c r="J4540" s="128" t="inlineStr">
        <is>
          <t>بله</t>
        </is>
      </c>
    </row>
    <row r="4541">
      <c r="A4541" s="176" t="n">
        <v>49462</v>
      </c>
      <c r="B4541" s="177" t="n">
        <v>49462</v>
      </c>
      <c r="C4541" s="177" t="n">
        <v>1414</v>
      </c>
      <c r="D4541" s="177" t="n">
        <v>3</v>
      </c>
      <c r="E4541" s="178" t="inlineStr">
        <is>
          <t>1414/03/12</t>
        </is>
      </c>
      <c r="F4541" s="134" t="inlineStr">
        <is>
          <t>1414/03</t>
        </is>
      </c>
      <c r="G4541" s="61" t="inlineStr">
        <is>
          <t>خرداد</t>
        </is>
      </c>
      <c r="H4541" s="134" t="inlineStr">
        <is>
          <t>بهار</t>
        </is>
      </c>
      <c r="I4541" s="134" t="inlineStr">
        <is>
          <t>شنبه</t>
        </is>
      </c>
      <c r="J4541" s="134" t="inlineStr">
        <is>
          <t>خیر</t>
        </is>
      </c>
    </row>
    <row r="4542">
      <c r="A4542" s="173" t="n">
        <v>49463</v>
      </c>
      <c r="B4542" s="174" t="n">
        <v>49463</v>
      </c>
      <c r="C4542" s="174" t="n">
        <v>1414</v>
      </c>
      <c r="D4542" s="174" t="n">
        <v>3</v>
      </c>
      <c r="E4542" s="175" t="inlineStr">
        <is>
          <t>1414/03/13</t>
        </is>
      </c>
      <c r="F4542" s="128" t="inlineStr">
        <is>
          <t>1414/03</t>
        </is>
      </c>
      <c r="G4542" s="58" t="inlineStr">
        <is>
          <t>خرداد</t>
        </is>
      </c>
      <c r="H4542" s="128" t="inlineStr">
        <is>
          <t>بهار</t>
        </is>
      </c>
      <c r="I4542" s="128" t="inlineStr">
        <is>
          <t>یکشنبه</t>
        </is>
      </c>
      <c r="J4542" s="128" t="inlineStr">
        <is>
          <t>خیر</t>
        </is>
      </c>
    </row>
    <row r="4543">
      <c r="A4543" s="176" t="n">
        <v>49464</v>
      </c>
      <c r="B4543" s="177" t="n">
        <v>49464</v>
      </c>
      <c r="C4543" s="177" t="n">
        <v>1414</v>
      </c>
      <c r="D4543" s="177" t="n">
        <v>3</v>
      </c>
      <c r="E4543" s="178" t="inlineStr">
        <is>
          <t>1414/03/14</t>
        </is>
      </c>
      <c r="F4543" s="134" t="inlineStr">
        <is>
          <t>1414/03</t>
        </is>
      </c>
      <c r="G4543" s="61" t="inlineStr">
        <is>
          <t>خرداد</t>
        </is>
      </c>
      <c r="H4543" s="134" t="inlineStr">
        <is>
          <t>بهار</t>
        </is>
      </c>
      <c r="I4543" s="134" t="inlineStr">
        <is>
          <t>دوشنبه</t>
        </is>
      </c>
      <c r="J4543" s="134" t="inlineStr">
        <is>
          <t>بله</t>
        </is>
      </c>
    </row>
    <row r="4544">
      <c r="A4544" s="173" t="n">
        <v>49465</v>
      </c>
      <c r="B4544" s="174" t="n">
        <v>49465</v>
      </c>
      <c r="C4544" s="174" t="n">
        <v>1414</v>
      </c>
      <c r="D4544" s="174" t="n">
        <v>3</v>
      </c>
      <c r="E4544" s="175" t="inlineStr">
        <is>
          <t>1414/03/15</t>
        </is>
      </c>
      <c r="F4544" s="128" t="inlineStr">
        <is>
          <t>1414/03</t>
        </is>
      </c>
      <c r="G4544" s="58" t="inlineStr">
        <is>
          <t>خرداد</t>
        </is>
      </c>
      <c r="H4544" s="128" t="inlineStr">
        <is>
          <t>بهار</t>
        </is>
      </c>
      <c r="I4544" s="128" t="inlineStr">
        <is>
          <t>سه‌شنبه</t>
        </is>
      </c>
      <c r="J4544" s="128" t="inlineStr">
        <is>
          <t>بله</t>
        </is>
      </c>
    </row>
    <row r="4545">
      <c r="A4545" s="176" t="n">
        <v>49466</v>
      </c>
      <c r="B4545" s="177" t="n">
        <v>49466</v>
      </c>
      <c r="C4545" s="177" t="n">
        <v>1414</v>
      </c>
      <c r="D4545" s="177" t="n">
        <v>3</v>
      </c>
      <c r="E4545" s="178" t="inlineStr">
        <is>
          <t>1414/03/16</t>
        </is>
      </c>
      <c r="F4545" s="134" t="inlineStr">
        <is>
          <t>1414/03</t>
        </is>
      </c>
      <c r="G4545" s="61" t="inlineStr">
        <is>
          <t>خرداد</t>
        </is>
      </c>
      <c r="H4545" s="134" t="inlineStr">
        <is>
          <t>بهار</t>
        </is>
      </c>
      <c r="I4545" s="134" t="inlineStr">
        <is>
          <t>چهارشنبه</t>
        </is>
      </c>
      <c r="J4545" s="134" t="inlineStr">
        <is>
          <t>بله</t>
        </is>
      </c>
    </row>
    <row r="4546">
      <c r="A4546" s="173" t="n">
        <v>49467</v>
      </c>
      <c r="B4546" s="174" t="n">
        <v>49467</v>
      </c>
      <c r="C4546" s="174" t="n">
        <v>1414</v>
      </c>
      <c r="D4546" s="174" t="n">
        <v>3</v>
      </c>
      <c r="E4546" s="175" t="inlineStr">
        <is>
          <t>1414/03/17</t>
        </is>
      </c>
      <c r="F4546" s="128" t="inlineStr">
        <is>
          <t>1414/03</t>
        </is>
      </c>
      <c r="G4546" s="58" t="inlineStr">
        <is>
          <t>خرداد</t>
        </is>
      </c>
      <c r="H4546" s="128" t="inlineStr">
        <is>
          <t>بهار</t>
        </is>
      </c>
      <c r="I4546" s="128" t="inlineStr">
        <is>
          <t>پنجشنبه</t>
        </is>
      </c>
      <c r="J4546" s="128" t="inlineStr">
        <is>
          <t>بله</t>
        </is>
      </c>
    </row>
    <row r="4547">
      <c r="A4547" s="176" t="n">
        <v>49468</v>
      </c>
      <c r="B4547" s="177" t="n">
        <v>49468</v>
      </c>
      <c r="C4547" s="177" t="n">
        <v>1414</v>
      </c>
      <c r="D4547" s="177" t="n">
        <v>3</v>
      </c>
      <c r="E4547" s="178" t="inlineStr">
        <is>
          <t>1414/03/18</t>
        </is>
      </c>
      <c r="F4547" s="134" t="inlineStr">
        <is>
          <t>1414/03</t>
        </is>
      </c>
      <c r="G4547" s="61" t="inlineStr">
        <is>
          <t>خرداد</t>
        </is>
      </c>
      <c r="H4547" s="134" t="inlineStr">
        <is>
          <t>بهار</t>
        </is>
      </c>
      <c r="I4547" s="134" t="inlineStr">
        <is>
          <t>جمعه</t>
        </is>
      </c>
      <c r="J4547" s="134" t="inlineStr">
        <is>
          <t>بله</t>
        </is>
      </c>
    </row>
    <row r="4548">
      <c r="A4548" s="173" t="n">
        <v>49469</v>
      </c>
      <c r="B4548" s="174" t="n">
        <v>49469</v>
      </c>
      <c r="C4548" s="174" t="n">
        <v>1414</v>
      </c>
      <c r="D4548" s="174" t="n">
        <v>3</v>
      </c>
      <c r="E4548" s="175" t="inlineStr">
        <is>
          <t>1414/03/19</t>
        </is>
      </c>
      <c r="F4548" s="128" t="inlineStr">
        <is>
          <t>1414/03</t>
        </is>
      </c>
      <c r="G4548" s="58" t="inlineStr">
        <is>
          <t>خرداد</t>
        </is>
      </c>
      <c r="H4548" s="128" t="inlineStr">
        <is>
          <t>بهار</t>
        </is>
      </c>
      <c r="I4548" s="128" t="inlineStr">
        <is>
          <t>شنبه</t>
        </is>
      </c>
      <c r="J4548" s="128" t="inlineStr">
        <is>
          <t>خیر</t>
        </is>
      </c>
    </row>
    <row r="4549">
      <c r="A4549" s="176" t="n">
        <v>49470</v>
      </c>
      <c r="B4549" s="177" t="n">
        <v>49470</v>
      </c>
      <c r="C4549" s="177" t="n">
        <v>1414</v>
      </c>
      <c r="D4549" s="177" t="n">
        <v>3</v>
      </c>
      <c r="E4549" s="178" t="inlineStr">
        <is>
          <t>1414/03/20</t>
        </is>
      </c>
      <c r="F4549" s="134" t="inlineStr">
        <is>
          <t>1414/03</t>
        </is>
      </c>
      <c r="G4549" s="61" t="inlineStr">
        <is>
          <t>خرداد</t>
        </is>
      </c>
      <c r="H4549" s="134" t="inlineStr">
        <is>
          <t>بهار</t>
        </is>
      </c>
      <c r="I4549" s="134" t="inlineStr">
        <is>
          <t>یکشنبه</t>
        </is>
      </c>
      <c r="J4549" s="134" t="inlineStr">
        <is>
          <t>خیر</t>
        </is>
      </c>
    </row>
    <row r="4550">
      <c r="A4550" s="173" t="n">
        <v>49471</v>
      </c>
      <c r="B4550" s="174" t="n">
        <v>49471</v>
      </c>
      <c r="C4550" s="174" t="n">
        <v>1414</v>
      </c>
      <c r="D4550" s="174" t="n">
        <v>3</v>
      </c>
      <c r="E4550" s="175" t="inlineStr">
        <is>
          <t>1414/03/21</t>
        </is>
      </c>
      <c r="F4550" s="128" t="inlineStr">
        <is>
          <t>1414/03</t>
        </is>
      </c>
      <c r="G4550" s="58" t="inlineStr">
        <is>
          <t>خرداد</t>
        </is>
      </c>
      <c r="H4550" s="128" t="inlineStr">
        <is>
          <t>بهار</t>
        </is>
      </c>
      <c r="I4550" s="128" t="inlineStr">
        <is>
          <t>دوشنبه</t>
        </is>
      </c>
      <c r="J4550" s="128" t="inlineStr">
        <is>
          <t>بله</t>
        </is>
      </c>
    </row>
    <row r="4551">
      <c r="A4551" s="176" t="n">
        <v>49472</v>
      </c>
      <c r="B4551" s="177" t="n">
        <v>49472</v>
      </c>
      <c r="C4551" s="177" t="n">
        <v>1414</v>
      </c>
      <c r="D4551" s="177" t="n">
        <v>3</v>
      </c>
      <c r="E4551" s="178" t="inlineStr">
        <is>
          <t>1414/03/22</t>
        </is>
      </c>
      <c r="F4551" s="134" t="inlineStr">
        <is>
          <t>1414/03</t>
        </is>
      </c>
      <c r="G4551" s="61" t="inlineStr">
        <is>
          <t>خرداد</t>
        </is>
      </c>
      <c r="H4551" s="134" t="inlineStr">
        <is>
          <t>بهار</t>
        </is>
      </c>
      <c r="I4551" s="134" t="inlineStr">
        <is>
          <t>سه‌شنبه</t>
        </is>
      </c>
      <c r="J4551" s="134" t="inlineStr">
        <is>
          <t>بله</t>
        </is>
      </c>
    </row>
    <row r="4552">
      <c r="A4552" s="173" t="n">
        <v>49473</v>
      </c>
      <c r="B4552" s="174" t="n">
        <v>49473</v>
      </c>
      <c r="C4552" s="174" t="n">
        <v>1414</v>
      </c>
      <c r="D4552" s="174" t="n">
        <v>3</v>
      </c>
      <c r="E4552" s="175" t="inlineStr">
        <is>
          <t>1414/03/23</t>
        </is>
      </c>
      <c r="F4552" s="128" t="inlineStr">
        <is>
          <t>1414/03</t>
        </is>
      </c>
      <c r="G4552" s="58" t="inlineStr">
        <is>
          <t>خرداد</t>
        </is>
      </c>
      <c r="H4552" s="128" t="inlineStr">
        <is>
          <t>بهار</t>
        </is>
      </c>
      <c r="I4552" s="128" t="inlineStr">
        <is>
          <t>چهارشنبه</t>
        </is>
      </c>
      <c r="J4552" s="128" t="inlineStr">
        <is>
          <t>بله</t>
        </is>
      </c>
    </row>
    <row r="4553">
      <c r="A4553" s="176" t="n">
        <v>49474</v>
      </c>
      <c r="B4553" s="177" t="n">
        <v>49474</v>
      </c>
      <c r="C4553" s="177" t="n">
        <v>1414</v>
      </c>
      <c r="D4553" s="177" t="n">
        <v>3</v>
      </c>
      <c r="E4553" s="178" t="inlineStr">
        <is>
          <t>1414/03/24</t>
        </is>
      </c>
      <c r="F4553" s="134" t="inlineStr">
        <is>
          <t>1414/03</t>
        </is>
      </c>
      <c r="G4553" s="61" t="inlineStr">
        <is>
          <t>خرداد</t>
        </is>
      </c>
      <c r="H4553" s="134" t="inlineStr">
        <is>
          <t>بهار</t>
        </is>
      </c>
      <c r="I4553" s="134" t="inlineStr">
        <is>
          <t>پنجشنبه</t>
        </is>
      </c>
      <c r="J4553" s="134" t="inlineStr">
        <is>
          <t>بله</t>
        </is>
      </c>
    </row>
    <row r="4554">
      <c r="A4554" s="173" t="n">
        <v>49475</v>
      </c>
      <c r="B4554" s="174" t="n">
        <v>49475</v>
      </c>
      <c r="C4554" s="174" t="n">
        <v>1414</v>
      </c>
      <c r="D4554" s="174" t="n">
        <v>3</v>
      </c>
      <c r="E4554" s="175" t="inlineStr">
        <is>
          <t>1414/03/25</t>
        </is>
      </c>
      <c r="F4554" s="128" t="inlineStr">
        <is>
          <t>1414/03</t>
        </is>
      </c>
      <c r="G4554" s="58" t="inlineStr">
        <is>
          <t>خرداد</t>
        </is>
      </c>
      <c r="H4554" s="128" t="inlineStr">
        <is>
          <t>بهار</t>
        </is>
      </c>
      <c r="I4554" s="128" t="inlineStr">
        <is>
          <t>جمعه</t>
        </is>
      </c>
      <c r="J4554" s="128" t="inlineStr">
        <is>
          <t>بله</t>
        </is>
      </c>
    </row>
    <row r="4555">
      <c r="A4555" s="176" t="n">
        <v>49476</v>
      </c>
      <c r="B4555" s="177" t="n">
        <v>49476</v>
      </c>
      <c r="C4555" s="177" t="n">
        <v>1414</v>
      </c>
      <c r="D4555" s="177" t="n">
        <v>3</v>
      </c>
      <c r="E4555" s="178" t="inlineStr">
        <is>
          <t>1414/03/26</t>
        </is>
      </c>
      <c r="F4555" s="134" t="inlineStr">
        <is>
          <t>1414/03</t>
        </is>
      </c>
      <c r="G4555" s="61" t="inlineStr">
        <is>
          <t>خرداد</t>
        </is>
      </c>
      <c r="H4555" s="134" t="inlineStr">
        <is>
          <t>بهار</t>
        </is>
      </c>
      <c r="I4555" s="134" t="inlineStr">
        <is>
          <t>شنبه</t>
        </is>
      </c>
      <c r="J4555" s="134" t="inlineStr">
        <is>
          <t>خیر</t>
        </is>
      </c>
    </row>
    <row r="4556">
      <c r="A4556" s="173" t="n">
        <v>49477</v>
      </c>
      <c r="B4556" s="174" t="n">
        <v>49477</v>
      </c>
      <c r="C4556" s="174" t="n">
        <v>1414</v>
      </c>
      <c r="D4556" s="174" t="n">
        <v>3</v>
      </c>
      <c r="E4556" s="175" t="inlineStr">
        <is>
          <t>1414/03/27</t>
        </is>
      </c>
      <c r="F4556" s="128" t="inlineStr">
        <is>
          <t>1414/03</t>
        </is>
      </c>
      <c r="G4556" s="58" t="inlineStr">
        <is>
          <t>خرداد</t>
        </is>
      </c>
      <c r="H4556" s="128" t="inlineStr">
        <is>
          <t>بهار</t>
        </is>
      </c>
      <c r="I4556" s="128" t="inlineStr">
        <is>
          <t>یکشنبه</t>
        </is>
      </c>
      <c r="J4556" s="128" t="inlineStr">
        <is>
          <t>خیر</t>
        </is>
      </c>
    </row>
    <row r="4557">
      <c r="A4557" s="176" t="n">
        <v>49478</v>
      </c>
      <c r="B4557" s="177" t="n">
        <v>49478</v>
      </c>
      <c r="C4557" s="177" t="n">
        <v>1414</v>
      </c>
      <c r="D4557" s="177" t="n">
        <v>3</v>
      </c>
      <c r="E4557" s="178" t="inlineStr">
        <is>
          <t>1414/03/28</t>
        </is>
      </c>
      <c r="F4557" s="134" t="inlineStr">
        <is>
          <t>1414/03</t>
        </is>
      </c>
      <c r="G4557" s="61" t="inlineStr">
        <is>
          <t>خرداد</t>
        </is>
      </c>
      <c r="H4557" s="134" t="inlineStr">
        <is>
          <t>بهار</t>
        </is>
      </c>
      <c r="I4557" s="134" t="inlineStr">
        <is>
          <t>دوشنبه</t>
        </is>
      </c>
      <c r="J4557" s="134" t="inlineStr">
        <is>
          <t>بله</t>
        </is>
      </c>
    </row>
    <row r="4558">
      <c r="A4558" s="173" t="n">
        <v>49479</v>
      </c>
      <c r="B4558" s="174" t="n">
        <v>49479</v>
      </c>
      <c r="C4558" s="174" t="n">
        <v>1414</v>
      </c>
      <c r="D4558" s="174" t="n">
        <v>3</v>
      </c>
      <c r="E4558" s="175" t="inlineStr">
        <is>
          <t>1414/03/29</t>
        </is>
      </c>
      <c r="F4558" s="128" t="inlineStr">
        <is>
          <t>1414/03</t>
        </is>
      </c>
      <c r="G4558" s="58" t="inlineStr">
        <is>
          <t>خرداد</t>
        </is>
      </c>
      <c r="H4558" s="128" t="inlineStr">
        <is>
          <t>بهار</t>
        </is>
      </c>
      <c r="I4558" s="128" t="inlineStr">
        <is>
          <t>سه‌شنبه</t>
        </is>
      </c>
      <c r="J4558" s="128" t="inlineStr">
        <is>
          <t>بله</t>
        </is>
      </c>
    </row>
    <row r="4559">
      <c r="A4559" s="176" t="n">
        <v>49480</v>
      </c>
      <c r="B4559" s="177" t="n">
        <v>49480</v>
      </c>
      <c r="C4559" s="177" t="n">
        <v>1414</v>
      </c>
      <c r="D4559" s="177" t="n">
        <v>3</v>
      </c>
      <c r="E4559" s="178" t="inlineStr">
        <is>
          <t>1414/03/30</t>
        </is>
      </c>
      <c r="F4559" s="134" t="inlineStr">
        <is>
          <t>1414/03</t>
        </is>
      </c>
      <c r="G4559" s="61" t="inlineStr">
        <is>
          <t>خرداد</t>
        </is>
      </c>
      <c r="H4559" s="134" t="inlineStr">
        <is>
          <t>بهار</t>
        </is>
      </c>
      <c r="I4559" s="134" t="inlineStr">
        <is>
          <t>چهارشنبه</t>
        </is>
      </c>
      <c r="J4559" s="134" t="inlineStr">
        <is>
          <t>بله</t>
        </is>
      </c>
    </row>
    <row r="4560">
      <c r="A4560" s="173" t="n">
        <v>49481</v>
      </c>
      <c r="B4560" s="174" t="n">
        <v>49481</v>
      </c>
      <c r="C4560" s="174" t="n">
        <v>1414</v>
      </c>
      <c r="D4560" s="174" t="n">
        <v>3</v>
      </c>
      <c r="E4560" s="175" t="inlineStr">
        <is>
          <t>1414/03/31</t>
        </is>
      </c>
      <c r="F4560" s="128" t="inlineStr">
        <is>
          <t>1414/03</t>
        </is>
      </c>
      <c r="G4560" s="58" t="inlineStr">
        <is>
          <t>خرداد</t>
        </is>
      </c>
      <c r="H4560" s="128" t="inlineStr">
        <is>
          <t>بهار</t>
        </is>
      </c>
      <c r="I4560" s="128" t="inlineStr">
        <is>
          <t>پنجشنبه</t>
        </is>
      </c>
      <c r="J4560" s="128" t="inlineStr">
        <is>
          <t>بله</t>
        </is>
      </c>
    </row>
    <row r="4561">
      <c r="A4561" s="176" t="n">
        <v>49482</v>
      </c>
      <c r="B4561" s="177" t="n">
        <v>49482</v>
      </c>
      <c r="C4561" s="177" t="n">
        <v>1414</v>
      </c>
      <c r="D4561" s="177" t="n">
        <v>4</v>
      </c>
      <c r="E4561" s="178" t="inlineStr">
        <is>
          <t>1414/04/01</t>
        </is>
      </c>
      <c r="F4561" s="134" t="inlineStr">
        <is>
          <t>1414/04</t>
        </is>
      </c>
      <c r="G4561" s="61" t="inlineStr">
        <is>
          <t>تیر</t>
        </is>
      </c>
      <c r="H4561" s="134" t="inlineStr">
        <is>
          <t>تابستان</t>
        </is>
      </c>
      <c r="I4561" s="134" t="inlineStr">
        <is>
          <t>جمعه</t>
        </is>
      </c>
      <c r="J4561" s="134" t="inlineStr">
        <is>
          <t>بله</t>
        </is>
      </c>
    </row>
    <row r="4562">
      <c r="A4562" s="173" t="n">
        <v>49483</v>
      </c>
      <c r="B4562" s="174" t="n">
        <v>49483</v>
      </c>
      <c r="C4562" s="174" t="n">
        <v>1414</v>
      </c>
      <c r="D4562" s="174" t="n">
        <v>4</v>
      </c>
      <c r="E4562" s="175" t="inlineStr">
        <is>
          <t>1414/04/02</t>
        </is>
      </c>
      <c r="F4562" s="128" t="inlineStr">
        <is>
          <t>1414/04</t>
        </is>
      </c>
      <c r="G4562" s="58" t="inlineStr">
        <is>
          <t>تیر</t>
        </is>
      </c>
      <c r="H4562" s="128" t="inlineStr">
        <is>
          <t>تابستان</t>
        </is>
      </c>
      <c r="I4562" s="128" t="inlineStr">
        <is>
          <t>شنبه</t>
        </is>
      </c>
      <c r="J4562" s="128" t="inlineStr">
        <is>
          <t>خیر</t>
        </is>
      </c>
    </row>
    <row r="4563">
      <c r="A4563" s="176" t="n">
        <v>49484</v>
      </c>
      <c r="B4563" s="177" t="n">
        <v>49484</v>
      </c>
      <c r="C4563" s="177" t="n">
        <v>1414</v>
      </c>
      <c r="D4563" s="177" t="n">
        <v>4</v>
      </c>
      <c r="E4563" s="178" t="inlineStr">
        <is>
          <t>1414/04/03</t>
        </is>
      </c>
      <c r="F4563" s="134" t="inlineStr">
        <is>
          <t>1414/04</t>
        </is>
      </c>
      <c r="G4563" s="61" t="inlineStr">
        <is>
          <t>تیر</t>
        </is>
      </c>
      <c r="H4563" s="134" t="inlineStr">
        <is>
          <t>تابستان</t>
        </is>
      </c>
      <c r="I4563" s="134" t="inlineStr">
        <is>
          <t>یکشنبه</t>
        </is>
      </c>
      <c r="J4563" s="134" t="inlineStr">
        <is>
          <t>خیر</t>
        </is>
      </c>
    </row>
    <row r="4564">
      <c r="A4564" s="173" t="n">
        <v>49485</v>
      </c>
      <c r="B4564" s="174" t="n">
        <v>49485</v>
      </c>
      <c r="C4564" s="174" t="n">
        <v>1414</v>
      </c>
      <c r="D4564" s="174" t="n">
        <v>4</v>
      </c>
      <c r="E4564" s="175" t="inlineStr">
        <is>
          <t>1414/04/04</t>
        </is>
      </c>
      <c r="F4564" s="128" t="inlineStr">
        <is>
          <t>1414/04</t>
        </is>
      </c>
      <c r="G4564" s="58" t="inlineStr">
        <is>
          <t>تیر</t>
        </is>
      </c>
      <c r="H4564" s="128" t="inlineStr">
        <is>
          <t>تابستان</t>
        </is>
      </c>
      <c r="I4564" s="128" t="inlineStr">
        <is>
          <t>دوشنبه</t>
        </is>
      </c>
      <c r="J4564" s="128" t="inlineStr">
        <is>
          <t>بله</t>
        </is>
      </c>
    </row>
    <row r="4565">
      <c r="A4565" s="176" t="n">
        <v>49486</v>
      </c>
      <c r="B4565" s="177" t="n">
        <v>49486</v>
      </c>
      <c r="C4565" s="177" t="n">
        <v>1414</v>
      </c>
      <c r="D4565" s="177" t="n">
        <v>4</v>
      </c>
      <c r="E4565" s="178" t="inlineStr">
        <is>
          <t>1414/04/05</t>
        </is>
      </c>
      <c r="F4565" s="134" t="inlineStr">
        <is>
          <t>1414/04</t>
        </is>
      </c>
      <c r="G4565" s="61" t="inlineStr">
        <is>
          <t>تیر</t>
        </is>
      </c>
      <c r="H4565" s="134" t="inlineStr">
        <is>
          <t>تابستان</t>
        </is>
      </c>
      <c r="I4565" s="134" t="inlineStr">
        <is>
          <t>سه‌شنبه</t>
        </is>
      </c>
      <c r="J4565" s="134" t="inlineStr">
        <is>
          <t>بله</t>
        </is>
      </c>
    </row>
    <row r="4566">
      <c r="A4566" s="173" t="n">
        <v>49487</v>
      </c>
      <c r="B4566" s="174" t="n">
        <v>49487</v>
      </c>
      <c r="C4566" s="174" t="n">
        <v>1414</v>
      </c>
      <c r="D4566" s="174" t="n">
        <v>4</v>
      </c>
      <c r="E4566" s="175" t="inlineStr">
        <is>
          <t>1414/04/06</t>
        </is>
      </c>
      <c r="F4566" s="128" t="inlineStr">
        <is>
          <t>1414/04</t>
        </is>
      </c>
      <c r="G4566" s="58" t="inlineStr">
        <is>
          <t>تیر</t>
        </is>
      </c>
      <c r="H4566" s="128" t="inlineStr">
        <is>
          <t>تابستان</t>
        </is>
      </c>
      <c r="I4566" s="128" t="inlineStr">
        <is>
          <t>چهارشنبه</t>
        </is>
      </c>
      <c r="J4566" s="128" t="inlineStr">
        <is>
          <t>بله</t>
        </is>
      </c>
    </row>
    <row r="4567">
      <c r="A4567" s="176" t="n">
        <v>49488</v>
      </c>
      <c r="B4567" s="177" t="n">
        <v>49488</v>
      </c>
      <c r="C4567" s="177" t="n">
        <v>1414</v>
      </c>
      <c r="D4567" s="177" t="n">
        <v>4</v>
      </c>
      <c r="E4567" s="178" t="inlineStr">
        <is>
          <t>1414/04/07</t>
        </is>
      </c>
      <c r="F4567" s="134" t="inlineStr">
        <is>
          <t>1414/04</t>
        </is>
      </c>
      <c r="G4567" s="61" t="inlineStr">
        <is>
          <t>تیر</t>
        </is>
      </c>
      <c r="H4567" s="134" t="inlineStr">
        <is>
          <t>تابستان</t>
        </is>
      </c>
      <c r="I4567" s="134" t="inlineStr">
        <is>
          <t>پنجشنبه</t>
        </is>
      </c>
      <c r="J4567" s="134" t="inlineStr">
        <is>
          <t>بله</t>
        </is>
      </c>
    </row>
    <row r="4568">
      <c r="A4568" s="173" t="n">
        <v>49489</v>
      </c>
      <c r="B4568" s="174" t="n">
        <v>49489</v>
      </c>
      <c r="C4568" s="174" t="n">
        <v>1414</v>
      </c>
      <c r="D4568" s="174" t="n">
        <v>4</v>
      </c>
      <c r="E4568" s="175" t="inlineStr">
        <is>
          <t>1414/04/08</t>
        </is>
      </c>
      <c r="F4568" s="128" t="inlineStr">
        <is>
          <t>1414/04</t>
        </is>
      </c>
      <c r="G4568" s="58" t="inlineStr">
        <is>
          <t>تیر</t>
        </is>
      </c>
      <c r="H4568" s="128" t="inlineStr">
        <is>
          <t>تابستان</t>
        </is>
      </c>
      <c r="I4568" s="128" t="inlineStr">
        <is>
          <t>جمعه</t>
        </is>
      </c>
      <c r="J4568" s="128" t="inlineStr">
        <is>
          <t>بله</t>
        </is>
      </c>
    </row>
    <row r="4569">
      <c r="A4569" s="176" t="n">
        <v>49490</v>
      </c>
      <c r="B4569" s="177" t="n">
        <v>49490</v>
      </c>
      <c r="C4569" s="177" t="n">
        <v>1414</v>
      </c>
      <c r="D4569" s="177" t="n">
        <v>4</v>
      </c>
      <c r="E4569" s="178" t="inlineStr">
        <is>
          <t>1414/04/09</t>
        </is>
      </c>
      <c r="F4569" s="134" t="inlineStr">
        <is>
          <t>1414/04</t>
        </is>
      </c>
      <c r="G4569" s="61" t="inlineStr">
        <is>
          <t>تیر</t>
        </is>
      </c>
      <c r="H4569" s="134" t="inlineStr">
        <is>
          <t>تابستان</t>
        </is>
      </c>
      <c r="I4569" s="134" t="inlineStr">
        <is>
          <t>شنبه</t>
        </is>
      </c>
      <c r="J4569" s="134" t="inlineStr">
        <is>
          <t>خیر</t>
        </is>
      </c>
    </row>
    <row r="4570">
      <c r="A4570" s="173" t="n">
        <v>49491</v>
      </c>
      <c r="B4570" s="174" t="n">
        <v>49491</v>
      </c>
      <c r="C4570" s="174" t="n">
        <v>1414</v>
      </c>
      <c r="D4570" s="174" t="n">
        <v>4</v>
      </c>
      <c r="E4570" s="175" t="inlineStr">
        <is>
          <t>1414/04/10</t>
        </is>
      </c>
      <c r="F4570" s="128" t="inlineStr">
        <is>
          <t>1414/04</t>
        </is>
      </c>
      <c r="G4570" s="58" t="inlineStr">
        <is>
          <t>تیر</t>
        </is>
      </c>
      <c r="H4570" s="128" t="inlineStr">
        <is>
          <t>تابستان</t>
        </is>
      </c>
      <c r="I4570" s="128" t="inlineStr">
        <is>
          <t>یکشنبه</t>
        </is>
      </c>
      <c r="J4570" s="128" t="inlineStr">
        <is>
          <t>خیر</t>
        </is>
      </c>
    </row>
    <row r="4571">
      <c r="A4571" s="176" t="n">
        <v>49492</v>
      </c>
      <c r="B4571" s="177" t="n">
        <v>49492</v>
      </c>
      <c r="C4571" s="177" t="n">
        <v>1414</v>
      </c>
      <c r="D4571" s="177" t="n">
        <v>4</v>
      </c>
      <c r="E4571" s="178" t="inlineStr">
        <is>
          <t>1414/04/11</t>
        </is>
      </c>
      <c r="F4571" s="134" t="inlineStr">
        <is>
          <t>1414/04</t>
        </is>
      </c>
      <c r="G4571" s="61" t="inlineStr">
        <is>
          <t>تیر</t>
        </is>
      </c>
      <c r="H4571" s="134" t="inlineStr">
        <is>
          <t>تابستان</t>
        </is>
      </c>
      <c r="I4571" s="134" t="inlineStr">
        <is>
          <t>دوشنبه</t>
        </is>
      </c>
      <c r="J4571" s="134" t="inlineStr">
        <is>
          <t>بله</t>
        </is>
      </c>
    </row>
    <row r="4572">
      <c r="A4572" s="173" t="n">
        <v>49493</v>
      </c>
      <c r="B4572" s="174" t="n">
        <v>49493</v>
      </c>
      <c r="C4572" s="174" t="n">
        <v>1414</v>
      </c>
      <c r="D4572" s="174" t="n">
        <v>4</v>
      </c>
      <c r="E4572" s="175" t="inlineStr">
        <is>
          <t>1414/04/12</t>
        </is>
      </c>
      <c r="F4572" s="128" t="inlineStr">
        <is>
          <t>1414/04</t>
        </is>
      </c>
      <c r="G4572" s="58" t="inlineStr">
        <is>
          <t>تیر</t>
        </is>
      </c>
      <c r="H4572" s="128" t="inlineStr">
        <is>
          <t>تابستان</t>
        </is>
      </c>
      <c r="I4572" s="128" t="inlineStr">
        <is>
          <t>سه‌شنبه</t>
        </is>
      </c>
      <c r="J4572" s="128" t="inlineStr">
        <is>
          <t>بله</t>
        </is>
      </c>
    </row>
    <row r="4573">
      <c r="A4573" s="176" t="n">
        <v>49494</v>
      </c>
      <c r="B4573" s="177" t="n">
        <v>49494</v>
      </c>
      <c r="C4573" s="177" t="n">
        <v>1414</v>
      </c>
      <c r="D4573" s="177" t="n">
        <v>4</v>
      </c>
      <c r="E4573" s="178" t="inlineStr">
        <is>
          <t>1414/04/13</t>
        </is>
      </c>
      <c r="F4573" s="134" t="inlineStr">
        <is>
          <t>1414/04</t>
        </is>
      </c>
      <c r="G4573" s="61" t="inlineStr">
        <is>
          <t>تیر</t>
        </is>
      </c>
      <c r="H4573" s="134" t="inlineStr">
        <is>
          <t>تابستان</t>
        </is>
      </c>
      <c r="I4573" s="134" t="inlineStr">
        <is>
          <t>چهارشنبه</t>
        </is>
      </c>
      <c r="J4573" s="134" t="inlineStr">
        <is>
          <t>بله</t>
        </is>
      </c>
    </row>
    <row r="4574">
      <c r="A4574" s="173" t="n">
        <v>49495</v>
      </c>
      <c r="B4574" s="174" t="n">
        <v>49495</v>
      </c>
      <c r="C4574" s="174" t="n">
        <v>1414</v>
      </c>
      <c r="D4574" s="174" t="n">
        <v>4</v>
      </c>
      <c r="E4574" s="175" t="inlineStr">
        <is>
          <t>1414/04/14</t>
        </is>
      </c>
      <c r="F4574" s="128" t="inlineStr">
        <is>
          <t>1414/04</t>
        </is>
      </c>
      <c r="G4574" s="58" t="inlineStr">
        <is>
          <t>تیر</t>
        </is>
      </c>
      <c r="H4574" s="128" t="inlineStr">
        <is>
          <t>تابستان</t>
        </is>
      </c>
      <c r="I4574" s="128" t="inlineStr">
        <is>
          <t>پنجشنبه</t>
        </is>
      </c>
      <c r="J4574" s="128" t="inlineStr">
        <is>
          <t>بله</t>
        </is>
      </c>
    </row>
    <row r="4575">
      <c r="A4575" s="176" t="n">
        <v>49496</v>
      </c>
      <c r="B4575" s="177" t="n">
        <v>49496</v>
      </c>
      <c r="C4575" s="177" t="n">
        <v>1414</v>
      </c>
      <c r="D4575" s="177" t="n">
        <v>4</v>
      </c>
      <c r="E4575" s="178" t="inlineStr">
        <is>
          <t>1414/04/15</t>
        </is>
      </c>
      <c r="F4575" s="134" t="inlineStr">
        <is>
          <t>1414/04</t>
        </is>
      </c>
      <c r="G4575" s="61" t="inlineStr">
        <is>
          <t>تیر</t>
        </is>
      </c>
      <c r="H4575" s="134" t="inlineStr">
        <is>
          <t>تابستان</t>
        </is>
      </c>
      <c r="I4575" s="134" t="inlineStr">
        <is>
          <t>جمعه</t>
        </is>
      </c>
      <c r="J4575" s="134" t="inlineStr">
        <is>
          <t>بله</t>
        </is>
      </c>
    </row>
    <row r="4576">
      <c r="A4576" s="173" t="n">
        <v>49497</v>
      </c>
      <c r="B4576" s="174" t="n">
        <v>49497</v>
      </c>
      <c r="C4576" s="174" t="n">
        <v>1414</v>
      </c>
      <c r="D4576" s="174" t="n">
        <v>4</v>
      </c>
      <c r="E4576" s="175" t="inlineStr">
        <is>
          <t>1414/04/16</t>
        </is>
      </c>
      <c r="F4576" s="128" t="inlineStr">
        <is>
          <t>1414/04</t>
        </is>
      </c>
      <c r="G4576" s="58" t="inlineStr">
        <is>
          <t>تیر</t>
        </is>
      </c>
      <c r="H4576" s="128" t="inlineStr">
        <is>
          <t>تابستان</t>
        </is>
      </c>
      <c r="I4576" s="128" t="inlineStr">
        <is>
          <t>شنبه</t>
        </is>
      </c>
      <c r="J4576" s="128" t="inlineStr">
        <is>
          <t>خیر</t>
        </is>
      </c>
    </row>
    <row r="4577">
      <c r="A4577" s="176" t="n">
        <v>49498</v>
      </c>
      <c r="B4577" s="177" t="n">
        <v>49498</v>
      </c>
      <c r="C4577" s="177" t="n">
        <v>1414</v>
      </c>
      <c r="D4577" s="177" t="n">
        <v>4</v>
      </c>
      <c r="E4577" s="178" t="inlineStr">
        <is>
          <t>1414/04/17</t>
        </is>
      </c>
      <c r="F4577" s="134" t="inlineStr">
        <is>
          <t>1414/04</t>
        </is>
      </c>
      <c r="G4577" s="61" t="inlineStr">
        <is>
          <t>تیر</t>
        </is>
      </c>
      <c r="H4577" s="134" t="inlineStr">
        <is>
          <t>تابستان</t>
        </is>
      </c>
      <c r="I4577" s="134" t="inlineStr">
        <is>
          <t>یکشنبه</t>
        </is>
      </c>
      <c r="J4577" s="134" t="inlineStr">
        <is>
          <t>خیر</t>
        </is>
      </c>
    </row>
    <row r="4578">
      <c r="A4578" s="173" t="n">
        <v>49499</v>
      </c>
      <c r="B4578" s="174" t="n">
        <v>49499</v>
      </c>
      <c r="C4578" s="174" t="n">
        <v>1414</v>
      </c>
      <c r="D4578" s="174" t="n">
        <v>4</v>
      </c>
      <c r="E4578" s="175" t="inlineStr">
        <is>
          <t>1414/04/18</t>
        </is>
      </c>
      <c r="F4578" s="128" t="inlineStr">
        <is>
          <t>1414/04</t>
        </is>
      </c>
      <c r="G4578" s="58" t="inlineStr">
        <is>
          <t>تیر</t>
        </is>
      </c>
      <c r="H4578" s="128" t="inlineStr">
        <is>
          <t>تابستان</t>
        </is>
      </c>
      <c r="I4578" s="128" t="inlineStr">
        <is>
          <t>دوشنبه</t>
        </is>
      </c>
      <c r="J4578" s="128" t="inlineStr">
        <is>
          <t>بله</t>
        </is>
      </c>
    </row>
    <row r="4579">
      <c r="A4579" s="176" t="n">
        <v>49500</v>
      </c>
      <c r="B4579" s="177" t="n">
        <v>49500</v>
      </c>
      <c r="C4579" s="177" t="n">
        <v>1414</v>
      </c>
      <c r="D4579" s="177" t="n">
        <v>4</v>
      </c>
      <c r="E4579" s="178" t="inlineStr">
        <is>
          <t>1414/04/19</t>
        </is>
      </c>
      <c r="F4579" s="134" t="inlineStr">
        <is>
          <t>1414/04</t>
        </is>
      </c>
      <c r="G4579" s="61" t="inlineStr">
        <is>
          <t>تیر</t>
        </is>
      </c>
      <c r="H4579" s="134" t="inlineStr">
        <is>
          <t>تابستان</t>
        </is>
      </c>
      <c r="I4579" s="134" t="inlineStr">
        <is>
          <t>سه‌شنبه</t>
        </is>
      </c>
      <c r="J4579" s="134" t="inlineStr">
        <is>
          <t>بله</t>
        </is>
      </c>
    </row>
    <row r="4580">
      <c r="A4580" s="173" t="n">
        <v>49501</v>
      </c>
      <c r="B4580" s="174" t="n">
        <v>49501</v>
      </c>
      <c r="C4580" s="174" t="n">
        <v>1414</v>
      </c>
      <c r="D4580" s="174" t="n">
        <v>4</v>
      </c>
      <c r="E4580" s="175" t="inlineStr">
        <is>
          <t>1414/04/20</t>
        </is>
      </c>
      <c r="F4580" s="128" t="inlineStr">
        <is>
          <t>1414/04</t>
        </is>
      </c>
      <c r="G4580" s="58" t="inlineStr">
        <is>
          <t>تیر</t>
        </is>
      </c>
      <c r="H4580" s="128" t="inlineStr">
        <is>
          <t>تابستان</t>
        </is>
      </c>
      <c r="I4580" s="128" t="inlineStr">
        <is>
          <t>چهارشنبه</t>
        </is>
      </c>
      <c r="J4580" s="128" t="inlineStr">
        <is>
          <t>بله</t>
        </is>
      </c>
    </row>
    <row r="4581">
      <c r="A4581" s="176" t="n">
        <v>49502</v>
      </c>
      <c r="B4581" s="177" t="n">
        <v>49502</v>
      </c>
      <c r="C4581" s="177" t="n">
        <v>1414</v>
      </c>
      <c r="D4581" s="177" t="n">
        <v>4</v>
      </c>
      <c r="E4581" s="178" t="inlineStr">
        <is>
          <t>1414/04/21</t>
        </is>
      </c>
      <c r="F4581" s="134" t="inlineStr">
        <is>
          <t>1414/04</t>
        </is>
      </c>
      <c r="G4581" s="61" t="inlineStr">
        <is>
          <t>تیر</t>
        </is>
      </c>
      <c r="H4581" s="134" t="inlineStr">
        <is>
          <t>تابستان</t>
        </is>
      </c>
      <c r="I4581" s="134" t="inlineStr">
        <is>
          <t>پنجشنبه</t>
        </is>
      </c>
      <c r="J4581" s="134" t="inlineStr">
        <is>
          <t>بله</t>
        </is>
      </c>
    </row>
    <row r="4582">
      <c r="A4582" s="173" t="n">
        <v>49503</v>
      </c>
      <c r="B4582" s="174" t="n">
        <v>49503</v>
      </c>
      <c r="C4582" s="174" t="n">
        <v>1414</v>
      </c>
      <c r="D4582" s="174" t="n">
        <v>4</v>
      </c>
      <c r="E4582" s="175" t="inlineStr">
        <is>
          <t>1414/04/22</t>
        </is>
      </c>
      <c r="F4582" s="128" t="inlineStr">
        <is>
          <t>1414/04</t>
        </is>
      </c>
      <c r="G4582" s="58" t="inlineStr">
        <is>
          <t>تیر</t>
        </is>
      </c>
      <c r="H4582" s="128" t="inlineStr">
        <is>
          <t>تابستان</t>
        </is>
      </c>
      <c r="I4582" s="128" t="inlineStr">
        <is>
          <t>جمعه</t>
        </is>
      </c>
      <c r="J4582" s="128" t="inlineStr">
        <is>
          <t>بله</t>
        </is>
      </c>
    </row>
    <row r="4583">
      <c r="A4583" s="176" t="n">
        <v>49504</v>
      </c>
      <c r="B4583" s="177" t="n">
        <v>49504</v>
      </c>
      <c r="C4583" s="177" t="n">
        <v>1414</v>
      </c>
      <c r="D4583" s="177" t="n">
        <v>4</v>
      </c>
      <c r="E4583" s="178" t="inlineStr">
        <is>
          <t>1414/04/23</t>
        </is>
      </c>
      <c r="F4583" s="134" t="inlineStr">
        <is>
          <t>1414/04</t>
        </is>
      </c>
      <c r="G4583" s="61" t="inlineStr">
        <is>
          <t>تیر</t>
        </is>
      </c>
      <c r="H4583" s="134" t="inlineStr">
        <is>
          <t>تابستان</t>
        </is>
      </c>
      <c r="I4583" s="134" t="inlineStr">
        <is>
          <t>شنبه</t>
        </is>
      </c>
      <c r="J4583" s="134" t="inlineStr">
        <is>
          <t>خیر</t>
        </is>
      </c>
    </row>
    <row r="4584">
      <c r="A4584" s="173" t="n">
        <v>49505</v>
      </c>
      <c r="B4584" s="174" t="n">
        <v>49505</v>
      </c>
      <c r="C4584" s="174" t="n">
        <v>1414</v>
      </c>
      <c r="D4584" s="174" t="n">
        <v>4</v>
      </c>
      <c r="E4584" s="175" t="inlineStr">
        <is>
          <t>1414/04/24</t>
        </is>
      </c>
      <c r="F4584" s="128" t="inlineStr">
        <is>
          <t>1414/04</t>
        </is>
      </c>
      <c r="G4584" s="58" t="inlineStr">
        <is>
          <t>تیر</t>
        </is>
      </c>
      <c r="H4584" s="128" t="inlineStr">
        <is>
          <t>تابستان</t>
        </is>
      </c>
      <c r="I4584" s="128" t="inlineStr">
        <is>
          <t>یکشنبه</t>
        </is>
      </c>
      <c r="J4584" s="128" t="inlineStr">
        <is>
          <t>خیر</t>
        </is>
      </c>
    </row>
    <row r="4585">
      <c r="A4585" s="176" t="n">
        <v>49506</v>
      </c>
      <c r="B4585" s="177" t="n">
        <v>49506</v>
      </c>
      <c r="C4585" s="177" t="n">
        <v>1414</v>
      </c>
      <c r="D4585" s="177" t="n">
        <v>4</v>
      </c>
      <c r="E4585" s="178" t="inlineStr">
        <is>
          <t>1414/04/25</t>
        </is>
      </c>
      <c r="F4585" s="134" t="inlineStr">
        <is>
          <t>1414/04</t>
        </is>
      </c>
      <c r="G4585" s="61" t="inlineStr">
        <is>
          <t>تیر</t>
        </is>
      </c>
      <c r="H4585" s="134" t="inlineStr">
        <is>
          <t>تابستان</t>
        </is>
      </c>
      <c r="I4585" s="134" t="inlineStr">
        <is>
          <t>دوشنبه</t>
        </is>
      </c>
      <c r="J4585" s="134" t="inlineStr">
        <is>
          <t>بله</t>
        </is>
      </c>
    </row>
    <row r="4586">
      <c r="A4586" s="173" t="n">
        <v>49507</v>
      </c>
      <c r="B4586" s="174" t="n">
        <v>49507</v>
      </c>
      <c r="C4586" s="174" t="n">
        <v>1414</v>
      </c>
      <c r="D4586" s="174" t="n">
        <v>4</v>
      </c>
      <c r="E4586" s="175" t="inlineStr">
        <is>
          <t>1414/04/26</t>
        </is>
      </c>
      <c r="F4586" s="128" t="inlineStr">
        <is>
          <t>1414/04</t>
        </is>
      </c>
      <c r="G4586" s="58" t="inlineStr">
        <is>
          <t>تیر</t>
        </is>
      </c>
      <c r="H4586" s="128" t="inlineStr">
        <is>
          <t>تابستان</t>
        </is>
      </c>
      <c r="I4586" s="128" t="inlineStr">
        <is>
          <t>سه‌شنبه</t>
        </is>
      </c>
      <c r="J4586" s="128" t="inlineStr">
        <is>
          <t>بله</t>
        </is>
      </c>
    </row>
    <row r="4587">
      <c r="A4587" s="176" t="n">
        <v>49508</v>
      </c>
      <c r="B4587" s="177" t="n">
        <v>49508</v>
      </c>
      <c r="C4587" s="177" t="n">
        <v>1414</v>
      </c>
      <c r="D4587" s="177" t="n">
        <v>4</v>
      </c>
      <c r="E4587" s="178" t="inlineStr">
        <is>
          <t>1414/04/27</t>
        </is>
      </c>
      <c r="F4587" s="134" t="inlineStr">
        <is>
          <t>1414/04</t>
        </is>
      </c>
      <c r="G4587" s="61" t="inlineStr">
        <is>
          <t>تیر</t>
        </is>
      </c>
      <c r="H4587" s="134" t="inlineStr">
        <is>
          <t>تابستان</t>
        </is>
      </c>
      <c r="I4587" s="134" t="inlineStr">
        <is>
          <t>چهارشنبه</t>
        </is>
      </c>
      <c r="J4587" s="134" t="inlineStr">
        <is>
          <t>بله</t>
        </is>
      </c>
    </row>
    <row r="4588">
      <c r="A4588" s="173" t="n">
        <v>49509</v>
      </c>
      <c r="B4588" s="174" t="n">
        <v>49509</v>
      </c>
      <c r="C4588" s="174" t="n">
        <v>1414</v>
      </c>
      <c r="D4588" s="174" t="n">
        <v>4</v>
      </c>
      <c r="E4588" s="175" t="inlineStr">
        <is>
          <t>1414/04/28</t>
        </is>
      </c>
      <c r="F4588" s="128" t="inlineStr">
        <is>
          <t>1414/04</t>
        </is>
      </c>
      <c r="G4588" s="58" t="inlineStr">
        <is>
          <t>تیر</t>
        </is>
      </c>
      <c r="H4588" s="128" t="inlineStr">
        <is>
          <t>تابستان</t>
        </is>
      </c>
      <c r="I4588" s="128" t="inlineStr">
        <is>
          <t>پنجشنبه</t>
        </is>
      </c>
      <c r="J4588" s="128" t="inlineStr">
        <is>
          <t>بله</t>
        </is>
      </c>
    </row>
    <row r="4589">
      <c r="A4589" s="176" t="n">
        <v>49510</v>
      </c>
      <c r="B4589" s="177" t="n">
        <v>49510</v>
      </c>
      <c r="C4589" s="177" t="n">
        <v>1414</v>
      </c>
      <c r="D4589" s="177" t="n">
        <v>4</v>
      </c>
      <c r="E4589" s="178" t="inlineStr">
        <is>
          <t>1414/04/29</t>
        </is>
      </c>
      <c r="F4589" s="134" t="inlineStr">
        <is>
          <t>1414/04</t>
        </is>
      </c>
      <c r="G4589" s="61" t="inlineStr">
        <is>
          <t>تیر</t>
        </is>
      </c>
      <c r="H4589" s="134" t="inlineStr">
        <is>
          <t>تابستان</t>
        </is>
      </c>
      <c r="I4589" s="134" t="inlineStr">
        <is>
          <t>جمعه</t>
        </is>
      </c>
      <c r="J4589" s="134" t="inlineStr">
        <is>
          <t>بله</t>
        </is>
      </c>
    </row>
    <row r="4590">
      <c r="A4590" s="173" t="n">
        <v>49511</v>
      </c>
      <c r="B4590" s="174" t="n">
        <v>49511</v>
      </c>
      <c r="C4590" s="174" t="n">
        <v>1414</v>
      </c>
      <c r="D4590" s="174" t="n">
        <v>4</v>
      </c>
      <c r="E4590" s="175" t="inlineStr">
        <is>
          <t>1414/04/30</t>
        </is>
      </c>
      <c r="F4590" s="128" t="inlineStr">
        <is>
          <t>1414/04</t>
        </is>
      </c>
      <c r="G4590" s="58" t="inlineStr">
        <is>
          <t>تیر</t>
        </is>
      </c>
      <c r="H4590" s="128" t="inlineStr">
        <is>
          <t>تابستان</t>
        </is>
      </c>
      <c r="I4590" s="128" t="inlineStr">
        <is>
          <t>شنبه</t>
        </is>
      </c>
      <c r="J4590" s="128" t="inlineStr">
        <is>
          <t>خیر</t>
        </is>
      </c>
    </row>
    <row r="4591">
      <c r="A4591" s="176" t="n">
        <v>49512</v>
      </c>
      <c r="B4591" s="177" t="n">
        <v>49512</v>
      </c>
      <c r="C4591" s="177" t="n">
        <v>1414</v>
      </c>
      <c r="D4591" s="177" t="n">
        <v>4</v>
      </c>
      <c r="E4591" s="178" t="inlineStr">
        <is>
          <t>1414/04/31</t>
        </is>
      </c>
      <c r="F4591" s="134" t="inlineStr">
        <is>
          <t>1414/04</t>
        </is>
      </c>
      <c r="G4591" s="61" t="inlineStr">
        <is>
          <t>تیر</t>
        </is>
      </c>
      <c r="H4591" s="134" t="inlineStr">
        <is>
          <t>تابستان</t>
        </is>
      </c>
      <c r="I4591" s="134" t="inlineStr">
        <is>
          <t>یکشنبه</t>
        </is>
      </c>
      <c r="J4591" s="134" t="inlineStr">
        <is>
          <t>خیر</t>
        </is>
      </c>
    </row>
    <row r="4592">
      <c r="A4592" s="173" t="n">
        <v>49513</v>
      </c>
      <c r="B4592" s="174" t="n">
        <v>49513</v>
      </c>
      <c r="C4592" s="174" t="n">
        <v>1414</v>
      </c>
      <c r="D4592" s="174" t="n">
        <v>5</v>
      </c>
      <c r="E4592" s="175" t="inlineStr">
        <is>
          <t>1414/05/01</t>
        </is>
      </c>
      <c r="F4592" s="128" t="inlineStr">
        <is>
          <t>1414/05</t>
        </is>
      </c>
      <c r="G4592" s="58" t="inlineStr">
        <is>
          <t>مرداد</t>
        </is>
      </c>
      <c r="H4592" s="128" t="inlineStr">
        <is>
          <t>تابستان</t>
        </is>
      </c>
      <c r="I4592" s="128" t="inlineStr">
        <is>
          <t>دوشنبه</t>
        </is>
      </c>
      <c r="J4592" s="128" t="inlineStr">
        <is>
          <t>بله</t>
        </is>
      </c>
    </row>
    <row r="4593">
      <c r="A4593" s="176" t="n">
        <v>49514</v>
      </c>
      <c r="B4593" s="177" t="n">
        <v>49514</v>
      </c>
      <c r="C4593" s="177" t="n">
        <v>1414</v>
      </c>
      <c r="D4593" s="177" t="n">
        <v>5</v>
      </c>
      <c r="E4593" s="178" t="inlineStr">
        <is>
          <t>1414/05/02</t>
        </is>
      </c>
      <c r="F4593" s="134" t="inlineStr">
        <is>
          <t>1414/05</t>
        </is>
      </c>
      <c r="G4593" s="61" t="inlineStr">
        <is>
          <t>مرداد</t>
        </is>
      </c>
      <c r="H4593" s="134" t="inlineStr">
        <is>
          <t>تابستان</t>
        </is>
      </c>
      <c r="I4593" s="134" t="inlineStr">
        <is>
          <t>سه‌شنبه</t>
        </is>
      </c>
      <c r="J4593" s="134" t="inlineStr">
        <is>
          <t>بله</t>
        </is>
      </c>
    </row>
    <row r="4594">
      <c r="A4594" s="173" t="n">
        <v>49515</v>
      </c>
      <c r="B4594" s="174" t="n">
        <v>49515</v>
      </c>
      <c r="C4594" s="174" t="n">
        <v>1414</v>
      </c>
      <c r="D4594" s="174" t="n">
        <v>5</v>
      </c>
      <c r="E4594" s="175" t="inlineStr">
        <is>
          <t>1414/05/03</t>
        </is>
      </c>
      <c r="F4594" s="128" t="inlineStr">
        <is>
          <t>1414/05</t>
        </is>
      </c>
      <c r="G4594" s="58" t="inlineStr">
        <is>
          <t>مرداد</t>
        </is>
      </c>
      <c r="H4594" s="128" t="inlineStr">
        <is>
          <t>تابستان</t>
        </is>
      </c>
      <c r="I4594" s="128" t="inlineStr">
        <is>
          <t>چهارشنبه</t>
        </is>
      </c>
      <c r="J4594" s="128" t="inlineStr">
        <is>
          <t>بله</t>
        </is>
      </c>
    </row>
    <row r="4595">
      <c r="A4595" s="176" t="n">
        <v>49516</v>
      </c>
      <c r="B4595" s="177" t="n">
        <v>49516</v>
      </c>
      <c r="C4595" s="177" t="n">
        <v>1414</v>
      </c>
      <c r="D4595" s="177" t="n">
        <v>5</v>
      </c>
      <c r="E4595" s="178" t="inlineStr">
        <is>
          <t>1414/05/04</t>
        </is>
      </c>
      <c r="F4595" s="134" t="inlineStr">
        <is>
          <t>1414/05</t>
        </is>
      </c>
      <c r="G4595" s="61" t="inlineStr">
        <is>
          <t>مرداد</t>
        </is>
      </c>
      <c r="H4595" s="134" t="inlineStr">
        <is>
          <t>تابستان</t>
        </is>
      </c>
      <c r="I4595" s="134" t="inlineStr">
        <is>
          <t>پنجشنبه</t>
        </is>
      </c>
      <c r="J4595" s="134" t="inlineStr">
        <is>
          <t>بله</t>
        </is>
      </c>
    </row>
    <row r="4596">
      <c r="A4596" s="173" t="n">
        <v>49517</v>
      </c>
      <c r="B4596" s="174" t="n">
        <v>49517</v>
      </c>
      <c r="C4596" s="174" t="n">
        <v>1414</v>
      </c>
      <c r="D4596" s="174" t="n">
        <v>5</v>
      </c>
      <c r="E4596" s="175" t="inlineStr">
        <is>
          <t>1414/05/05</t>
        </is>
      </c>
      <c r="F4596" s="128" t="inlineStr">
        <is>
          <t>1414/05</t>
        </is>
      </c>
      <c r="G4596" s="58" t="inlineStr">
        <is>
          <t>مرداد</t>
        </is>
      </c>
      <c r="H4596" s="128" t="inlineStr">
        <is>
          <t>تابستان</t>
        </is>
      </c>
      <c r="I4596" s="128" t="inlineStr">
        <is>
          <t>جمعه</t>
        </is>
      </c>
      <c r="J4596" s="128" t="inlineStr">
        <is>
          <t>بله</t>
        </is>
      </c>
    </row>
    <row r="4597">
      <c r="A4597" s="176" t="n">
        <v>49518</v>
      </c>
      <c r="B4597" s="177" t="n">
        <v>49518</v>
      </c>
      <c r="C4597" s="177" t="n">
        <v>1414</v>
      </c>
      <c r="D4597" s="177" t="n">
        <v>5</v>
      </c>
      <c r="E4597" s="178" t="inlineStr">
        <is>
          <t>1414/05/06</t>
        </is>
      </c>
      <c r="F4597" s="134" t="inlineStr">
        <is>
          <t>1414/05</t>
        </is>
      </c>
      <c r="G4597" s="61" t="inlineStr">
        <is>
          <t>مرداد</t>
        </is>
      </c>
      <c r="H4597" s="134" t="inlineStr">
        <is>
          <t>تابستان</t>
        </is>
      </c>
      <c r="I4597" s="134" t="inlineStr">
        <is>
          <t>شنبه</t>
        </is>
      </c>
      <c r="J4597" s="134" t="inlineStr">
        <is>
          <t>خیر</t>
        </is>
      </c>
    </row>
    <row r="4598">
      <c r="A4598" s="173" t="n">
        <v>49519</v>
      </c>
      <c r="B4598" s="174" t="n">
        <v>49519</v>
      </c>
      <c r="C4598" s="174" t="n">
        <v>1414</v>
      </c>
      <c r="D4598" s="174" t="n">
        <v>5</v>
      </c>
      <c r="E4598" s="175" t="inlineStr">
        <is>
          <t>1414/05/07</t>
        </is>
      </c>
      <c r="F4598" s="128" t="inlineStr">
        <is>
          <t>1414/05</t>
        </is>
      </c>
      <c r="G4598" s="58" t="inlineStr">
        <is>
          <t>مرداد</t>
        </is>
      </c>
      <c r="H4598" s="128" t="inlineStr">
        <is>
          <t>تابستان</t>
        </is>
      </c>
      <c r="I4598" s="128" t="inlineStr">
        <is>
          <t>یکشنبه</t>
        </is>
      </c>
      <c r="J4598" s="128" t="inlineStr">
        <is>
          <t>خیر</t>
        </is>
      </c>
    </row>
    <row r="4599">
      <c r="A4599" s="176" t="n">
        <v>49520</v>
      </c>
      <c r="B4599" s="177" t="n">
        <v>49520</v>
      </c>
      <c r="C4599" s="177" t="n">
        <v>1414</v>
      </c>
      <c r="D4599" s="177" t="n">
        <v>5</v>
      </c>
      <c r="E4599" s="178" t="inlineStr">
        <is>
          <t>1414/05/08</t>
        </is>
      </c>
      <c r="F4599" s="134" t="inlineStr">
        <is>
          <t>1414/05</t>
        </is>
      </c>
      <c r="G4599" s="61" t="inlineStr">
        <is>
          <t>مرداد</t>
        </is>
      </c>
      <c r="H4599" s="134" t="inlineStr">
        <is>
          <t>تابستان</t>
        </is>
      </c>
      <c r="I4599" s="134" t="inlineStr">
        <is>
          <t>دوشنبه</t>
        </is>
      </c>
      <c r="J4599" s="134" t="inlineStr">
        <is>
          <t>بله</t>
        </is>
      </c>
    </row>
    <row r="4600">
      <c r="A4600" s="173" t="n">
        <v>49521</v>
      </c>
      <c r="B4600" s="174" t="n">
        <v>49521</v>
      </c>
      <c r="C4600" s="174" t="n">
        <v>1414</v>
      </c>
      <c r="D4600" s="174" t="n">
        <v>5</v>
      </c>
      <c r="E4600" s="175" t="inlineStr">
        <is>
          <t>1414/05/09</t>
        </is>
      </c>
      <c r="F4600" s="128" t="inlineStr">
        <is>
          <t>1414/05</t>
        </is>
      </c>
      <c r="G4600" s="58" t="inlineStr">
        <is>
          <t>مرداد</t>
        </is>
      </c>
      <c r="H4600" s="128" t="inlineStr">
        <is>
          <t>تابستان</t>
        </is>
      </c>
      <c r="I4600" s="128" t="inlineStr">
        <is>
          <t>سه‌شنبه</t>
        </is>
      </c>
      <c r="J4600" s="128" t="inlineStr">
        <is>
          <t>بله</t>
        </is>
      </c>
    </row>
    <row r="4601">
      <c r="A4601" s="176" t="n">
        <v>49522</v>
      </c>
      <c r="B4601" s="177" t="n">
        <v>49522</v>
      </c>
      <c r="C4601" s="177" t="n">
        <v>1414</v>
      </c>
      <c r="D4601" s="177" t="n">
        <v>5</v>
      </c>
      <c r="E4601" s="178" t="inlineStr">
        <is>
          <t>1414/05/10</t>
        </is>
      </c>
      <c r="F4601" s="134" t="inlineStr">
        <is>
          <t>1414/05</t>
        </is>
      </c>
      <c r="G4601" s="61" t="inlineStr">
        <is>
          <t>مرداد</t>
        </is>
      </c>
      <c r="H4601" s="134" t="inlineStr">
        <is>
          <t>تابستان</t>
        </is>
      </c>
      <c r="I4601" s="134" t="inlineStr">
        <is>
          <t>چهارشنبه</t>
        </is>
      </c>
      <c r="J4601" s="134" t="inlineStr">
        <is>
          <t>بله</t>
        </is>
      </c>
    </row>
    <row r="4602">
      <c r="A4602" s="173" t="n">
        <v>49523</v>
      </c>
      <c r="B4602" s="174" t="n">
        <v>49523</v>
      </c>
      <c r="C4602" s="174" t="n">
        <v>1414</v>
      </c>
      <c r="D4602" s="174" t="n">
        <v>5</v>
      </c>
      <c r="E4602" s="175" t="inlineStr">
        <is>
          <t>1414/05/11</t>
        </is>
      </c>
      <c r="F4602" s="128" t="inlineStr">
        <is>
          <t>1414/05</t>
        </is>
      </c>
      <c r="G4602" s="58" t="inlineStr">
        <is>
          <t>مرداد</t>
        </is>
      </c>
      <c r="H4602" s="128" t="inlineStr">
        <is>
          <t>تابستان</t>
        </is>
      </c>
      <c r="I4602" s="128" t="inlineStr">
        <is>
          <t>پنجشنبه</t>
        </is>
      </c>
      <c r="J4602" s="128" t="inlineStr">
        <is>
          <t>بله</t>
        </is>
      </c>
    </row>
    <row r="4603">
      <c r="A4603" s="176" t="n">
        <v>49524</v>
      </c>
      <c r="B4603" s="177" t="n">
        <v>49524</v>
      </c>
      <c r="C4603" s="177" t="n">
        <v>1414</v>
      </c>
      <c r="D4603" s="177" t="n">
        <v>5</v>
      </c>
      <c r="E4603" s="178" t="inlineStr">
        <is>
          <t>1414/05/12</t>
        </is>
      </c>
      <c r="F4603" s="134" t="inlineStr">
        <is>
          <t>1414/05</t>
        </is>
      </c>
      <c r="G4603" s="61" t="inlineStr">
        <is>
          <t>مرداد</t>
        </is>
      </c>
      <c r="H4603" s="134" t="inlineStr">
        <is>
          <t>تابستان</t>
        </is>
      </c>
      <c r="I4603" s="134" t="inlineStr">
        <is>
          <t>جمعه</t>
        </is>
      </c>
      <c r="J4603" s="134" t="inlineStr">
        <is>
          <t>بله</t>
        </is>
      </c>
    </row>
    <row r="4604">
      <c r="A4604" s="173" t="n">
        <v>49525</v>
      </c>
      <c r="B4604" s="174" t="n">
        <v>49525</v>
      </c>
      <c r="C4604" s="174" t="n">
        <v>1414</v>
      </c>
      <c r="D4604" s="174" t="n">
        <v>5</v>
      </c>
      <c r="E4604" s="175" t="inlineStr">
        <is>
          <t>1414/05/13</t>
        </is>
      </c>
      <c r="F4604" s="128" t="inlineStr">
        <is>
          <t>1414/05</t>
        </is>
      </c>
      <c r="G4604" s="58" t="inlineStr">
        <is>
          <t>مرداد</t>
        </is>
      </c>
      <c r="H4604" s="128" t="inlineStr">
        <is>
          <t>تابستان</t>
        </is>
      </c>
      <c r="I4604" s="128" t="inlineStr">
        <is>
          <t>شنبه</t>
        </is>
      </c>
      <c r="J4604" s="128" t="inlineStr">
        <is>
          <t>خیر</t>
        </is>
      </c>
    </row>
    <row r="4605">
      <c r="A4605" s="176" t="n">
        <v>49526</v>
      </c>
      <c r="B4605" s="177" t="n">
        <v>49526</v>
      </c>
      <c r="C4605" s="177" t="n">
        <v>1414</v>
      </c>
      <c r="D4605" s="177" t="n">
        <v>5</v>
      </c>
      <c r="E4605" s="178" t="inlineStr">
        <is>
          <t>1414/05/14</t>
        </is>
      </c>
      <c r="F4605" s="134" t="inlineStr">
        <is>
          <t>1414/05</t>
        </is>
      </c>
      <c r="G4605" s="61" t="inlineStr">
        <is>
          <t>مرداد</t>
        </is>
      </c>
      <c r="H4605" s="134" t="inlineStr">
        <is>
          <t>تابستان</t>
        </is>
      </c>
      <c r="I4605" s="134" t="inlineStr">
        <is>
          <t>یکشنبه</t>
        </is>
      </c>
      <c r="J4605" s="134" t="inlineStr">
        <is>
          <t>خیر</t>
        </is>
      </c>
    </row>
    <row r="4606">
      <c r="A4606" s="173" t="n">
        <v>49527</v>
      </c>
      <c r="B4606" s="174" t="n">
        <v>49527</v>
      </c>
      <c r="C4606" s="174" t="n">
        <v>1414</v>
      </c>
      <c r="D4606" s="174" t="n">
        <v>5</v>
      </c>
      <c r="E4606" s="175" t="inlineStr">
        <is>
          <t>1414/05/15</t>
        </is>
      </c>
      <c r="F4606" s="128" t="inlineStr">
        <is>
          <t>1414/05</t>
        </is>
      </c>
      <c r="G4606" s="58" t="inlineStr">
        <is>
          <t>مرداد</t>
        </is>
      </c>
      <c r="H4606" s="128" t="inlineStr">
        <is>
          <t>تابستان</t>
        </is>
      </c>
      <c r="I4606" s="128" t="inlineStr">
        <is>
          <t>دوشنبه</t>
        </is>
      </c>
      <c r="J4606" s="128" t="inlineStr">
        <is>
          <t>بله</t>
        </is>
      </c>
    </row>
    <row r="4607">
      <c r="A4607" s="176" t="n">
        <v>49528</v>
      </c>
      <c r="B4607" s="177" t="n">
        <v>49528</v>
      </c>
      <c r="C4607" s="177" t="n">
        <v>1414</v>
      </c>
      <c r="D4607" s="177" t="n">
        <v>5</v>
      </c>
      <c r="E4607" s="178" t="inlineStr">
        <is>
          <t>1414/05/16</t>
        </is>
      </c>
      <c r="F4607" s="134" t="inlineStr">
        <is>
          <t>1414/05</t>
        </is>
      </c>
      <c r="G4607" s="61" t="inlineStr">
        <is>
          <t>مرداد</t>
        </is>
      </c>
      <c r="H4607" s="134" t="inlineStr">
        <is>
          <t>تابستان</t>
        </is>
      </c>
      <c r="I4607" s="134" t="inlineStr">
        <is>
          <t>سه‌شنبه</t>
        </is>
      </c>
      <c r="J4607" s="134" t="inlineStr">
        <is>
          <t>بله</t>
        </is>
      </c>
    </row>
    <row r="4608">
      <c r="A4608" s="173" t="n">
        <v>49529</v>
      </c>
      <c r="B4608" s="174" t="n">
        <v>49529</v>
      </c>
      <c r="C4608" s="174" t="n">
        <v>1414</v>
      </c>
      <c r="D4608" s="174" t="n">
        <v>5</v>
      </c>
      <c r="E4608" s="175" t="inlineStr">
        <is>
          <t>1414/05/17</t>
        </is>
      </c>
      <c r="F4608" s="128" t="inlineStr">
        <is>
          <t>1414/05</t>
        </is>
      </c>
      <c r="G4608" s="58" t="inlineStr">
        <is>
          <t>مرداد</t>
        </is>
      </c>
      <c r="H4608" s="128" t="inlineStr">
        <is>
          <t>تابستان</t>
        </is>
      </c>
      <c r="I4608" s="128" t="inlineStr">
        <is>
          <t>چهارشنبه</t>
        </is>
      </c>
      <c r="J4608" s="128" t="inlineStr">
        <is>
          <t>بله</t>
        </is>
      </c>
    </row>
    <row r="4609">
      <c r="A4609" s="176" t="n">
        <v>49530</v>
      </c>
      <c r="B4609" s="177" t="n">
        <v>49530</v>
      </c>
      <c r="C4609" s="177" t="n">
        <v>1414</v>
      </c>
      <c r="D4609" s="177" t="n">
        <v>5</v>
      </c>
      <c r="E4609" s="178" t="inlineStr">
        <is>
          <t>1414/05/18</t>
        </is>
      </c>
      <c r="F4609" s="134" t="inlineStr">
        <is>
          <t>1414/05</t>
        </is>
      </c>
      <c r="G4609" s="61" t="inlineStr">
        <is>
          <t>مرداد</t>
        </is>
      </c>
      <c r="H4609" s="134" t="inlineStr">
        <is>
          <t>تابستان</t>
        </is>
      </c>
      <c r="I4609" s="134" t="inlineStr">
        <is>
          <t>پنجشنبه</t>
        </is>
      </c>
      <c r="J4609" s="134" t="inlineStr">
        <is>
          <t>بله</t>
        </is>
      </c>
    </row>
    <row r="4610">
      <c r="A4610" s="173" t="n">
        <v>49531</v>
      </c>
      <c r="B4610" s="174" t="n">
        <v>49531</v>
      </c>
      <c r="C4610" s="174" t="n">
        <v>1414</v>
      </c>
      <c r="D4610" s="174" t="n">
        <v>5</v>
      </c>
      <c r="E4610" s="175" t="inlineStr">
        <is>
          <t>1414/05/19</t>
        </is>
      </c>
      <c r="F4610" s="128" t="inlineStr">
        <is>
          <t>1414/05</t>
        </is>
      </c>
      <c r="G4610" s="58" t="inlineStr">
        <is>
          <t>مرداد</t>
        </is>
      </c>
      <c r="H4610" s="128" t="inlineStr">
        <is>
          <t>تابستان</t>
        </is>
      </c>
      <c r="I4610" s="128" t="inlineStr">
        <is>
          <t>جمعه</t>
        </is>
      </c>
      <c r="J4610" s="128" t="inlineStr">
        <is>
          <t>بله</t>
        </is>
      </c>
    </row>
    <row r="4611">
      <c r="A4611" s="176" t="n">
        <v>49532</v>
      </c>
      <c r="B4611" s="177" t="n">
        <v>49532</v>
      </c>
      <c r="C4611" s="177" t="n">
        <v>1414</v>
      </c>
      <c r="D4611" s="177" t="n">
        <v>5</v>
      </c>
      <c r="E4611" s="178" t="inlineStr">
        <is>
          <t>1414/05/20</t>
        </is>
      </c>
      <c r="F4611" s="134" t="inlineStr">
        <is>
          <t>1414/05</t>
        </is>
      </c>
      <c r="G4611" s="61" t="inlineStr">
        <is>
          <t>مرداد</t>
        </is>
      </c>
      <c r="H4611" s="134" t="inlineStr">
        <is>
          <t>تابستان</t>
        </is>
      </c>
      <c r="I4611" s="134" t="inlineStr">
        <is>
          <t>شنبه</t>
        </is>
      </c>
      <c r="J4611" s="134" t="inlineStr">
        <is>
          <t>خیر</t>
        </is>
      </c>
    </row>
    <row r="4612">
      <c r="A4612" s="173" t="n">
        <v>49533</v>
      </c>
      <c r="B4612" s="174" t="n">
        <v>49533</v>
      </c>
      <c r="C4612" s="174" t="n">
        <v>1414</v>
      </c>
      <c r="D4612" s="174" t="n">
        <v>5</v>
      </c>
      <c r="E4612" s="175" t="inlineStr">
        <is>
          <t>1414/05/21</t>
        </is>
      </c>
      <c r="F4612" s="128" t="inlineStr">
        <is>
          <t>1414/05</t>
        </is>
      </c>
      <c r="G4612" s="58" t="inlineStr">
        <is>
          <t>مرداد</t>
        </is>
      </c>
      <c r="H4612" s="128" t="inlineStr">
        <is>
          <t>تابستان</t>
        </is>
      </c>
      <c r="I4612" s="128" t="inlineStr">
        <is>
          <t>یکشنبه</t>
        </is>
      </c>
      <c r="J4612" s="128" t="inlineStr">
        <is>
          <t>خیر</t>
        </is>
      </c>
    </row>
    <row r="4613">
      <c r="A4613" s="176" t="n">
        <v>49534</v>
      </c>
      <c r="B4613" s="177" t="n">
        <v>49534</v>
      </c>
      <c r="C4613" s="177" t="n">
        <v>1414</v>
      </c>
      <c r="D4613" s="177" t="n">
        <v>5</v>
      </c>
      <c r="E4613" s="178" t="inlineStr">
        <is>
          <t>1414/05/22</t>
        </is>
      </c>
      <c r="F4613" s="134" t="inlineStr">
        <is>
          <t>1414/05</t>
        </is>
      </c>
      <c r="G4613" s="61" t="inlineStr">
        <is>
          <t>مرداد</t>
        </is>
      </c>
      <c r="H4613" s="134" t="inlineStr">
        <is>
          <t>تابستان</t>
        </is>
      </c>
      <c r="I4613" s="134" t="inlineStr">
        <is>
          <t>دوشنبه</t>
        </is>
      </c>
      <c r="J4613" s="134" t="inlineStr">
        <is>
          <t>بله</t>
        </is>
      </c>
    </row>
    <row r="4614">
      <c r="A4614" s="173" t="n">
        <v>49535</v>
      </c>
      <c r="B4614" s="174" t="n">
        <v>49535</v>
      </c>
      <c r="C4614" s="174" t="n">
        <v>1414</v>
      </c>
      <c r="D4614" s="174" t="n">
        <v>5</v>
      </c>
      <c r="E4614" s="175" t="inlineStr">
        <is>
          <t>1414/05/23</t>
        </is>
      </c>
      <c r="F4614" s="128" t="inlineStr">
        <is>
          <t>1414/05</t>
        </is>
      </c>
      <c r="G4614" s="58" t="inlineStr">
        <is>
          <t>مرداد</t>
        </is>
      </c>
      <c r="H4614" s="128" t="inlineStr">
        <is>
          <t>تابستان</t>
        </is>
      </c>
      <c r="I4614" s="128" t="inlineStr">
        <is>
          <t>سه‌شنبه</t>
        </is>
      </c>
      <c r="J4614" s="128" t="inlineStr">
        <is>
          <t>بله</t>
        </is>
      </c>
    </row>
    <row r="4615">
      <c r="A4615" s="176" t="n">
        <v>49536</v>
      </c>
      <c r="B4615" s="177" t="n">
        <v>49536</v>
      </c>
      <c r="C4615" s="177" t="n">
        <v>1414</v>
      </c>
      <c r="D4615" s="177" t="n">
        <v>5</v>
      </c>
      <c r="E4615" s="178" t="inlineStr">
        <is>
          <t>1414/05/24</t>
        </is>
      </c>
      <c r="F4615" s="134" t="inlineStr">
        <is>
          <t>1414/05</t>
        </is>
      </c>
      <c r="G4615" s="61" t="inlineStr">
        <is>
          <t>مرداد</t>
        </is>
      </c>
      <c r="H4615" s="134" t="inlineStr">
        <is>
          <t>تابستان</t>
        </is>
      </c>
      <c r="I4615" s="134" t="inlineStr">
        <is>
          <t>چهارشنبه</t>
        </is>
      </c>
      <c r="J4615" s="134" t="inlineStr">
        <is>
          <t>بله</t>
        </is>
      </c>
    </row>
    <row r="4616">
      <c r="A4616" s="173" t="n">
        <v>49537</v>
      </c>
      <c r="B4616" s="174" t="n">
        <v>49537</v>
      </c>
      <c r="C4616" s="174" t="n">
        <v>1414</v>
      </c>
      <c r="D4616" s="174" t="n">
        <v>5</v>
      </c>
      <c r="E4616" s="175" t="inlineStr">
        <is>
          <t>1414/05/25</t>
        </is>
      </c>
      <c r="F4616" s="128" t="inlineStr">
        <is>
          <t>1414/05</t>
        </is>
      </c>
      <c r="G4616" s="58" t="inlineStr">
        <is>
          <t>مرداد</t>
        </is>
      </c>
      <c r="H4616" s="128" t="inlineStr">
        <is>
          <t>تابستان</t>
        </is>
      </c>
      <c r="I4616" s="128" t="inlineStr">
        <is>
          <t>پنجشنبه</t>
        </is>
      </c>
      <c r="J4616" s="128" t="inlineStr">
        <is>
          <t>بله</t>
        </is>
      </c>
    </row>
    <row r="4617">
      <c r="A4617" s="176" t="n">
        <v>49538</v>
      </c>
      <c r="B4617" s="177" t="n">
        <v>49538</v>
      </c>
      <c r="C4617" s="177" t="n">
        <v>1414</v>
      </c>
      <c r="D4617" s="177" t="n">
        <v>5</v>
      </c>
      <c r="E4617" s="178" t="inlineStr">
        <is>
          <t>1414/05/26</t>
        </is>
      </c>
      <c r="F4617" s="134" t="inlineStr">
        <is>
          <t>1414/05</t>
        </is>
      </c>
      <c r="G4617" s="61" t="inlineStr">
        <is>
          <t>مرداد</t>
        </is>
      </c>
      <c r="H4617" s="134" t="inlineStr">
        <is>
          <t>تابستان</t>
        </is>
      </c>
      <c r="I4617" s="134" t="inlineStr">
        <is>
          <t>جمعه</t>
        </is>
      </c>
      <c r="J4617" s="134" t="inlineStr">
        <is>
          <t>بله</t>
        </is>
      </c>
    </row>
    <row r="4618">
      <c r="A4618" s="173" t="n">
        <v>49539</v>
      </c>
      <c r="B4618" s="174" t="n">
        <v>49539</v>
      </c>
      <c r="C4618" s="174" t="n">
        <v>1414</v>
      </c>
      <c r="D4618" s="174" t="n">
        <v>5</v>
      </c>
      <c r="E4618" s="175" t="inlineStr">
        <is>
          <t>1414/05/27</t>
        </is>
      </c>
      <c r="F4618" s="128" t="inlineStr">
        <is>
          <t>1414/05</t>
        </is>
      </c>
      <c r="G4618" s="58" t="inlineStr">
        <is>
          <t>مرداد</t>
        </is>
      </c>
      <c r="H4618" s="128" t="inlineStr">
        <is>
          <t>تابستان</t>
        </is>
      </c>
      <c r="I4618" s="128" t="inlineStr">
        <is>
          <t>شنبه</t>
        </is>
      </c>
      <c r="J4618" s="128" t="inlineStr">
        <is>
          <t>خیر</t>
        </is>
      </c>
    </row>
    <row r="4619">
      <c r="A4619" s="176" t="n">
        <v>49540</v>
      </c>
      <c r="B4619" s="177" t="n">
        <v>49540</v>
      </c>
      <c r="C4619" s="177" t="n">
        <v>1414</v>
      </c>
      <c r="D4619" s="177" t="n">
        <v>5</v>
      </c>
      <c r="E4619" s="178" t="inlineStr">
        <is>
          <t>1414/05/28</t>
        </is>
      </c>
      <c r="F4619" s="134" t="inlineStr">
        <is>
          <t>1414/05</t>
        </is>
      </c>
      <c r="G4619" s="61" t="inlineStr">
        <is>
          <t>مرداد</t>
        </is>
      </c>
      <c r="H4619" s="134" t="inlineStr">
        <is>
          <t>تابستان</t>
        </is>
      </c>
      <c r="I4619" s="134" t="inlineStr">
        <is>
          <t>یکشنبه</t>
        </is>
      </c>
      <c r="J4619" s="134" t="inlineStr">
        <is>
          <t>خیر</t>
        </is>
      </c>
    </row>
    <row r="4620">
      <c r="A4620" s="173" t="n">
        <v>49541</v>
      </c>
      <c r="B4620" s="174" t="n">
        <v>49541</v>
      </c>
      <c r="C4620" s="174" t="n">
        <v>1414</v>
      </c>
      <c r="D4620" s="174" t="n">
        <v>5</v>
      </c>
      <c r="E4620" s="175" t="inlineStr">
        <is>
          <t>1414/05/29</t>
        </is>
      </c>
      <c r="F4620" s="128" t="inlineStr">
        <is>
          <t>1414/05</t>
        </is>
      </c>
      <c r="G4620" s="58" t="inlineStr">
        <is>
          <t>مرداد</t>
        </is>
      </c>
      <c r="H4620" s="128" t="inlineStr">
        <is>
          <t>تابستان</t>
        </is>
      </c>
      <c r="I4620" s="128" t="inlineStr">
        <is>
          <t>دوشنبه</t>
        </is>
      </c>
      <c r="J4620" s="128" t="inlineStr">
        <is>
          <t>بله</t>
        </is>
      </c>
    </row>
    <row r="4621">
      <c r="A4621" s="176" t="n">
        <v>49542</v>
      </c>
      <c r="B4621" s="177" t="n">
        <v>49542</v>
      </c>
      <c r="C4621" s="177" t="n">
        <v>1414</v>
      </c>
      <c r="D4621" s="177" t="n">
        <v>5</v>
      </c>
      <c r="E4621" s="178" t="inlineStr">
        <is>
          <t>1414/05/30</t>
        </is>
      </c>
      <c r="F4621" s="134" t="inlineStr">
        <is>
          <t>1414/05</t>
        </is>
      </c>
      <c r="G4621" s="61" t="inlineStr">
        <is>
          <t>مرداد</t>
        </is>
      </c>
      <c r="H4621" s="134" t="inlineStr">
        <is>
          <t>تابستان</t>
        </is>
      </c>
      <c r="I4621" s="134" t="inlineStr">
        <is>
          <t>سه‌شنبه</t>
        </is>
      </c>
      <c r="J4621" s="134" t="inlineStr">
        <is>
          <t>بله</t>
        </is>
      </c>
    </row>
    <row r="4622">
      <c r="A4622" s="173" t="n">
        <v>49543</v>
      </c>
      <c r="B4622" s="174" t="n">
        <v>49543</v>
      </c>
      <c r="C4622" s="174" t="n">
        <v>1414</v>
      </c>
      <c r="D4622" s="174" t="n">
        <v>5</v>
      </c>
      <c r="E4622" s="175" t="inlineStr">
        <is>
          <t>1414/05/31</t>
        </is>
      </c>
      <c r="F4622" s="128" t="inlineStr">
        <is>
          <t>1414/05</t>
        </is>
      </c>
      <c r="G4622" s="58" t="inlineStr">
        <is>
          <t>مرداد</t>
        </is>
      </c>
      <c r="H4622" s="128" t="inlineStr">
        <is>
          <t>تابستان</t>
        </is>
      </c>
      <c r="I4622" s="128" t="inlineStr">
        <is>
          <t>چهارشنبه</t>
        </is>
      </c>
      <c r="J4622" s="128" t="inlineStr">
        <is>
          <t>بله</t>
        </is>
      </c>
    </row>
    <row r="4623">
      <c r="A4623" s="176" t="n">
        <v>49544</v>
      </c>
      <c r="B4623" s="177" t="n">
        <v>49544</v>
      </c>
      <c r="C4623" s="177" t="n">
        <v>1414</v>
      </c>
      <c r="D4623" s="177" t="n">
        <v>6</v>
      </c>
      <c r="E4623" s="178" t="inlineStr">
        <is>
          <t>1414/06/01</t>
        </is>
      </c>
      <c r="F4623" s="134" t="inlineStr">
        <is>
          <t>1414/06</t>
        </is>
      </c>
      <c r="G4623" s="61" t="inlineStr">
        <is>
          <t>شهریور</t>
        </is>
      </c>
      <c r="H4623" s="134" t="inlineStr">
        <is>
          <t>تابستان</t>
        </is>
      </c>
      <c r="I4623" s="134" t="inlineStr">
        <is>
          <t>پنجشنبه</t>
        </is>
      </c>
      <c r="J4623" s="134" t="inlineStr">
        <is>
          <t>بله</t>
        </is>
      </c>
    </row>
    <row r="4624">
      <c r="A4624" s="173" t="n">
        <v>49545</v>
      </c>
      <c r="B4624" s="174" t="n">
        <v>49545</v>
      </c>
      <c r="C4624" s="174" t="n">
        <v>1414</v>
      </c>
      <c r="D4624" s="174" t="n">
        <v>6</v>
      </c>
      <c r="E4624" s="175" t="inlineStr">
        <is>
          <t>1414/06/02</t>
        </is>
      </c>
      <c r="F4624" s="128" t="inlineStr">
        <is>
          <t>1414/06</t>
        </is>
      </c>
      <c r="G4624" s="58" t="inlineStr">
        <is>
          <t>شهریور</t>
        </is>
      </c>
      <c r="H4624" s="128" t="inlineStr">
        <is>
          <t>تابستان</t>
        </is>
      </c>
      <c r="I4624" s="128" t="inlineStr">
        <is>
          <t>جمعه</t>
        </is>
      </c>
      <c r="J4624" s="128" t="inlineStr">
        <is>
          <t>بله</t>
        </is>
      </c>
    </row>
    <row r="4625">
      <c r="A4625" s="176" t="n">
        <v>49546</v>
      </c>
      <c r="B4625" s="177" t="n">
        <v>49546</v>
      </c>
      <c r="C4625" s="177" t="n">
        <v>1414</v>
      </c>
      <c r="D4625" s="177" t="n">
        <v>6</v>
      </c>
      <c r="E4625" s="178" t="inlineStr">
        <is>
          <t>1414/06/03</t>
        </is>
      </c>
      <c r="F4625" s="134" t="inlineStr">
        <is>
          <t>1414/06</t>
        </is>
      </c>
      <c r="G4625" s="61" t="inlineStr">
        <is>
          <t>شهریور</t>
        </is>
      </c>
      <c r="H4625" s="134" t="inlineStr">
        <is>
          <t>تابستان</t>
        </is>
      </c>
      <c r="I4625" s="134" t="inlineStr">
        <is>
          <t>شنبه</t>
        </is>
      </c>
      <c r="J4625" s="134" t="inlineStr">
        <is>
          <t>خیر</t>
        </is>
      </c>
    </row>
    <row r="4626">
      <c r="A4626" s="173" t="n">
        <v>49547</v>
      </c>
      <c r="B4626" s="174" t="n">
        <v>49547</v>
      </c>
      <c r="C4626" s="174" t="n">
        <v>1414</v>
      </c>
      <c r="D4626" s="174" t="n">
        <v>6</v>
      </c>
      <c r="E4626" s="175" t="inlineStr">
        <is>
          <t>1414/06/04</t>
        </is>
      </c>
      <c r="F4626" s="128" t="inlineStr">
        <is>
          <t>1414/06</t>
        </is>
      </c>
      <c r="G4626" s="58" t="inlineStr">
        <is>
          <t>شهریور</t>
        </is>
      </c>
      <c r="H4626" s="128" t="inlineStr">
        <is>
          <t>تابستان</t>
        </is>
      </c>
      <c r="I4626" s="128" t="inlineStr">
        <is>
          <t>یکشنبه</t>
        </is>
      </c>
      <c r="J4626" s="128" t="inlineStr">
        <is>
          <t>خیر</t>
        </is>
      </c>
    </row>
    <row r="4627">
      <c r="A4627" s="176" t="n">
        <v>49548</v>
      </c>
      <c r="B4627" s="177" t="n">
        <v>49548</v>
      </c>
      <c r="C4627" s="177" t="n">
        <v>1414</v>
      </c>
      <c r="D4627" s="177" t="n">
        <v>6</v>
      </c>
      <c r="E4627" s="178" t="inlineStr">
        <is>
          <t>1414/06/05</t>
        </is>
      </c>
      <c r="F4627" s="134" t="inlineStr">
        <is>
          <t>1414/06</t>
        </is>
      </c>
      <c r="G4627" s="61" t="inlineStr">
        <is>
          <t>شهریور</t>
        </is>
      </c>
      <c r="H4627" s="134" t="inlineStr">
        <is>
          <t>تابستان</t>
        </is>
      </c>
      <c r="I4627" s="134" t="inlineStr">
        <is>
          <t>دوشنبه</t>
        </is>
      </c>
      <c r="J4627" s="134" t="inlineStr">
        <is>
          <t>بله</t>
        </is>
      </c>
    </row>
    <row r="4628">
      <c r="A4628" s="173" t="n">
        <v>49549</v>
      </c>
      <c r="B4628" s="174" t="n">
        <v>49549</v>
      </c>
      <c r="C4628" s="174" t="n">
        <v>1414</v>
      </c>
      <c r="D4628" s="174" t="n">
        <v>6</v>
      </c>
      <c r="E4628" s="175" t="inlineStr">
        <is>
          <t>1414/06/06</t>
        </is>
      </c>
      <c r="F4628" s="128" t="inlineStr">
        <is>
          <t>1414/06</t>
        </is>
      </c>
      <c r="G4628" s="58" t="inlineStr">
        <is>
          <t>شهریور</t>
        </is>
      </c>
      <c r="H4628" s="128" t="inlineStr">
        <is>
          <t>تابستان</t>
        </is>
      </c>
      <c r="I4628" s="128" t="inlineStr">
        <is>
          <t>سه‌شنبه</t>
        </is>
      </c>
      <c r="J4628" s="128" t="inlineStr">
        <is>
          <t>بله</t>
        </is>
      </c>
    </row>
    <row r="4629">
      <c r="A4629" s="176" t="n">
        <v>49550</v>
      </c>
      <c r="B4629" s="177" t="n">
        <v>49550</v>
      </c>
      <c r="C4629" s="177" t="n">
        <v>1414</v>
      </c>
      <c r="D4629" s="177" t="n">
        <v>6</v>
      </c>
      <c r="E4629" s="178" t="inlineStr">
        <is>
          <t>1414/06/07</t>
        </is>
      </c>
      <c r="F4629" s="134" t="inlineStr">
        <is>
          <t>1414/06</t>
        </is>
      </c>
      <c r="G4629" s="61" t="inlineStr">
        <is>
          <t>شهریور</t>
        </is>
      </c>
      <c r="H4629" s="134" t="inlineStr">
        <is>
          <t>تابستان</t>
        </is>
      </c>
      <c r="I4629" s="134" t="inlineStr">
        <is>
          <t>چهارشنبه</t>
        </is>
      </c>
      <c r="J4629" s="134" t="inlineStr">
        <is>
          <t>بله</t>
        </is>
      </c>
    </row>
    <row r="4630">
      <c r="A4630" s="173" t="n">
        <v>49551</v>
      </c>
      <c r="B4630" s="174" t="n">
        <v>49551</v>
      </c>
      <c r="C4630" s="174" t="n">
        <v>1414</v>
      </c>
      <c r="D4630" s="174" t="n">
        <v>6</v>
      </c>
      <c r="E4630" s="175" t="inlineStr">
        <is>
          <t>1414/06/08</t>
        </is>
      </c>
      <c r="F4630" s="128" t="inlineStr">
        <is>
          <t>1414/06</t>
        </is>
      </c>
      <c r="G4630" s="58" t="inlineStr">
        <is>
          <t>شهریور</t>
        </is>
      </c>
      <c r="H4630" s="128" t="inlineStr">
        <is>
          <t>تابستان</t>
        </is>
      </c>
      <c r="I4630" s="128" t="inlineStr">
        <is>
          <t>پنجشنبه</t>
        </is>
      </c>
      <c r="J4630" s="128" t="inlineStr">
        <is>
          <t>بله</t>
        </is>
      </c>
    </row>
    <row r="4631">
      <c r="A4631" s="176" t="n">
        <v>49552</v>
      </c>
      <c r="B4631" s="177" t="n">
        <v>49552</v>
      </c>
      <c r="C4631" s="177" t="n">
        <v>1414</v>
      </c>
      <c r="D4631" s="177" t="n">
        <v>6</v>
      </c>
      <c r="E4631" s="178" t="inlineStr">
        <is>
          <t>1414/06/09</t>
        </is>
      </c>
      <c r="F4631" s="134" t="inlineStr">
        <is>
          <t>1414/06</t>
        </is>
      </c>
      <c r="G4631" s="61" t="inlineStr">
        <is>
          <t>شهریور</t>
        </is>
      </c>
      <c r="H4631" s="134" t="inlineStr">
        <is>
          <t>تابستان</t>
        </is>
      </c>
      <c r="I4631" s="134" t="inlineStr">
        <is>
          <t>جمعه</t>
        </is>
      </c>
      <c r="J4631" s="134" t="inlineStr">
        <is>
          <t>بله</t>
        </is>
      </c>
    </row>
    <row r="4632">
      <c r="A4632" s="173" t="n">
        <v>49553</v>
      </c>
      <c r="B4632" s="174" t="n">
        <v>49553</v>
      </c>
      <c r="C4632" s="174" t="n">
        <v>1414</v>
      </c>
      <c r="D4632" s="174" t="n">
        <v>6</v>
      </c>
      <c r="E4632" s="175" t="inlineStr">
        <is>
          <t>1414/06/10</t>
        </is>
      </c>
      <c r="F4632" s="128" t="inlineStr">
        <is>
          <t>1414/06</t>
        </is>
      </c>
      <c r="G4632" s="58" t="inlineStr">
        <is>
          <t>شهریور</t>
        </is>
      </c>
      <c r="H4632" s="128" t="inlineStr">
        <is>
          <t>تابستان</t>
        </is>
      </c>
      <c r="I4632" s="128" t="inlineStr">
        <is>
          <t>شنبه</t>
        </is>
      </c>
      <c r="J4632" s="128" t="inlineStr">
        <is>
          <t>خیر</t>
        </is>
      </c>
    </row>
    <row r="4633">
      <c r="A4633" s="176" t="n">
        <v>49554</v>
      </c>
      <c r="B4633" s="177" t="n">
        <v>49554</v>
      </c>
      <c r="C4633" s="177" t="n">
        <v>1414</v>
      </c>
      <c r="D4633" s="177" t="n">
        <v>6</v>
      </c>
      <c r="E4633" s="178" t="inlineStr">
        <is>
          <t>1414/06/11</t>
        </is>
      </c>
      <c r="F4633" s="134" t="inlineStr">
        <is>
          <t>1414/06</t>
        </is>
      </c>
      <c r="G4633" s="61" t="inlineStr">
        <is>
          <t>شهریور</t>
        </is>
      </c>
      <c r="H4633" s="134" t="inlineStr">
        <is>
          <t>تابستان</t>
        </is>
      </c>
      <c r="I4633" s="134" t="inlineStr">
        <is>
          <t>یکشنبه</t>
        </is>
      </c>
      <c r="J4633" s="134" t="inlineStr">
        <is>
          <t>خیر</t>
        </is>
      </c>
    </row>
    <row r="4634">
      <c r="A4634" s="173" t="n">
        <v>49555</v>
      </c>
      <c r="B4634" s="174" t="n">
        <v>49555</v>
      </c>
      <c r="C4634" s="174" t="n">
        <v>1414</v>
      </c>
      <c r="D4634" s="174" t="n">
        <v>6</v>
      </c>
      <c r="E4634" s="175" t="inlineStr">
        <is>
          <t>1414/06/12</t>
        </is>
      </c>
      <c r="F4634" s="128" t="inlineStr">
        <is>
          <t>1414/06</t>
        </is>
      </c>
      <c r="G4634" s="58" t="inlineStr">
        <is>
          <t>شهریور</t>
        </is>
      </c>
      <c r="H4634" s="128" t="inlineStr">
        <is>
          <t>تابستان</t>
        </is>
      </c>
      <c r="I4634" s="128" t="inlineStr">
        <is>
          <t>دوشنبه</t>
        </is>
      </c>
      <c r="J4634" s="128" t="inlineStr">
        <is>
          <t>بله</t>
        </is>
      </c>
    </row>
    <row r="4635">
      <c r="A4635" s="176" t="n">
        <v>49556</v>
      </c>
      <c r="B4635" s="177" t="n">
        <v>49556</v>
      </c>
      <c r="C4635" s="177" t="n">
        <v>1414</v>
      </c>
      <c r="D4635" s="177" t="n">
        <v>6</v>
      </c>
      <c r="E4635" s="178" t="inlineStr">
        <is>
          <t>1414/06/13</t>
        </is>
      </c>
      <c r="F4635" s="134" t="inlineStr">
        <is>
          <t>1414/06</t>
        </is>
      </c>
      <c r="G4635" s="61" t="inlineStr">
        <is>
          <t>شهریور</t>
        </is>
      </c>
      <c r="H4635" s="134" t="inlineStr">
        <is>
          <t>تابستان</t>
        </is>
      </c>
      <c r="I4635" s="134" t="inlineStr">
        <is>
          <t>سه‌شنبه</t>
        </is>
      </c>
      <c r="J4635" s="134" t="inlineStr">
        <is>
          <t>بله</t>
        </is>
      </c>
    </row>
    <row r="4636">
      <c r="A4636" s="173" t="n">
        <v>49557</v>
      </c>
      <c r="B4636" s="174" t="n">
        <v>49557</v>
      </c>
      <c r="C4636" s="174" t="n">
        <v>1414</v>
      </c>
      <c r="D4636" s="174" t="n">
        <v>6</v>
      </c>
      <c r="E4636" s="175" t="inlineStr">
        <is>
          <t>1414/06/14</t>
        </is>
      </c>
      <c r="F4636" s="128" t="inlineStr">
        <is>
          <t>1414/06</t>
        </is>
      </c>
      <c r="G4636" s="58" t="inlineStr">
        <is>
          <t>شهریور</t>
        </is>
      </c>
      <c r="H4636" s="128" t="inlineStr">
        <is>
          <t>تابستان</t>
        </is>
      </c>
      <c r="I4636" s="128" t="inlineStr">
        <is>
          <t>چهارشنبه</t>
        </is>
      </c>
      <c r="J4636" s="128" t="inlineStr">
        <is>
          <t>بله</t>
        </is>
      </c>
    </row>
    <row r="4637">
      <c r="A4637" s="176" t="n">
        <v>49558</v>
      </c>
      <c r="B4637" s="177" t="n">
        <v>49558</v>
      </c>
      <c r="C4637" s="177" t="n">
        <v>1414</v>
      </c>
      <c r="D4637" s="177" t="n">
        <v>6</v>
      </c>
      <c r="E4637" s="178" t="inlineStr">
        <is>
          <t>1414/06/15</t>
        </is>
      </c>
      <c r="F4637" s="134" t="inlineStr">
        <is>
          <t>1414/06</t>
        </is>
      </c>
      <c r="G4637" s="61" t="inlineStr">
        <is>
          <t>شهریور</t>
        </is>
      </c>
      <c r="H4637" s="134" t="inlineStr">
        <is>
          <t>تابستان</t>
        </is>
      </c>
      <c r="I4637" s="134" t="inlineStr">
        <is>
          <t>پنجشنبه</t>
        </is>
      </c>
      <c r="J4637" s="134" t="inlineStr">
        <is>
          <t>بله</t>
        </is>
      </c>
    </row>
    <row r="4638">
      <c r="A4638" s="173" t="n">
        <v>49559</v>
      </c>
      <c r="B4638" s="174" t="n">
        <v>49559</v>
      </c>
      <c r="C4638" s="174" t="n">
        <v>1414</v>
      </c>
      <c r="D4638" s="174" t="n">
        <v>6</v>
      </c>
      <c r="E4638" s="175" t="inlineStr">
        <is>
          <t>1414/06/16</t>
        </is>
      </c>
      <c r="F4638" s="128" t="inlineStr">
        <is>
          <t>1414/06</t>
        </is>
      </c>
      <c r="G4638" s="58" t="inlineStr">
        <is>
          <t>شهریور</t>
        </is>
      </c>
      <c r="H4638" s="128" t="inlineStr">
        <is>
          <t>تابستان</t>
        </is>
      </c>
      <c r="I4638" s="128" t="inlineStr">
        <is>
          <t>جمعه</t>
        </is>
      </c>
      <c r="J4638" s="128" t="inlineStr">
        <is>
          <t>بله</t>
        </is>
      </c>
    </row>
    <row r="4639">
      <c r="A4639" s="176" t="n">
        <v>49560</v>
      </c>
      <c r="B4639" s="177" t="n">
        <v>49560</v>
      </c>
      <c r="C4639" s="177" t="n">
        <v>1414</v>
      </c>
      <c r="D4639" s="177" t="n">
        <v>6</v>
      </c>
      <c r="E4639" s="178" t="inlineStr">
        <is>
          <t>1414/06/17</t>
        </is>
      </c>
      <c r="F4639" s="134" t="inlineStr">
        <is>
          <t>1414/06</t>
        </is>
      </c>
      <c r="G4639" s="61" t="inlineStr">
        <is>
          <t>شهریور</t>
        </is>
      </c>
      <c r="H4639" s="134" t="inlineStr">
        <is>
          <t>تابستان</t>
        </is>
      </c>
      <c r="I4639" s="134" t="inlineStr">
        <is>
          <t>شنبه</t>
        </is>
      </c>
      <c r="J4639" s="134" t="inlineStr">
        <is>
          <t>خیر</t>
        </is>
      </c>
    </row>
    <row r="4640">
      <c r="A4640" s="173" t="n">
        <v>49561</v>
      </c>
      <c r="B4640" s="174" t="n">
        <v>49561</v>
      </c>
      <c r="C4640" s="174" t="n">
        <v>1414</v>
      </c>
      <c r="D4640" s="174" t="n">
        <v>6</v>
      </c>
      <c r="E4640" s="175" t="inlineStr">
        <is>
          <t>1414/06/18</t>
        </is>
      </c>
      <c r="F4640" s="128" t="inlineStr">
        <is>
          <t>1414/06</t>
        </is>
      </c>
      <c r="G4640" s="58" t="inlineStr">
        <is>
          <t>شهریور</t>
        </is>
      </c>
      <c r="H4640" s="128" t="inlineStr">
        <is>
          <t>تابستان</t>
        </is>
      </c>
      <c r="I4640" s="128" t="inlineStr">
        <is>
          <t>یکشنبه</t>
        </is>
      </c>
      <c r="J4640" s="128" t="inlineStr">
        <is>
          <t>خیر</t>
        </is>
      </c>
    </row>
    <row r="4641">
      <c r="A4641" s="176" t="n">
        <v>49562</v>
      </c>
      <c r="B4641" s="177" t="n">
        <v>49562</v>
      </c>
      <c r="C4641" s="177" t="n">
        <v>1414</v>
      </c>
      <c r="D4641" s="177" t="n">
        <v>6</v>
      </c>
      <c r="E4641" s="178" t="inlineStr">
        <is>
          <t>1414/06/19</t>
        </is>
      </c>
      <c r="F4641" s="134" t="inlineStr">
        <is>
          <t>1414/06</t>
        </is>
      </c>
      <c r="G4641" s="61" t="inlineStr">
        <is>
          <t>شهریور</t>
        </is>
      </c>
      <c r="H4641" s="134" t="inlineStr">
        <is>
          <t>تابستان</t>
        </is>
      </c>
      <c r="I4641" s="134" t="inlineStr">
        <is>
          <t>دوشنبه</t>
        </is>
      </c>
      <c r="J4641" s="134" t="inlineStr">
        <is>
          <t>بله</t>
        </is>
      </c>
    </row>
    <row r="4642">
      <c r="A4642" s="173" t="n">
        <v>49563</v>
      </c>
      <c r="B4642" s="174" t="n">
        <v>49563</v>
      </c>
      <c r="C4642" s="174" t="n">
        <v>1414</v>
      </c>
      <c r="D4642" s="174" t="n">
        <v>6</v>
      </c>
      <c r="E4642" s="175" t="inlineStr">
        <is>
          <t>1414/06/20</t>
        </is>
      </c>
      <c r="F4642" s="128" t="inlineStr">
        <is>
          <t>1414/06</t>
        </is>
      </c>
      <c r="G4642" s="58" t="inlineStr">
        <is>
          <t>شهریور</t>
        </is>
      </c>
      <c r="H4642" s="128" t="inlineStr">
        <is>
          <t>تابستان</t>
        </is>
      </c>
      <c r="I4642" s="128" t="inlineStr">
        <is>
          <t>سه‌شنبه</t>
        </is>
      </c>
      <c r="J4642" s="128" t="inlineStr">
        <is>
          <t>بله</t>
        </is>
      </c>
    </row>
    <row r="4643">
      <c r="A4643" s="176" t="n">
        <v>49564</v>
      </c>
      <c r="B4643" s="177" t="n">
        <v>49564</v>
      </c>
      <c r="C4643" s="177" t="n">
        <v>1414</v>
      </c>
      <c r="D4643" s="177" t="n">
        <v>6</v>
      </c>
      <c r="E4643" s="178" t="inlineStr">
        <is>
          <t>1414/06/21</t>
        </is>
      </c>
      <c r="F4643" s="134" t="inlineStr">
        <is>
          <t>1414/06</t>
        </is>
      </c>
      <c r="G4643" s="61" t="inlineStr">
        <is>
          <t>شهریور</t>
        </is>
      </c>
      <c r="H4643" s="134" t="inlineStr">
        <is>
          <t>تابستان</t>
        </is>
      </c>
      <c r="I4643" s="134" t="inlineStr">
        <is>
          <t>چهارشنبه</t>
        </is>
      </c>
      <c r="J4643" s="134" t="inlineStr">
        <is>
          <t>بله</t>
        </is>
      </c>
    </row>
    <row r="4644">
      <c r="A4644" s="173" t="n">
        <v>49565</v>
      </c>
      <c r="B4644" s="174" t="n">
        <v>49565</v>
      </c>
      <c r="C4644" s="174" t="n">
        <v>1414</v>
      </c>
      <c r="D4644" s="174" t="n">
        <v>6</v>
      </c>
      <c r="E4644" s="175" t="inlineStr">
        <is>
          <t>1414/06/22</t>
        </is>
      </c>
      <c r="F4644" s="128" t="inlineStr">
        <is>
          <t>1414/06</t>
        </is>
      </c>
      <c r="G4644" s="58" t="inlineStr">
        <is>
          <t>شهریور</t>
        </is>
      </c>
      <c r="H4644" s="128" t="inlineStr">
        <is>
          <t>تابستان</t>
        </is>
      </c>
      <c r="I4644" s="128" t="inlineStr">
        <is>
          <t>پنجشنبه</t>
        </is>
      </c>
      <c r="J4644" s="128" t="inlineStr">
        <is>
          <t>بله</t>
        </is>
      </c>
    </row>
    <row r="4645">
      <c r="A4645" s="176" t="n">
        <v>49566</v>
      </c>
      <c r="B4645" s="177" t="n">
        <v>49566</v>
      </c>
      <c r="C4645" s="177" t="n">
        <v>1414</v>
      </c>
      <c r="D4645" s="177" t="n">
        <v>6</v>
      </c>
      <c r="E4645" s="178" t="inlineStr">
        <is>
          <t>1414/06/23</t>
        </is>
      </c>
      <c r="F4645" s="134" t="inlineStr">
        <is>
          <t>1414/06</t>
        </is>
      </c>
      <c r="G4645" s="61" t="inlineStr">
        <is>
          <t>شهریور</t>
        </is>
      </c>
      <c r="H4645" s="134" t="inlineStr">
        <is>
          <t>تابستان</t>
        </is>
      </c>
      <c r="I4645" s="134" t="inlineStr">
        <is>
          <t>جمعه</t>
        </is>
      </c>
      <c r="J4645" s="134" t="inlineStr">
        <is>
          <t>بله</t>
        </is>
      </c>
    </row>
    <row r="4646">
      <c r="A4646" s="173" t="n">
        <v>49567</v>
      </c>
      <c r="B4646" s="174" t="n">
        <v>49567</v>
      </c>
      <c r="C4646" s="174" t="n">
        <v>1414</v>
      </c>
      <c r="D4646" s="174" t="n">
        <v>6</v>
      </c>
      <c r="E4646" s="175" t="inlineStr">
        <is>
          <t>1414/06/24</t>
        </is>
      </c>
      <c r="F4646" s="128" t="inlineStr">
        <is>
          <t>1414/06</t>
        </is>
      </c>
      <c r="G4646" s="58" t="inlineStr">
        <is>
          <t>شهریور</t>
        </is>
      </c>
      <c r="H4646" s="128" t="inlineStr">
        <is>
          <t>تابستان</t>
        </is>
      </c>
      <c r="I4646" s="128" t="inlineStr">
        <is>
          <t>شنبه</t>
        </is>
      </c>
      <c r="J4646" s="128" t="inlineStr">
        <is>
          <t>خیر</t>
        </is>
      </c>
    </row>
    <row r="4647">
      <c r="A4647" s="176" t="n">
        <v>49568</v>
      </c>
      <c r="B4647" s="177" t="n">
        <v>49568</v>
      </c>
      <c r="C4647" s="177" t="n">
        <v>1414</v>
      </c>
      <c r="D4647" s="177" t="n">
        <v>6</v>
      </c>
      <c r="E4647" s="178" t="inlineStr">
        <is>
          <t>1414/06/25</t>
        </is>
      </c>
      <c r="F4647" s="134" t="inlineStr">
        <is>
          <t>1414/06</t>
        </is>
      </c>
      <c r="G4647" s="61" t="inlineStr">
        <is>
          <t>شهریور</t>
        </is>
      </c>
      <c r="H4647" s="134" t="inlineStr">
        <is>
          <t>تابستان</t>
        </is>
      </c>
      <c r="I4647" s="134" t="inlineStr">
        <is>
          <t>یکشنبه</t>
        </is>
      </c>
      <c r="J4647" s="134" t="inlineStr">
        <is>
          <t>خیر</t>
        </is>
      </c>
    </row>
    <row r="4648">
      <c r="A4648" s="173" t="n">
        <v>49569</v>
      </c>
      <c r="B4648" s="174" t="n">
        <v>49569</v>
      </c>
      <c r="C4648" s="174" t="n">
        <v>1414</v>
      </c>
      <c r="D4648" s="174" t="n">
        <v>6</v>
      </c>
      <c r="E4648" s="175" t="inlineStr">
        <is>
          <t>1414/06/26</t>
        </is>
      </c>
      <c r="F4648" s="128" t="inlineStr">
        <is>
          <t>1414/06</t>
        </is>
      </c>
      <c r="G4648" s="58" t="inlineStr">
        <is>
          <t>شهریور</t>
        </is>
      </c>
      <c r="H4648" s="128" t="inlineStr">
        <is>
          <t>تابستان</t>
        </is>
      </c>
      <c r="I4648" s="128" t="inlineStr">
        <is>
          <t>دوشنبه</t>
        </is>
      </c>
      <c r="J4648" s="128" t="inlineStr">
        <is>
          <t>بله</t>
        </is>
      </c>
    </row>
    <row r="4649">
      <c r="A4649" s="176" t="n">
        <v>49570</v>
      </c>
      <c r="B4649" s="177" t="n">
        <v>49570</v>
      </c>
      <c r="C4649" s="177" t="n">
        <v>1414</v>
      </c>
      <c r="D4649" s="177" t="n">
        <v>6</v>
      </c>
      <c r="E4649" s="178" t="inlineStr">
        <is>
          <t>1414/06/27</t>
        </is>
      </c>
      <c r="F4649" s="134" t="inlineStr">
        <is>
          <t>1414/06</t>
        </is>
      </c>
      <c r="G4649" s="61" t="inlineStr">
        <is>
          <t>شهریور</t>
        </is>
      </c>
      <c r="H4649" s="134" t="inlineStr">
        <is>
          <t>تابستان</t>
        </is>
      </c>
      <c r="I4649" s="134" t="inlineStr">
        <is>
          <t>سه‌شنبه</t>
        </is>
      </c>
      <c r="J4649" s="134" t="inlineStr">
        <is>
          <t>بله</t>
        </is>
      </c>
    </row>
    <row r="4650">
      <c r="A4650" s="173" t="n">
        <v>49571</v>
      </c>
      <c r="B4650" s="174" t="n">
        <v>49571</v>
      </c>
      <c r="C4650" s="174" t="n">
        <v>1414</v>
      </c>
      <c r="D4650" s="174" t="n">
        <v>6</v>
      </c>
      <c r="E4650" s="175" t="inlineStr">
        <is>
          <t>1414/06/28</t>
        </is>
      </c>
      <c r="F4650" s="128" t="inlineStr">
        <is>
          <t>1414/06</t>
        </is>
      </c>
      <c r="G4650" s="58" t="inlineStr">
        <is>
          <t>شهریور</t>
        </is>
      </c>
      <c r="H4650" s="128" t="inlineStr">
        <is>
          <t>تابستان</t>
        </is>
      </c>
      <c r="I4650" s="128" t="inlineStr">
        <is>
          <t>چهارشنبه</t>
        </is>
      </c>
      <c r="J4650" s="128" t="inlineStr">
        <is>
          <t>بله</t>
        </is>
      </c>
    </row>
    <row r="4651">
      <c r="A4651" s="176" t="n">
        <v>49572</v>
      </c>
      <c r="B4651" s="177" t="n">
        <v>49572</v>
      </c>
      <c r="C4651" s="177" t="n">
        <v>1414</v>
      </c>
      <c r="D4651" s="177" t="n">
        <v>6</v>
      </c>
      <c r="E4651" s="178" t="inlineStr">
        <is>
          <t>1414/06/29</t>
        </is>
      </c>
      <c r="F4651" s="134" t="inlineStr">
        <is>
          <t>1414/06</t>
        </is>
      </c>
      <c r="G4651" s="61" t="inlineStr">
        <is>
          <t>شهریور</t>
        </is>
      </c>
      <c r="H4651" s="134" t="inlineStr">
        <is>
          <t>تابستان</t>
        </is>
      </c>
      <c r="I4651" s="134" t="inlineStr">
        <is>
          <t>پنجشنبه</t>
        </is>
      </c>
      <c r="J4651" s="134" t="inlineStr">
        <is>
          <t>بله</t>
        </is>
      </c>
    </row>
    <row r="4652">
      <c r="A4652" s="173" t="n">
        <v>49573</v>
      </c>
      <c r="B4652" s="174" t="n">
        <v>49573</v>
      </c>
      <c r="C4652" s="174" t="n">
        <v>1414</v>
      </c>
      <c r="D4652" s="174" t="n">
        <v>6</v>
      </c>
      <c r="E4652" s="175" t="inlineStr">
        <is>
          <t>1414/06/30</t>
        </is>
      </c>
      <c r="F4652" s="128" t="inlineStr">
        <is>
          <t>1414/06</t>
        </is>
      </c>
      <c r="G4652" s="58" t="inlineStr">
        <is>
          <t>شهریور</t>
        </is>
      </c>
      <c r="H4652" s="128" t="inlineStr">
        <is>
          <t>تابستان</t>
        </is>
      </c>
      <c r="I4652" s="128" t="inlineStr">
        <is>
          <t>جمعه</t>
        </is>
      </c>
      <c r="J4652" s="128" t="inlineStr">
        <is>
          <t>بله</t>
        </is>
      </c>
    </row>
    <row r="4653">
      <c r="A4653" s="176" t="n">
        <v>49574</v>
      </c>
      <c r="B4653" s="177" t="n">
        <v>49574</v>
      </c>
      <c r="C4653" s="177" t="n">
        <v>1414</v>
      </c>
      <c r="D4653" s="177" t="n">
        <v>6</v>
      </c>
      <c r="E4653" s="178" t="inlineStr">
        <is>
          <t>1414/06/31</t>
        </is>
      </c>
      <c r="F4653" s="134" t="inlineStr">
        <is>
          <t>1414/06</t>
        </is>
      </c>
      <c r="G4653" s="61" t="inlineStr">
        <is>
          <t>شهریور</t>
        </is>
      </c>
      <c r="H4653" s="134" t="inlineStr">
        <is>
          <t>تابستان</t>
        </is>
      </c>
      <c r="I4653" s="134" t="inlineStr">
        <is>
          <t>شنبه</t>
        </is>
      </c>
      <c r="J4653" s="134" t="inlineStr">
        <is>
          <t>خیر</t>
        </is>
      </c>
    </row>
    <row r="4654">
      <c r="A4654" s="173" t="n">
        <v>49575</v>
      </c>
      <c r="B4654" s="174" t="n">
        <v>49575</v>
      </c>
      <c r="C4654" s="174" t="n">
        <v>1414</v>
      </c>
      <c r="D4654" s="174" t="n">
        <v>7</v>
      </c>
      <c r="E4654" s="175" t="inlineStr">
        <is>
          <t>1414/07/01</t>
        </is>
      </c>
      <c r="F4654" s="128" t="inlineStr">
        <is>
          <t>1414/07</t>
        </is>
      </c>
      <c r="G4654" s="58" t="inlineStr">
        <is>
          <t>مهر</t>
        </is>
      </c>
      <c r="H4654" s="128" t="inlineStr">
        <is>
          <t>پاییز</t>
        </is>
      </c>
      <c r="I4654" s="128" t="inlineStr">
        <is>
          <t>یکشنبه</t>
        </is>
      </c>
      <c r="J4654" s="128" t="inlineStr">
        <is>
          <t>خیر</t>
        </is>
      </c>
    </row>
    <row r="4655">
      <c r="A4655" s="176" t="n">
        <v>49576</v>
      </c>
      <c r="B4655" s="177" t="n">
        <v>49576</v>
      </c>
      <c r="C4655" s="177" t="n">
        <v>1414</v>
      </c>
      <c r="D4655" s="177" t="n">
        <v>7</v>
      </c>
      <c r="E4655" s="178" t="inlineStr">
        <is>
          <t>1414/07/02</t>
        </is>
      </c>
      <c r="F4655" s="134" t="inlineStr">
        <is>
          <t>1414/07</t>
        </is>
      </c>
      <c r="G4655" s="61" t="inlineStr">
        <is>
          <t>مهر</t>
        </is>
      </c>
      <c r="H4655" s="134" t="inlineStr">
        <is>
          <t>پاییز</t>
        </is>
      </c>
      <c r="I4655" s="134" t="inlineStr">
        <is>
          <t>دوشنبه</t>
        </is>
      </c>
      <c r="J4655" s="134" t="inlineStr">
        <is>
          <t>بله</t>
        </is>
      </c>
    </row>
    <row r="4656">
      <c r="A4656" s="173" t="n">
        <v>49577</v>
      </c>
      <c r="B4656" s="174" t="n">
        <v>49577</v>
      </c>
      <c r="C4656" s="174" t="n">
        <v>1414</v>
      </c>
      <c r="D4656" s="174" t="n">
        <v>7</v>
      </c>
      <c r="E4656" s="175" t="inlineStr">
        <is>
          <t>1414/07/03</t>
        </is>
      </c>
      <c r="F4656" s="128" t="inlineStr">
        <is>
          <t>1414/07</t>
        </is>
      </c>
      <c r="G4656" s="58" t="inlineStr">
        <is>
          <t>مهر</t>
        </is>
      </c>
      <c r="H4656" s="128" t="inlineStr">
        <is>
          <t>پاییز</t>
        </is>
      </c>
      <c r="I4656" s="128" t="inlineStr">
        <is>
          <t>سه‌شنبه</t>
        </is>
      </c>
      <c r="J4656" s="128" t="inlineStr">
        <is>
          <t>بله</t>
        </is>
      </c>
    </row>
    <row r="4657">
      <c r="A4657" s="176" t="n">
        <v>49578</v>
      </c>
      <c r="B4657" s="177" t="n">
        <v>49578</v>
      </c>
      <c r="C4657" s="177" t="n">
        <v>1414</v>
      </c>
      <c r="D4657" s="177" t="n">
        <v>7</v>
      </c>
      <c r="E4657" s="178" t="inlineStr">
        <is>
          <t>1414/07/04</t>
        </is>
      </c>
      <c r="F4657" s="134" t="inlineStr">
        <is>
          <t>1414/07</t>
        </is>
      </c>
      <c r="G4657" s="61" t="inlineStr">
        <is>
          <t>مهر</t>
        </is>
      </c>
      <c r="H4657" s="134" t="inlineStr">
        <is>
          <t>پاییز</t>
        </is>
      </c>
      <c r="I4657" s="134" t="inlineStr">
        <is>
          <t>چهارشنبه</t>
        </is>
      </c>
      <c r="J4657" s="134" t="inlineStr">
        <is>
          <t>بله</t>
        </is>
      </c>
    </row>
    <row r="4658">
      <c r="A4658" s="173" t="n">
        <v>49579</v>
      </c>
      <c r="B4658" s="174" t="n">
        <v>49579</v>
      </c>
      <c r="C4658" s="174" t="n">
        <v>1414</v>
      </c>
      <c r="D4658" s="174" t="n">
        <v>7</v>
      </c>
      <c r="E4658" s="175" t="inlineStr">
        <is>
          <t>1414/07/05</t>
        </is>
      </c>
      <c r="F4658" s="128" t="inlineStr">
        <is>
          <t>1414/07</t>
        </is>
      </c>
      <c r="G4658" s="58" t="inlineStr">
        <is>
          <t>مهر</t>
        </is>
      </c>
      <c r="H4658" s="128" t="inlineStr">
        <is>
          <t>پاییز</t>
        </is>
      </c>
      <c r="I4658" s="128" t="inlineStr">
        <is>
          <t>پنجشنبه</t>
        </is>
      </c>
      <c r="J4658" s="128" t="inlineStr">
        <is>
          <t>بله</t>
        </is>
      </c>
    </row>
    <row r="4659">
      <c r="A4659" s="176" t="n">
        <v>49580</v>
      </c>
      <c r="B4659" s="177" t="n">
        <v>49580</v>
      </c>
      <c r="C4659" s="177" t="n">
        <v>1414</v>
      </c>
      <c r="D4659" s="177" t="n">
        <v>7</v>
      </c>
      <c r="E4659" s="178" t="inlineStr">
        <is>
          <t>1414/07/06</t>
        </is>
      </c>
      <c r="F4659" s="134" t="inlineStr">
        <is>
          <t>1414/07</t>
        </is>
      </c>
      <c r="G4659" s="61" t="inlineStr">
        <is>
          <t>مهر</t>
        </is>
      </c>
      <c r="H4659" s="134" t="inlineStr">
        <is>
          <t>پاییز</t>
        </is>
      </c>
      <c r="I4659" s="134" t="inlineStr">
        <is>
          <t>جمعه</t>
        </is>
      </c>
      <c r="J4659" s="134" t="inlineStr">
        <is>
          <t>بله</t>
        </is>
      </c>
    </row>
    <row r="4660">
      <c r="A4660" s="173" t="n">
        <v>49581</v>
      </c>
      <c r="B4660" s="174" t="n">
        <v>49581</v>
      </c>
      <c r="C4660" s="174" t="n">
        <v>1414</v>
      </c>
      <c r="D4660" s="174" t="n">
        <v>7</v>
      </c>
      <c r="E4660" s="175" t="inlineStr">
        <is>
          <t>1414/07/07</t>
        </is>
      </c>
      <c r="F4660" s="128" t="inlineStr">
        <is>
          <t>1414/07</t>
        </is>
      </c>
      <c r="G4660" s="58" t="inlineStr">
        <is>
          <t>مهر</t>
        </is>
      </c>
      <c r="H4660" s="128" t="inlineStr">
        <is>
          <t>پاییز</t>
        </is>
      </c>
      <c r="I4660" s="128" t="inlineStr">
        <is>
          <t>شنبه</t>
        </is>
      </c>
      <c r="J4660" s="128" t="inlineStr">
        <is>
          <t>خیر</t>
        </is>
      </c>
    </row>
    <row r="4661">
      <c r="A4661" s="176" t="n">
        <v>49582</v>
      </c>
      <c r="B4661" s="177" t="n">
        <v>49582</v>
      </c>
      <c r="C4661" s="177" t="n">
        <v>1414</v>
      </c>
      <c r="D4661" s="177" t="n">
        <v>7</v>
      </c>
      <c r="E4661" s="178" t="inlineStr">
        <is>
          <t>1414/07/08</t>
        </is>
      </c>
      <c r="F4661" s="134" t="inlineStr">
        <is>
          <t>1414/07</t>
        </is>
      </c>
      <c r="G4661" s="61" t="inlineStr">
        <is>
          <t>مهر</t>
        </is>
      </c>
      <c r="H4661" s="134" t="inlineStr">
        <is>
          <t>پاییز</t>
        </is>
      </c>
      <c r="I4661" s="134" t="inlineStr">
        <is>
          <t>یکشنبه</t>
        </is>
      </c>
      <c r="J4661" s="134" t="inlineStr">
        <is>
          <t>خیر</t>
        </is>
      </c>
    </row>
    <row r="4662">
      <c r="A4662" s="173" t="n">
        <v>49583</v>
      </c>
      <c r="B4662" s="174" t="n">
        <v>49583</v>
      </c>
      <c r="C4662" s="174" t="n">
        <v>1414</v>
      </c>
      <c r="D4662" s="174" t="n">
        <v>7</v>
      </c>
      <c r="E4662" s="175" t="inlineStr">
        <is>
          <t>1414/07/09</t>
        </is>
      </c>
      <c r="F4662" s="128" t="inlineStr">
        <is>
          <t>1414/07</t>
        </is>
      </c>
      <c r="G4662" s="58" t="inlineStr">
        <is>
          <t>مهر</t>
        </is>
      </c>
      <c r="H4662" s="128" t="inlineStr">
        <is>
          <t>پاییز</t>
        </is>
      </c>
      <c r="I4662" s="128" t="inlineStr">
        <is>
          <t>دوشنبه</t>
        </is>
      </c>
      <c r="J4662" s="128" t="inlineStr">
        <is>
          <t>بله</t>
        </is>
      </c>
    </row>
    <row r="4663">
      <c r="A4663" s="176" t="n">
        <v>49584</v>
      </c>
      <c r="B4663" s="177" t="n">
        <v>49584</v>
      </c>
      <c r="C4663" s="177" t="n">
        <v>1414</v>
      </c>
      <c r="D4663" s="177" t="n">
        <v>7</v>
      </c>
      <c r="E4663" s="178" t="inlineStr">
        <is>
          <t>1414/07/10</t>
        </is>
      </c>
      <c r="F4663" s="134" t="inlineStr">
        <is>
          <t>1414/07</t>
        </is>
      </c>
      <c r="G4663" s="61" t="inlineStr">
        <is>
          <t>مهر</t>
        </is>
      </c>
      <c r="H4663" s="134" t="inlineStr">
        <is>
          <t>پاییز</t>
        </is>
      </c>
      <c r="I4663" s="134" t="inlineStr">
        <is>
          <t>سه‌شنبه</t>
        </is>
      </c>
      <c r="J4663" s="134" t="inlineStr">
        <is>
          <t>بله</t>
        </is>
      </c>
    </row>
    <row r="4664">
      <c r="A4664" s="173" t="n">
        <v>49585</v>
      </c>
      <c r="B4664" s="174" t="n">
        <v>49585</v>
      </c>
      <c r="C4664" s="174" t="n">
        <v>1414</v>
      </c>
      <c r="D4664" s="174" t="n">
        <v>7</v>
      </c>
      <c r="E4664" s="175" t="inlineStr">
        <is>
          <t>1414/07/11</t>
        </is>
      </c>
      <c r="F4664" s="128" t="inlineStr">
        <is>
          <t>1414/07</t>
        </is>
      </c>
      <c r="G4664" s="58" t="inlineStr">
        <is>
          <t>مهر</t>
        </is>
      </c>
      <c r="H4664" s="128" t="inlineStr">
        <is>
          <t>پاییز</t>
        </is>
      </c>
      <c r="I4664" s="128" t="inlineStr">
        <is>
          <t>چهارشنبه</t>
        </is>
      </c>
      <c r="J4664" s="128" t="inlineStr">
        <is>
          <t>بله</t>
        </is>
      </c>
    </row>
    <row r="4665">
      <c r="A4665" s="176" t="n">
        <v>49586</v>
      </c>
      <c r="B4665" s="177" t="n">
        <v>49586</v>
      </c>
      <c r="C4665" s="177" t="n">
        <v>1414</v>
      </c>
      <c r="D4665" s="177" t="n">
        <v>7</v>
      </c>
      <c r="E4665" s="178" t="inlineStr">
        <is>
          <t>1414/07/12</t>
        </is>
      </c>
      <c r="F4665" s="134" t="inlineStr">
        <is>
          <t>1414/07</t>
        </is>
      </c>
      <c r="G4665" s="61" t="inlineStr">
        <is>
          <t>مهر</t>
        </is>
      </c>
      <c r="H4665" s="134" t="inlineStr">
        <is>
          <t>پاییز</t>
        </is>
      </c>
      <c r="I4665" s="134" t="inlineStr">
        <is>
          <t>پنجشنبه</t>
        </is>
      </c>
      <c r="J4665" s="134" t="inlineStr">
        <is>
          <t>بله</t>
        </is>
      </c>
    </row>
    <row r="4666">
      <c r="A4666" s="173" t="n">
        <v>49587</v>
      </c>
      <c r="B4666" s="174" t="n">
        <v>49587</v>
      </c>
      <c r="C4666" s="174" t="n">
        <v>1414</v>
      </c>
      <c r="D4666" s="174" t="n">
        <v>7</v>
      </c>
      <c r="E4666" s="175" t="inlineStr">
        <is>
          <t>1414/07/13</t>
        </is>
      </c>
      <c r="F4666" s="128" t="inlineStr">
        <is>
          <t>1414/07</t>
        </is>
      </c>
      <c r="G4666" s="58" t="inlineStr">
        <is>
          <t>مهر</t>
        </is>
      </c>
      <c r="H4666" s="128" t="inlineStr">
        <is>
          <t>پاییز</t>
        </is>
      </c>
      <c r="I4666" s="128" t="inlineStr">
        <is>
          <t>جمعه</t>
        </is>
      </c>
      <c r="J4666" s="128" t="inlineStr">
        <is>
          <t>بله</t>
        </is>
      </c>
    </row>
    <row r="4667">
      <c r="A4667" s="176" t="n">
        <v>49588</v>
      </c>
      <c r="B4667" s="177" t="n">
        <v>49588</v>
      </c>
      <c r="C4667" s="177" t="n">
        <v>1414</v>
      </c>
      <c r="D4667" s="177" t="n">
        <v>7</v>
      </c>
      <c r="E4667" s="178" t="inlineStr">
        <is>
          <t>1414/07/14</t>
        </is>
      </c>
      <c r="F4667" s="134" t="inlineStr">
        <is>
          <t>1414/07</t>
        </is>
      </c>
      <c r="G4667" s="61" t="inlineStr">
        <is>
          <t>مهر</t>
        </is>
      </c>
      <c r="H4667" s="134" t="inlineStr">
        <is>
          <t>پاییز</t>
        </is>
      </c>
      <c r="I4667" s="134" t="inlineStr">
        <is>
          <t>شنبه</t>
        </is>
      </c>
      <c r="J4667" s="134" t="inlineStr">
        <is>
          <t>خیر</t>
        </is>
      </c>
    </row>
    <row r="4668">
      <c r="A4668" s="173" t="n">
        <v>49589</v>
      </c>
      <c r="B4668" s="174" t="n">
        <v>49589</v>
      </c>
      <c r="C4668" s="174" t="n">
        <v>1414</v>
      </c>
      <c r="D4668" s="174" t="n">
        <v>7</v>
      </c>
      <c r="E4668" s="175" t="inlineStr">
        <is>
          <t>1414/07/15</t>
        </is>
      </c>
      <c r="F4668" s="128" t="inlineStr">
        <is>
          <t>1414/07</t>
        </is>
      </c>
      <c r="G4668" s="58" t="inlineStr">
        <is>
          <t>مهر</t>
        </is>
      </c>
      <c r="H4668" s="128" t="inlineStr">
        <is>
          <t>پاییز</t>
        </is>
      </c>
      <c r="I4668" s="128" t="inlineStr">
        <is>
          <t>یکشنبه</t>
        </is>
      </c>
      <c r="J4668" s="128" t="inlineStr">
        <is>
          <t>خیر</t>
        </is>
      </c>
    </row>
    <row r="4669">
      <c r="A4669" s="176" t="n">
        <v>49590</v>
      </c>
      <c r="B4669" s="177" t="n">
        <v>49590</v>
      </c>
      <c r="C4669" s="177" t="n">
        <v>1414</v>
      </c>
      <c r="D4669" s="177" t="n">
        <v>7</v>
      </c>
      <c r="E4669" s="178" t="inlineStr">
        <is>
          <t>1414/07/16</t>
        </is>
      </c>
      <c r="F4669" s="134" t="inlineStr">
        <is>
          <t>1414/07</t>
        </is>
      </c>
      <c r="G4669" s="61" t="inlineStr">
        <is>
          <t>مهر</t>
        </is>
      </c>
      <c r="H4669" s="134" t="inlineStr">
        <is>
          <t>پاییز</t>
        </is>
      </c>
      <c r="I4669" s="134" t="inlineStr">
        <is>
          <t>دوشنبه</t>
        </is>
      </c>
      <c r="J4669" s="134" t="inlineStr">
        <is>
          <t>بله</t>
        </is>
      </c>
    </row>
    <row r="4670">
      <c r="A4670" s="173" t="n">
        <v>49591</v>
      </c>
      <c r="B4670" s="174" t="n">
        <v>49591</v>
      </c>
      <c r="C4670" s="174" t="n">
        <v>1414</v>
      </c>
      <c r="D4670" s="174" t="n">
        <v>7</v>
      </c>
      <c r="E4670" s="175" t="inlineStr">
        <is>
          <t>1414/07/17</t>
        </is>
      </c>
      <c r="F4670" s="128" t="inlineStr">
        <is>
          <t>1414/07</t>
        </is>
      </c>
      <c r="G4670" s="58" t="inlineStr">
        <is>
          <t>مهر</t>
        </is>
      </c>
      <c r="H4670" s="128" t="inlineStr">
        <is>
          <t>پاییز</t>
        </is>
      </c>
      <c r="I4670" s="128" t="inlineStr">
        <is>
          <t>سه‌شنبه</t>
        </is>
      </c>
      <c r="J4670" s="128" t="inlineStr">
        <is>
          <t>بله</t>
        </is>
      </c>
    </row>
    <row r="4671">
      <c r="A4671" s="176" t="n">
        <v>49592</v>
      </c>
      <c r="B4671" s="177" t="n">
        <v>49592</v>
      </c>
      <c r="C4671" s="177" t="n">
        <v>1414</v>
      </c>
      <c r="D4671" s="177" t="n">
        <v>7</v>
      </c>
      <c r="E4671" s="178" t="inlineStr">
        <is>
          <t>1414/07/18</t>
        </is>
      </c>
      <c r="F4671" s="134" t="inlineStr">
        <is>
          <t>1414/07</t>
        </is>
      </c>
      <c r="G4671" s="61" t="inlineStr">
        <is>
          <t>مهر</t>
        </is>
      </c>
      <c r="H4671" s="134" t="inlineStr">
        <is>
          <t>پاییز</t>
        </is>
      </c>
      <c r="I4671" s="134" t="inlineStr">
        <is>
          <t>چهارشنبه</t>
        </is>
      </c>
      <c r="J4671" s="134" t="inlineStr">
        <is>
          <t>بله</t>
        </is>
      </c>
    </row>
    <row r="4672">
      <c r="A4672" s="173" t="n">
        <v>49593</v>
      </c>
      <c r="B4672" s="174" t="n">
        <v>49593</v>
      </c>
      <c r="C4672" s="174" t="n">
        <v>1414</v>
      </c>
      <c r="D4672" s="174" t="n">
        <v>7</v>
      </c>
      <c r="E4672" s="175" t="inlineStr">
        <is>
          <t>1414/07/19</t>
        </is>
      </c>
      <c r="F4672" s="128" t="inlineStr">
        <is>
          <t>1414/07</t>
        </is>
      </c>
      <c r="G4672" s="58" t="inlineStr">
        <is>
          <t>مهر</t>
        </is>
      </c>
      <c r="H4672" s="128" t="inlineStr">
        <is>
          <t>پاییز</t>
        </is>
      </c>
      <c r="I4672" s="128" t="inlineStr">
        <is>
          <t>پنجشنبه</t>
        </is>
      </c>
      <c r="J4672" s="128" t="inlineStr">
        <is>
          <t>بله</t>
        </is>
      </c>
    </row>
    <row r="4673">
      <c r="A4673" s="176" t="n">
        <v>49594</v>
      </c>
      <c r="B4673" s="177" t="n">
        <v>49594</v>
      </c>
      <c r="C4673" s="177" t="n">
        <v>1414</v>
      </c>
      <c r="D4673" s="177" t="n">
        <v>7</v>
      </c>
      <c r="E4673" s="178" t="inlineStr">
        <is>
          <t>1414/07/20</t>
        </is>
      </c>
      <c r="F4673" s="134" t="inlineStr">
        <is>
          <t>1414/07</t>
        </is>
      </c>
      <c r="G4673" s="61" t="inlineStr">
        <is>
          <t>مهر</t>
        </is>
      </c>
      <c r="H4673" s="134" t="inlineStr">
        <is>
          <t>پاییز</t>
        </is>
      </c>
      <c r="I4673" s="134" t="inlineStr">
        <is>
          <t>جمعه</t>
        </is>
      </c>
      <c r="J4673" s="134" t="inlineStr">
        <is>
          <t>بله</t>
        </is>
      </c>
    </row>
    <row r="4674">
      <c r="A4674" s="173" t="n">
        <v>49595</v>
      </c>
      <c r="B4674" s="174" t="n">
        <v>49595</v>
      </c>
      <c r="C4674" s="174" t="n">
        <v>1414</v>
      </c>
      <c r="D4674" s="174" t="n">
        <v>7</v>
      </c>
      <c r="E4674" s="175" t="inlineStr">
        <is>
          <t>1414/07/21</t>
        </is>
      </c>
      <c r="F4674" s="128" t="inlineStr">
        <is>
          <t>1414/07</t>
        </is>
      </c>
      <c r="G4674" s="58" t="inlineStr">
        <is>
          <t>مهر</t>
        </is>
      </c>
      <c r="H4674" s="128" t="inlineStr">
        <is>
          <t>پاییز</t>
        </is>
      </c>
      <c r="I4674" s="128" t="inlineStr">
        <is>
          <t>شنبه</t>
        </is>
      </c>
      <c r="J4674" s="128" t="inlineStr">
        <is>
          <t>خیر</t>
        </is>
      </c>
    </row>
    <row r="4675">
      <c r="A4675" s="176" t="n">
        <v>49596</v>
      </c>
      <c r="B4675" s="177" t="n">
        <v>49596</v>
      </c>
      <c r="C4675" s="177" t="n">
        <v>1414</v>
      </c>
      <c r="D4675" s="177" t="n">
        <v>7</v>
      </c>
      <c r="E4675" s="178" t="inlineStr">
        <is>
          <t>1414/07/22</t>
        </is>
      </c>
      <c r="F4675" s="134" t="inlineStr">
        <is>
          <t>1414/07</t>
        </is>
      </c>
      <c r="G4675" s="61" t="inlineStr">
        <is>
          <t>مهر</t>
        </is>
      </c>
      <c r="H4675" s="134" t="inlineStr">
        <is>
          <t>پاییز</t>
        </is>
      </c>
      <c r="I4675" s="134" t="inlineStr">
        <is>
          <t>یکشنبه</t>
        </is>
      </c>
      <c r="J4675" s="134" t="inlineStr">
        <is>
          <t>خیر</t>
        </is>
      </c>
    </row>
    <row r="4676">
      <c r="A4676" s="173" t="n">
        <v>49597</v>
      </c>
      <c r="B4676" s="174" t="n">
        <v>49597</v>
      </c>
      <c r="C4676" s="174" t="n">
        <v>1414</v>
      </c>
      <c r="D4676" s="174" t="n">
        <v>7</v>
      </c>
      <c r="E4676" s="175" t="inlineStr">
        <is>
          <t>1414/07/23</t>
        </is>
      </c>
      <c r="F4676" s="128" t="inlineStr">
        <is>
          <t>1414/07</t>
        </is>
      </c>
      <c r="G4676" s="58" t="inlineStr">
        <is>
          <t>مهر</t>
        </is>
      </c>
      <c r="H4676" s="128" t="inlineStr">
        <is>
          <t>پاییز</t>
        </is>
      </c>
      <c r="I4676" s="128" t="inlineStr">
        <is>
          <t>دوشنبه</t>
        </is>
      </c>
      <c r="J4676" s="128" t="inlineStr">
        <is>
          <t>بله</t>
        </is>
      </c>
    </row>
    <row r="4677">
      <c r="A4677" s="176" t="n">
        <v>49598</v>
      </c>
      <c r="B4677" s="177" t="n">
        <v>49598</v>
      </c>
      <c r="C4677" s="177" t="n">
        <v>1414</v>
      </c>
      <c r="D4677" s="177" t="n">
        <v>7</v>
      </c>
      <c r="E4677" s="178" t="inlineStr">
        <is>
          <t>1414/07/24</t>
        </is>
      </c>
      <c r="F4677" s="134" t="inlineStr">
        <is>
          <t>1414/07</t>
        </is>
      </c>
      <c r="G4677" s="61" t="inlineStr">
        <is>
          <t>مهر</t>
        </is>
      </c>
      <c r="H4677" s="134" t="inlineStr">
        <is>
          <t>پاییز</t>
        </is>
      </c>
      <c r="I4677" s="134" t="inlineStr">
        <is>
          <t>سه‌شنبه</t>
        </is>
      </c>
      <c r="J4677" s="134" t="inlineStr">
        <is>
          <t>بله</t>
        </is>
      </c>
    </row>
    <row r="4678">
      <c r="A4678" s="173" t="n">
        <v>49599</v>
      </c>
      <c r="B4678" s="174" t="n">
        <v>49599</v>
      </c>
      <c r="C4678" s="174" t="n">
        <v>1414</v>
      </c>
      <c r="D4678" s="174" t="n">
        <v>7</v>
      </c>
      <c r="E4678" s="175" t="inlineStr">
        <is>
          <t>1414/07/25</t>
        </is>
      </c>
      <c r="F4678" s="128" t="inlineStr">
        <is>
          <t>1414/07</t>
        </is>
      </c>
      <c r="G4678" s="58" t="inlineStr">
        <is>
          <t>مهر</t>
        </is>
      </c>
      <c r="H4678" s="128" t="inlineStr">
        <is>
          <t>پاییز</t>
        </is>
      </c>
      <c r="I4678" s="128" t="inlineStr">
        <is>
          <t>چهارشنبه</t>
        </is>
      </c>
      <c r="J4678" s="128" t="inlineStr">
        <is>
          <t>بله</t>
        </is>
      </c>
    </row>
    <row r="4679">
      <c r="A4679" s="176" t="n">
        <v>49600</v>
      </c>
      <c r="B4679" s="177" t="n">
        <v>49600</v>
      </c>
      <c r="C4679" s="177" t="n">
        <v>1414</v>
      </c>
      <c r="D4679" s="177" t="n">
        <v>7</v>
      </c>
      <c r="E4679" s="178" t="inlineStr">
        <is>
          <t>1414/07/26</t>
        </is>
      </c>
      <c r="F4679" s="134" t="inlineStr">
        <is>
          <t>1414/07</t>
        </is>
      </c>
      <c r="G4679" s="61" t="inlineStr">
        <is>
          <t>مهر</t>
        </is>
      </c>
      <c r="H4679" s="134" t="inlineStr">
        <is>
          <t>پاییز</t>
        </is>
      </c>
      <c r="I4679" s="134" t="inlineStr">
        <is>
          <t>پنجشنبه</t>
        </is>
      </c>
      <c r="J4679" s="134" t="inlineStr">
        <is>
          <t>بله</t>
        </is>
      </c>
    </row>
    <row r="4680">
      <c r="A4680" s="173" t="n">
        <v>49601</v>
      </c>
      <c r="B4680" s="174" t="n">
        <v>49601</v>
      </c>
      <c r="C4680" s="174" t="n">
        <v>1414</v>
      </c>
      <c r="D4680" s="174" t="n">
        <v>7</v>
      </c>
      <c r="E4680" s="175" t="inlineStr">
        <is>
          <t>1414/07/27</t>
        </is>
      </c>
      <c r="F4680" s="128" t="inlineStr">
        <is>
          <t>1414/07</t>
        </is>
      </c>
      <c r="G4680" s="58" t="inlineStr">
        <is>
          <t>مهر</t>
        </is>
      </c>
      <c r="H4680" s="128" t="inlineStr">
        <is>
          <t>پاییز</t>
        </is>
      </c>
      <c r="I4680" s="128" t="inlineStr">
        <is>
          <t>جمعه</t>
        </is>
      </c>
      <c r="J4680" s="128" t="inlineStr">
        <is>
          <t>بله</t>
        </is>
      </c>
    </row>
    <row r="4681">
      <c r="A4681" s="176" t="n">
        <v>49602</v>
      </c>
      <c r="B4681" s="177" t="n">
        <v>49602</v>
      </c>
      <c r="C4681" s="177" t="n">
        <v>1414</v>
      </c>
      <c r="D4681" s="177" t="n">
        <v>7</v>
      </c>
      <c r="E4681" s="178" t="inlineStr">
        <is>
          <t>1414/07/28</t>
        </is>
      </c>
      <c r="F4681" s="134" t="inlineStr">
        <is>
          <t>1414/07</t>
        </is>
      </c>
      <c r="G4681" s="61" t="inlineStr">
        <is>
          <t>مهر</t>
        </is>
      </c>
      <c r="H4681" s="134" t="inlineStr">
        <is>
          <t>پاییز</t>
        </is>
      </c>
      <c r="I4681" s="134" t="inlineStr">
        <is>
          <t>شنبه</t>
        </is>
      </c>
      <c r="J4681" s="134" t="inlineStr">
        <is>
          <t>خیر</t>
        </is>
      </c>
    </row>
    <row r="4682">
      <c r="A4682" s="173" t="n">
        <v>49603</v>
      </c>
      <c r="B4682" s="174" t="n">
        <v>49603</v>
      </c>
      <c r="C4682" s="174" t="n">
        <v>1414</v>
      </c>
      <c r="D4682" s="174" t="n">
        <v>7</v>
      </c>
      <c r="E4682" s="175" t="inlineStr">
        <is>
          <t>1414/07/29</t>
        </is>
      </c>
      <c r="F4682" s="128" t="inlineStr">
        <is>
          <t>1414/07</t>
        </is>
      </c>
      <c r="G4682" s="58" t="inlineStr">
        <is>
          <t>مهر</t>
        </is>
      </c>
      <c r="H4682" s="128" t="inlineStr">
        <is>
          <t>پاییز</t>
        </is>
      </c>
      <c r="I4682" s="128" t="inlineStr">
        <is>
          <t>یکشنبه</t>
        </is>
      </c>
      <c r="J4682" s="128" t="inlineStr">
        <is>
          <t>خیر</t>
        </is>
      </c>
    </row>
    <row r="4683">
      <c r="A4683" s="176" t="n">
        <v>49604</v>
      </c>
      <c r="B4683" s="177" t="n">
        <v>49604</v>
      </c>
      <c r="C4683" s="177" t="n">
        <v>1414</v>
      </c>
      <c r="D4683" s="177" t="n">
        <v>7</v>
      </c>
      <c r="E4683" s="178" t="inlineStr">
        <is>
          <t>1414/07/30</t>
        </is>
      </c>
      <c r="F4683" s="134" t="inlineStr">
        <is>
          <t>1414/07</t>
        </is>
      </c>
      <c r="G4683" s="61" t="inlineStr">
        <is>
          <t>مهر</t>
        </is>
      </c>
      <c r="H4683" s="134" t="inlineStr">
        <is>
          <t>پاییز</t>
        </is>
      </c>
      <c r="I4683" s="134" t="inlineStr">
        <is>
          <t>دوشنبه</t>
        </is>
      </c>
      <c r="J4683" s="134" t="inlineStr">
        <is>
          <t>بله</t>
        </is>
      </c>
    </row>
    <row r="4684">
      <c r="A4684" s="173" t="n">
        <v>49605</v>
      </c>
      <c r="B4684" s="174" t="n">
        <v>49605</v>
      </c>
      <c r="C4684" s="174" t="n">
        <v>1414</v>
      </c>
      <c r="D4684" s="174" t="n">
        <v>8</v>
      </c>
      <c r="E4684" s="175" t="inlineStr">
        <is>
          <t>1414/08/01</t>
        </is>
      </c>
      <c r="F4684" s="128" t="inlineStr">
        <is>
          <t>1414/08</t>
        </is>
      </c>
      <c r="G4684" s="58" t="inlineStr">
        <is>
          <t>آبان</t>
        </is>
      </c>
      <c r="H4684" s="128" t="inlineStr">
        <is>
          <t>پاییز</t>
        </is>
      </c>
      <c r="I4684" s="128" t="inlineStr">
        <is>
          <t>سه‌شنبه</t>
        </is>
      </c>
      <c r="J4684" s="128" t="inlineStr">
        <is>
          <t>بله</t>
        </is>
      </c>
    </row>
    <row r="4685">
      <c r="A4685" s="176" t="n">
        <v>49606</v>
      </c>
      <c r="B4685" s="177" t="n">
        <v>49606</v>
      </c>
      <c r="C4685" s="177" t="n">
        <v>1414</v>
      </c>
      <c r="D4685" s="177" t="n">
        <v>8</v>
      </c>
      <c r="E4685" s="178" t="inlineStr">
        <is>
          <t>1414/08/02</t>
        </is>
      </c>
      <c r="F4685" s="134" t="inlineStr">
        <is>
          <t>1414/08</t>
        </is>
      </c>
      <c r="G4685" s="61" t="inlineStr">
        <is>
          <t>آبان</t>
        </is>
      </c>
      <c r="H4685" s="134" t="inlineStr">
        <is>
          <t>پاییز</t>
        </is>
      </c>
      <c r="I4685" s="134" t="inlineStr">
        <is>
          <t>چهارشنبه</t>
        </is>
      </c>
      <c r="J4685" s="134" t="inlineStr">
        <is>
          <t>بله</t>
        </is>
      </c>
    </row>
    <row r="4686">
      <c r="A4686" s="173" t="n">
        <v>49607</v>
      </c>
      <c r="B4686" s="174" t="n">
        <v>49607</v>
      </c>
      <c r="C4686" s="174" t="n">
        <v>1414</v>
      </c>
      <c r="D4686" s="174" t="n">
        <v>8</v>
      </c>
      <c r="E4686" s="175" t="inlineStr">
        <is>
          <t>1414/08/03</t>
        </is>
      </c>
      <c r="F4686" s="128" t="inlineStr">
        <is>
          <t>1414/08</t>
        </is>
      </c>
      <c r="G4686" s="58" t="inlineStr">
        <is>
          <t>آبان</t>
        </is>
      </c>
      <c r="H4686" s="128" t="inlineStr">
        <is>
          <t>پاییز</t>
        </is>
      </c>
      <c r="I4686" s="128" t="inlineStr">
        <is>
          <t>پنجشنبه</t>
        </is>
      </c>
      <c r="J4686" s="128" t="inlineStr">
        <is>
          <t>بله</t>
        </is>
      </c>
    </row>
    <row r="4687">
      <c r="A4687" s="176" t="n">
        <v>49608</v>
      </c>
      <c r="B4687" s="177" t="n">
        <v>49608</v>
      </c>
      <c r="C4687" s="177" t="n">
        <v>1414</v>
      </c>
      <c r="D4687" s="177" t="n">
        <v>8</v>
      </c>
      <c r="E4687" s="178" t="inlineStr">
        <is>
          <t>1414/08/04</t>
        </is>
      </c>
      <c r="F4687" s="134" t="inlineStr">
        <is>
          <t>1414/08</t>
        </is>
      </c>
      <c r="G4687" s="61" t="inlineStr">
        <is>
          <t>آبان</t>
        </is>
      </c>
      <c r="H4687" s="134" t="inlineStr">
        <is>
          <t>پاییز</t>
        </is>
      </c>
      <c r="I4687" s="134" t="inlineStr">
        <is>
          <t>جمعه</t>
        </is>
      </c>
      <c r="J4687" s="134" t="inlineStr">
        <is>
          <t>بله</t>
        </is>
      </c>
    </row>
    <row r="4688">
      <c r="A4688" s="173" t="n">
        <v>49609</v>
      </c>
      <c r="B4688" s="174" t="n">
        <v>49609</v>
      </c>
      <c r="C4688" s="174" t="n">
        <v>1414</v>
      </c>
      <c r="D4688" s="174" t="n">
        <v>8</v>
      </c>
      <c r="E4688" s="175" t="inlineStr">
        <is>
          <t>1414/08/05</t>
        </is>
      </c>
      <c r="F4688" s="128" t="inlineStr">
        <is>
          <t>1414/08</t>
        </is>
      </c>
      <c r="G4688" s="58" t="inlineStr">
        <is>
          <t>آبان</t>
        </is>
      </c>
      <c r="H4688" s="128" t="inlineStr">
        <is>
          <t>پاییز</t>
        </is>
      </c>
      <c r="I4688" s="128" t="inlineStr">
        <is>
          <t>شنبه</t>
        </is>
      </c>
      <c r="J4688" s="128" t="inlineStr">
        <is>
          <t>خیر</t>
        </is>
      </c>
    </row>
    <row r="4689">
      <c r="A4689" s="176" t="n">
        <v>49610</v>
      </c>
      <c r="B4689" s="177" t="n">
        <v>49610</v>
      </c>
      <c r="C4689" s="177" t="n">
        <v>1414</v>
      </c>
      <c r="D4689" s="177" t="n">
        <v>8</v>
      </c>
      <c r="E4689" s="178" t="inlineStr">
        <is>
          <t>1414/08/06</t>
        </is>
      </c>
      <c r="F4689" s="134" t="inlineStr">
        <is>
          <t>1414/08</t>
        </is>
      </c>
      <c r="G4689" s="61" t="inlineStr">
        <is>
          <t>آبان</t>
        </is>
      </c>
      <c r="H4689" s="134" t="inlineStr">
        <is>
          <t>پاییز</t>
        </is>
      </c>
      <c r="I4689" s="134" t="inlineStr">
        <is>
          <t>یکشنبه</t>
        </is>
      </c>
      <c r="J4689" s="134" t="inlineStr">
        <is>
          <t>خیر</t>
        </is>
      </c>
    </row>
    <row r="4690">
      <c r="A4690" s="173" t="n">
        <v>49611</v>
      </c>
      <c r="B4690" s="174" t="n">
        <v>49611</v>
      </c>
      <c r="C4690" s="174" t="n">
        <v>1414</v>
      </c>
      <c r="D4690" s="174" t="n">
        <v>8</v>
      </c>
      <c r="E4690" s="175" t="inlineStr">
        <is>
          <t>1414/08/07</t>
        </is>
      </c>
      <c r="F4690" s="128" t="inlineStr">
        <is>
          <t>1414/08</t>
        </is>
      </c>
      <c r="G4690" s="58" t="inlineStr">
        <is>
          <t>آبان</t>
        </is>
      </c>
      <c r="H4690" s="128" t="inlineStr">
        <is>
          <t>پاییز</t>
        </is>
      </c>
      <c r="I4690" s="128" t="inlineStr">
        <is>
          <t>دوشنبه</t>
        </is>
      </c>
      <c r="J4690" s="128" t="inlineStr">
        <is>
          <t>بله</t>
        </is>
      </c>
    </row>
    <row r="4691">
      <c r="A4691" s="176" t="n">
        <v>49612</v>
      </c>
      <c r="B4691" s="177" t="n">
        <v>49612</v>
      </c>
      <c r="C4691" s="177" t="n">
        <v>1414</v>
      </c>
      <c r="D4691" s="177" t="n">
        <v>8</v>
      </c>
      <c r="E4691" s="178" t="inlineStr">
        <is>
          <t>1414/08/08</t>
        </is>
      </c>
      <c r="F4691" s="134" t="inlineStr">
        <is>
          <t>1414/08</t>
        </is>
      </c>
      <c r="G4691" s="61" t="inlineStr">
        <is>
          <t>آبان</t>
        </is>
      </c>
      <c r="H4691" s="134" t="inlineStr">
        <is>
          <t>پاییز</t>
        </is>
      </c>
      <c r="I4691" s="134" t="inlineStr">
        <is>
          <t>سه‌شنبه</t>
        </is>
      </c>
      <c r="J4691" s="134" t="inlineStr">
        <is>
          <t>بله</t>
        </is>
      </c>
    </row>
    <row r="4692">
      <c r="A4692" s="173" t="n">
        <v>49613</v>
      </c>
      <c r="B4692" s="174" t="n">
        <v>49613</v>
      </c>
      <c r="C4692" s="174" t="n">
        <v>1414</v>
      </c>
      <c r="D4692" s="174" t="n">
        <v>8</v>
      </c>
      <c r="E4692" s="175" t="inlineStr">
        <is>
          <t>1414/08/09</t>
        </is>
      </c>
      <c r="F4692" s="128" t="inlineStr">
        <is>
          <t>1414/08</t>
        </is>
      </c>
      <c r="G4692" s="58" t="inlineStr">
        <is>
          <t>آبان</t>
        </is>
      </c>
      <c r="H4692" s="128" t="inlineStr">
        <is>
          <t>پاییز</t>
        </is>
      </c>
      <c r="I4692" s="128" t="inlineStr">
        <is>
          <t>چهارشنبه</t>
        </is>
      </c>
      <c r="J4692" s="128" t="inlineStr">
        <is>
          <t>بله</t>
        </is>
      </c>
    </row>
    <row r="4693">
      <c r="A4693" s="176" t="n">
        <v>49614</v>
      </c>
      <c r="B4693" s="177" t="n">
        <v>49614</v>
      </c>
      <c r="C4693" s="177" t="n">
        <v>1414</v>
      </c>
      <c r="D4693" s="177" t="n">
        <v>8</v>
      </c>
      <c r="E4693" s="178" t="inlineStr">
        <is>
          <t>1414/08/10</t>
        </is>
      </c>
      <c r="F4693" s="134" t="inlineStr">
        <is>
          <t>1414/08</t>
        </is>
      </c>
      <c r="G4693" s="61" t="inlineStr">
        <is>
          <t>آبان</t>
        </is>
      </c>
      <c r="H4693" s="134" t="inlineStr">
        <is>
          <t>پاییز</t>
        </is>
      </c>
      <c r="I4693" s="134" t="inlineStr">
        <is>
          <t>پنجشنبه</t>
        </is>
      </c>
      <c r="J4693" s="134" t="inlineStr">
        <is>
          <t>بله</t>
        </is>
      </c>
    </row>
    <row r="4694">
      <c r="A4694" s="173" t="n">
        <v>49615</v>
      </c>
      <c r="B4694" s="174" t="n">
        <v>49615</v>
      </c>
      <c r="C4694" s="174" t="n">
        <v>1414</v>
      </c>
      <c r="D4694" s="174" t="n">
        <v>8</v>
      </c>
      <c r="E4694" s="175" t="inlineStr">
        <is>
          <t>1414/08/11</t>
        </is>
      </c>
      <c r="F4694" s="128" t="inlineStr">
        <is>
          <t>1414/08</t>
        </is>
      </c>
      <c r="G4694" s="58" t="inlineStr">
        <is>
          <t>آبان</t>
        </is>
      </c>
      <c r="H4694" s="128" t="inlineStr">
        <is>
          <t>پاییز</t>
        </is>
      </c>
      <c r="I4694" s="128" t="inlineStr">
        <is>
          <t>جمعه</t>
        </is>
      </c>
      <c r="J4694" s="128" t="inlineStr">
        <is>
          <t>بله</t>
        </is>
      </c>
    </row>
    <row r="4695">
      <c r="A4695" s="176" t="n">
        <v>49616</v>
      </c>
      <c r="B4695" s="177" t="n">
        <v>49616</v>
      </c>
      <c r="C4695" s="177" t="n">
        <v>1414</v>
      </c>
      <c r="D4695" s="177" t="n">
        <v>8</v>
      </c>
      <c r="E4695" s="178" t="inlineStr">
        <is>
          <t>1414/08/12</t>
        </is>
      </c>
      <c r="F4695" s="134" t="inlineStr">
        <is>
          <t>1414/08</t>
        </is>
      </c>
      <c r="G4695" s="61" t="inlineStr">
        <is>
          <t>آبان</t>
        </is>
      </c>
      <c r="H4695" s="134" t="inlineStr">
        <is>
          <t>پاییز</t>
        </is>
      </c>
      <c r="I4695" s="134" t="inlineStr">
        <is>
          <t>شنبه</t>
        </is>
      </c>
      <c r="J4695" s="134" t="inlineStr">
        <is>
          <t>خیر</t>
        </is>
      </c>
    </row>
    <row r="4696">
      <c r="A4696" s="173" t="n">
        <v>49617</v>
      </c>
      <c r="B4696" s="174" t="n">
        <v>49617</v>
      </c>
      <c r="C4696" s="174" t="n">
        <v>1414</v>
      </c>
      <c r="D4696" s="174" t="n">
        <v>8</v>
      </c>
      <c r="E4696" s="175" t="inlineStr">
        <is>
          <t>1414/08/13</t>
        </is>
      </c>
      <c r="F4696" s="128" t="inlineStr">
        <is>
          <t>1414/08</t>
        </is>
      </c>
      <c r="G4696" s="58" t="inlineStr">
        <is>
          <t>آبان</t>
        </is>
      </c>
      <c r="H4696" s="128" t="inlineStr">
        <is>
          <t>پاییز</t>
        </is>
      </c>
      <c r="I4696" s="128" t="inlineStr">
        <is>
          <t>یکشنبه</t>
        </is>
      </c>
      <c r="J4696" s="128" t="inlineStr">
        <is>
          <t>خیر</t>
        </is>
      </c>
    </row>
    <row r="4697">
      <c r="A4697" s="176" t="n">
        <v>49618</v>
      </c>
      <c r="B4697" s="177" t="n">
        <v>49618</v>
      </c>
      <c r="C4697" s="177" t="n">
        <v>1414</v>
      </c>
      <c r="D4697" s="177" t="n">
        <v>8</v>
      </c>
      <c r="E4697" s="178" t="inlineStr">
        <is>
          <t>1414/08/14</t>
        </is>
      </c>
      <c r="F4697" s="134" t="inlineStr">
        <is>
          <t>1414/08</t>
        </is>
      </c>
      <c r="G4697" s="61" t="inlineStr">
        <is>
          <t>آبان</t>
        </is>
      </c>
      <c r="H4697" s="134" t="inlineStr">
        <is>
          <t>پاییز</t>
        </is>
      </c>
      <c r="I4697" s="134" t="inlineStr">
        <is>
          <t>دوشنبه</t>
        </is>
      </c>
      <c r="J4697" s="134" t="inlineStr">
        <is>
          <t>بله</t>
        </is>
      </c>
    </row>
    <row r="4698">
      <c r="A4698" s="173" t="n">
        <v>49619</v>
      </c>
      <c r="B4698" s="174" t="n">
        <v>49619</v>
      </c>
      <c r="C4698" s="174" t="n">
        <v>1414</v>
      </c>
      <c r="D4698" s="174" t="n">
        <v>8</v>
      </c>
      <c r="E4698" s="175" t="inlineStr">
        <is>
          <t>1414/08/15</t>
        </is>
      </c>
      <c r="F4698" s="128" t="inlineStr">
        <is>
          <t>1414/08</t>
        </is>
      </c>
      <c r="G4698" s="58" t="inlineStr">
        <is>
          <t>آبان</t>
        </is>
      </c>
      <c r="H4698" s="128" t="inlineStr">
        <is>
          <t>پاییز</t>
        </is>
      </c>
      <c r="I4698" s="128" t="inlineStr">
        <is>
          <t>سه‌شنبه</t>
        </is>
      </c>
      <c r="J4698" s="128" t="inlineStr">
        <is>
          <t>بله</t>
        </is>
      </c>
    </row>
    <row r="4699">
      <c r="A4699" s="176" t="n">
        <v>49620</v>
      </c>
      <c r="B4699" s="177" t="n">
        <v>49620</v>
      </c>
      <c r="C4699" s="177" t="n">
        <v>1414</v>
      </c>
      <c r="D4699" s="177" t="n">
        <v>8</v>
      </c>
      <c r="E4699" s="178" t="inlineStr">
        <is>
          <t>1414/08/16</t>
        </is>
      </c>
      <c r="F4699" s="134" t="inlineStr">
        <is>
          <t>1414/08</t>
        </is>
      </c>
      <c r="G4699" s="61" t="inlineStr">
        <is>
          <t>آبان</t>
        </is>
      </c>
      <c r="H4699" s="134" t="inlineStr">
        <is>
          <t>پاییز</t>
        </is>
      </c>
      <c r="I4699" s="134" t="inlineStr">
        <is>
          <t>چهارشنبه</t>
        </is>
      </c>
      <c r="J4699" s="134" t="inlineStr">
        <is>
          <t>بله</t>
        </is>
      </c>
    </row>
    <row r="4700">
      <c r="A4700" s="173" t="n">
        <v>49621</v>
      </c>
      <c r="B4700" s="174" t="n">
        <v>49621</v>
      </c>
      <c r="C4700" s="174" t="n">
        <v>1414</v>
      </c>
      <c r="D4700" s="174" t="n">
        <v>8</v>
      </c>
      <c r="E4700" s="175" t="inlineStr">
        <is>
          <t>1414/08/17</t>
        </is>
      </c>
      <c r="F4700" s="128" t="inlineStr">
        <is>
          <t>1414/08</t>
        </is>
      </c>
      <c r="G4700" s="58" t="inlineStr">
        <is>
          <t>آبان</t>
        </is>
      </c>
      <c r="H4700" s="128" t="inlineStr">
        <is>
          <t>پاییز</t>
        </is>
      </c>
      <c r="I4700" s="128" t="inlineStr">
        <is>
          <t>پنجشنبه</t>
        </is>
      </c>
      <c r="J4700" s="128" t="inlineStr">
        <is>
          <t>بله</t>
        </is>
      </c>
    </row>
    <row r="4701">
      <c r="A4701" s="176" t="n">
        <v>49622</v>
      </c>
      <c r="B4701" s="177" t="n">
        <v>49622</v>
      </c>
      <c r="C4701" s="177" t="n">
        <v>1414</v>
      </c>
      <c r="D4701" s="177" t="n">
        <v>8</v>
      </c>
      <c r="E4701" s="178" t="inlineStr">
        <is>
          <t>1414/08/18</t>
        </is>
      </c>
      <c r="F4701" s="134" t="inlineStr">
        <is>
          <t>1414/08</t>
        </is>
      </c>
      <c r="G4701" s="61" t="inlineStr">
        <is>
          <t>آبان</t>
        </is>
      </c>
      <c r="H4701" s="134" t="inlineStr">
        <is>
          <t>پاییز</t>
        </is>
      </c>
      <c r="I4701" s="134" t="inlineStr">
        <is>
          <t>جمعه</t>
        </is>
      </c>
      <c r="J4701" s="134" t="inlineStr">
        <is>
          <t>بله</t>
        </is>
      </c>
    </row>
    <row r="4702">
      <c r="A4702" s="173" t="n">
        <v>49623</v>
      </c>
      <c r="B4702" s="174" t="n">
        <v>49623</v>
      </c>
      <c r="C4702" s="174" t="n">
        <v>1414</v>
      </c>
      <c r="D4702" s="174" t="n">
        <v>8</v>
      </c>
      <c r="E4702" s="175" t="inlineStr">
        <is>
          <t>1414/08/19</t>
        </is>
      </c>
      <c r="F4702" s="128" t="inlineStr">
        <is>
          <t>1414/08</t>
        </is>
      </c>
      <c r="G4702" s="58" t="inlineStr">
        <is>
          <t>آبان</t>
        </is>
      </c>
      <c r="H4702" s="128" t="inlineStr">
        <is>
          <t>پاییز</t>
        </is>
      </c>
      <c r="I4702" s="128" t="inlineStr">
        <is>
          <t>شنبه</t>
        </is>
      </c>
      <c r="J4702" s="128" t="inlineStr">
        <is>
          <t>خیر</t>
        </is>
      </c>
    </row>
    <row r="4703">
      <c r="A4703" s="176" t="n">
        <v>49624</v>
      </c>
      <c r="B4703" s="177" t="n">
        <v>49624</v>
      </c>
      <c r="C4703" s="177" t="n">
        <v>1414</v>
      </c>
      <c r="D4703" s="177" t="n">
        <v>8</v>
      </c>
      <c r="E4703" s="178" t="inlineStr">
        <is>
          <t>1414/08/20</t>
        </is>
      </c>
      <c r="F4703" s="134" t="inlineStr">
        <is>
          <t>1414/08</t>
        </is>
      </c>
      <c r="G4703" s="61" t="inlineStr">
        <is>
          <t>آبان</t>
        </is>
      </c>
      <c r="H4703" s="134" t="inlineStr">
        <is>
          <t>پاییز</t>
        </is>
      </c>
      <c r="I4703" s="134" t="inlineStr">
        <is>
          <t>یکشنبه</t>
        </is>
      </c>
      <c r="J4703" s="134" t="inlineStr">
        <is>
          <t>خیر</t>
        </is>
      </c>
    </row>
    <row r="4704">
      <c r="A4704" s="173" t="n">
        <v>49625</v>
      </c>
      <c r="B4704" s="174" t="n">
        <v>49625</v>
      </c>
      <c r="C4704" s="174" t="n">
        <v>1414</v>
      </c>
      <c r="D4704" s="174" t="n">
        <v>8</v>
      </c>
      <c r="E4704" s="175" t="inlineStr">
        <is>
          <t>1414/08/21</t>
        </is>
      </c>
      <c r="F4704" s="128" t="inlineStr">
        <is>
          <t>1414/08</t>
        </is>
      </c>
      <c r="G4704" s="58" t="inlineStr">
        <is>
          <t>آبان</t>
        </is>
      </c>
      <c r="H4704" s="128" t="inlineStr">
        <is>
          <t>پاییز</t>
        </is>
      </c>
      <c r="I4704" s="128" t="inlineStr">
        <is>
          <t>دوشنبه</t>
        </is>
      </c>
      <c r="J4704" s="128" t="inlineStr">
        <is>
          <t>بله</t>
        </is>
      </c>
    </row>
    <row r="4705">
      <c r="A4705" s="176" t="n">
        <v>49626</v>
      </c>
      <c r="B4705" s="177" t="n">
        <v>49626</v>
      </c>
      <c r="C4705" s="177" t="n">
        <v>1414</v>
      </c>
      <c r="D4705" s="177" t="n">
        <v>8</v>
      </c>
      <c r="E4705" s="178" t="inlineStr">
        <is>
          <t>1414/08/22</t>
        </is>
      </c>
      <c r="F4705" s="134" t="inlineStr">
        <is>
          <t>1414/08</t>
        </is>
      </c>
      <c r="G4705" s="61" t="inlineStr">
        <is>
          <t>آبان</t>
        </is>
      </c>
      <c r="H4705" s="134" t="inlineStr">
        <is>
          <t>پاییز</t>
        </is>
      </c>
      <c r="I4705" s="134" t="inlineStr">
        <is>
          <t>سه‌شنبه</t>
        </is>
      </c>
      <c r="J4705" s="134" t="inlineStr">
        <is>
          <t>بله</t>
        </is>
      </c>
    </row>
    <row r="4706">
      <c r="A4706" s="173" t="n">
        <v>49627</v>
      </c>
      <c r="B4706" s="174" t="n">
        <v>49627</v>
      </c>
      <c r="C4706" s="174" t="n">
        <v>1414</v>
      </c>
      <c r="D4706" s="174" t="n">
        <v>8</v>
      </c>
      <c r="E4706" s="175" t="inlineStr">
        <is>
          <t>1414/08/23</t>
        </is>
      </c>
      <c r="F4706" s="128" t="inlineStr">
        <is>
          <t>1414/08</t>
        </is>
      </c>
      <c r="G4706" s="58" t="inlineStr">
        <is>
          <t>آبان</t>
        </is>
      </c>
      <c r="H4706" s="128" t="inlineStr">
        <is>
          <t>پاییز</t>
        </is>
      </c>
      <c r="I4706" s="128" t="inlineStr">
        <is>
          <t>چهارشنبه</t>
        </is>
      </c>
      <c r="J4706" s="128" t="inlineStr">
        <is>
          <t>بله</t>
        </is>
      </c>
    </row>
    <row r="4707">
      <c r="A4707" s="176" t="n">
        <v>49628</v>
      </c>
      <c r="B4707" s="177" t="n">
        <v>49628</v>
      </c>
      <c r="C4707" s="177" t="n">
        <v>1414</v>
      </c>
      <c r="D4707" s="177" t="n">
        <v>8</v>
      </c>
      <c r="E4707" s="178" t="inlineStr">
        <is>
          <t>1414/08/24</t>
        </is>
      </c>
      <c r="F4707" s="134" t="inlineStr">
        <is>
          <t>1414/08</t>
        </is>
      </c>
      <c r="G4707" s="61" t="inlineStr">
        <is>
          <t>آبان</t>
        </is>
      </c>
      <c r="H4707" s="134" t="inlineStr">
        <is>
          <t>پاییز</t>
        </is>
      </c>
      <c r="I4707" s="134" t="inlineStr">
        <is>
          <t>پنجشنبه</t>
        </is>
      </c>
      <c r="J4707" s="134" t="inlineStr">
        <is>
          <t>بله</t>
        </is>
      </c>
    </row>
    <row r="4708">
      <c r="A4708" s="173" t="n">
        <v>49629</v>
      </c>
      <c r="B4708" s="174" t="n">
        <v>49629</v>
      </c>
      <c r="C4708" s="174" t="n">
        <v>1414</v>
      </c>
      <c r="D4708" s="174" t="n">
        <v>8</v>
      </c>
      <c r="E4708" s="175" t="inlineStr">
        <is>
          <t>1414/08/25</t>
        </is>
      </c>
      <c r="F4708" s="128" t="inlineStr">
        <is>
          <t>1414/08</t>
        </is>
      </c>
      <c r="G4708" s="58" t="inlineStr">
        <is>
          <t>آبان</t>
        </is>
      </c>
      <c r="H4708" s="128" t="inlineStr">
        <is>
          <t>پاییز</t>
        </is>
      </c>
      <c r="I4708" s="128" t="inlineStr">
        <is>
          <t>جمعه</t>
        </is>
      </c>
      <c r="J4708" s="128" t="inlineStr">
        <is>
          <t>بله</t>
        </is>
      </c>
    </row>
    <row r="4709">
      <c r="A4709" s="176" t="n">
        <v>49630</v>
      </c>
      <c r="B4709" s="177" t="n">
        <v>49630</v>
      </c>
      <c r="C4709" s="177" t="n">
        <v>1414</v>
      </c>
      <c r="D4709" s="177" t="n">
        <v>8</v>
      </c>
      <c r="E4709" s="178" t="inlineStr">
        <is>
          <t>1414/08/26</t>
        </is>
      </c>
      <c r="F4709" s="134" t="inlineStr">
        <is>
          <t>1414/08</t>
        </is>
      </c>
      <c r="G4709" s="61" t="inlineStr">
        <is>
          <t>آبان</t>
        </is>
      </c>
      <c r="H4709" s="134" t="inlineStr">
        <is>
          <t>پاییز</t>
        </is>
      </c>
      <c r="I4709" s="134" t="inlineStr">
        <is>
          <t>شنبه</t>
        </is>
      </c>
      <c r="J4709" s="134" t="inlineStr">
        <is>
          <t>خیر</t>
        </is>
      </c>
    </row>
    <row r="4710">
      <c r="A4710" s="173" t="n">
        <v>49631</v>
      </c>
      <c r="B4710" s="174" t="n">
        <v>49631</v>
      </c>
      <c r="C4710" s="174" t="n">
        <v>1414</v>
      </c>
      <c r="D4710" s="174" t="n">
        <v>8</v>
      </c>
      <c r="E4710" s="175" t="inlineStr">
        <is>
          <t>1414/08/27</t>
        </is>
      </c>
      <c r="F4710" s="128" t="inlineStr">
        <is>
          <t>1414/08</t>
        </is>
      </c>
      <c r="G4710" s="58" t="inlineStr">
        <is>
          <t>آبان</t>
        </is>
      </c>
      <c r="H4710" s="128" t="inlineStr">
        <is>
          <t>پاییز</t>
        </is>
      </c>
      <c r="I4710" s="128" t="inlineStr">
        <is>
          <t>یکشنبه</t>
        </is>
      </c>
      <c r="J4710" s="128" t="inlineStr">
        <is>
          <t>خیر</t>
        </is>
      </c>
    </row>
    <row r="4711">
      <c r="A4711" s="176" t="n">
        <v>49632</v>
      </c>
      <c r="B4711" s="177" t="n">
        <v>49632</v>
      </c>
      <c r="C4711" s="177" t="n">
        <v>1414</v>
      </c>
      <c r="D4711" s="177" t="n">
        <v>8</v>
      </c>
      <c r="E4711" s="178" t="inlineStr">
        <is>
          <t>1414/08/28</t>
        </is>
      </c>
      <c r="F4711" s="134" t="inlineStr">
        <is>
          <t>1414/08</t>
        </is>
      </c>
      <c r="G4711" s="61" t="inlineStr">
        <is>
          <t>آبان</t>
        </is>
      </c>
      <c r="H4711" s="134" t="inlineStr">
        <is>
          <t>پاییز</t>
        </is>
      </c>
      <c r="I4711" s="134" t="inlineStr">
        <is>
          <t>دوشنبه</t>
        </is>
      </c>
      <c r="J4711" s="134" t="inlineStr">
        <is>
          <t>بله</t>
        </is>
      </c>
    </row>
    <row r="4712">
      <c r="A4712" s="173" t="n">
        <v>49633</v>
      </c>
      <c r="B4712" s="174" t="n">
        <v>49633</v>
      </c>
      <c r="C4712" s="174" t="n">
        <v>1414</v>
      </c>
      <c r="D4712" s="174" t="n">
        <v>8</v>
      </c>
      <c r="E4712" s="175" t="inlineStr">
        <is>
          <t>1414/08/29</t>
        </is>
      </c>
      <c r="F4712" s="128" t="inlineStr">
        <is>
          <t>1414/08</t>
        </is>
      </c>
      <c r="G4712" s="58" t="inlineStr">
        <is>
          <t>آبان</t>
        </is>
      </c>
      <c r="H4712" s="128" t="inlineStr">
        <is>
          <t>پاییز</t>
        </is>
      </c>
      <c r="I4712" s="128" t="inlineStr">
        <is>
          <t>سه‌شنبه</t>
        </is>
      </c>
      <c r="J4712" s="128" t="inlineStr">
        <is>
          <t>بله</t>
        </is>
      </c>
    </row>
    <row r="4713">
      <c r="A4713" s="176" t="n">
        <v>49634</v>
      </c>
      <c r="B4713" s="177" t="n">
        <v>49634</v>
      </c>
      <c r="C4713" s="177" t="n">
        <v>1414</v>
      </c>
      <c r="D4713" s="177" t="n">
        <v>8</v>
      </c>
      <c r="E4713" s="178" t="inlineStr">
        <is>
          <t>1414/08/30</t>
        </is>
      </c>
      <c r="F4713" s="134" t="inlineStr">
        <is>
          <t>1414/08</t>
        </is>
      </c>
      <c r="G4713" s="61" t="inlineStr">
        <is>
          <t>آبان</t>
        </is>
      </c>
      <c r="H4713" s="134" t="inlineStr">
        <is>
          <t>پاییز</t>
        </is>
      </c>
      <c r="I4713" s="134" t="inlineStr">
        <is>
          <t>چهارشنبه</t>
        </is>
      </c>
      <c r="J4713" s="134" t="inlineStr">
        <is>
          <t>بله</t>
        </is>
      </c>
    </row>
    <row r="4714">
      <c r="A4714" s="173" t="n">
        <v>49635</v>
      </c>
      <c r="B4714" s="174" t="n">
        <v>49635</v>
      </c>
      <c r="C4714" s="174" t="n">
        <v>1414</v>
      </c>
      <c r="D4714" s="174" t="n">
        <v>9</v>
      </c>
      <c r="E4714" s="175" t="inlineStr">
        <is>
          <t>1414/09/01</t>
        </is>
      </c>
      <c r="F4714" s="128" t="inlineStr">
        <is>
          <t>1414/09</t>
        </is>
      </c>
      <c r="G4714" s="58" t="inlineStr">
        <is>
          <t>آذر</t>
        </is>
      </c>
      <c r="H4714" s="128" t="inlineStr">
        <is>
          <t>پاییز</t>
        </is>
      </c>
      <c r="I4714" s="128" t="inlineStr">
        <is>
          <t>پنجشنبه</t>
        </is>
      </c>
      <c r="J4714" s="128" t="inlineStr">
        <is>
          <t>بله</t>
        </is>
      </c>
    </row>
    <row r="4715">
      <c r="A4715" s="176" t="n">
        <v>49636</v>
      </c>
      <c r="B4715" s="177" t="n">
        <v>49636</v>
      </c>
      <c r="C4715" s="177" t="n">
        <v>1414</v>
      </c>
      <c r="D4715" s="177" t="n">
        <v>9</v>
      </c>
      <c r="E4715" s="178" t="inlineStr">
        <is>
          <t>1414/09/02</t>
        </is>
      </c>
      <c r="F4715" s="134" t="inlineStr">
        <is>
          <t>1414/09</t>
        </is>
      </c>
      <c r="G4715" s="61" t="inlineStr">
        <is>
          <t>آذر</t>
        </is>
      </c>
      <c r="H4715" s="134" t="inlineStr">
        <is>
          <t>پاییز</t>
        </is>
      </c>
      <c r="I4715" s="134" t="inlineStr">
        <is>
          <t>جمعه</t>
        </is>
      </c>
      <c r="J4715" s="134" t="inlineStr">
        <is>
          <t>بله</t>
        </is>
      </c>
    </row>
    <row r="4716">
      <c r="A4716" s="173" t="n">
        <v>49637</v>
      </c>
      <c r="B4716" s="174" t="n">
        <v>49637</v>
      </c>
      <c r="C4716" s="174" t="n">
        <v>1414</v>
      </c>
      <c r="D4716" s="174" t="n">
        <v>9</v>
      </c>
      <c r="E4716" s="175" t="inlineStr">
        <is>
          <t>1414/09/03</t>
        </is>
      </c>
      <c r="F4716" s="128" t="inlineStr">
        <is>
          <t>1414/09</t>
        </is>
      </c>
      <c r="G4716" s="58" t="inlineStr">
        <is>
          <t>آذر</t>
        </is>
      </c>
      <c r="H4716" s="128" t="inlineStr">
        <is>
          <t>پاییز</t>
        </is>
      </c>
      <c r="I4716" s="128" t="inlineStr">
        <is>
          <t>شنبه</t>
        </is>
      </c>
      <c r="J4716" s="128" t="inlineStr">
        <is>
          <t>خیر</t>
        </is>
      </c>
    </row>
    <row r="4717">
      <c r="A4717" s="176" t="n">
        <v>49638</v>
      </c>
      <c r="B4717" s="177" t="n">
        <v>49638</v>
      </c>
      <c r="C4717" s="177" t="n">
        <v>1414</v>
      </c>
      <c r="D4717" s="177" t="n">
        <v>9</v>
      </c>
      <c r="E4717" s="178" t="inlineStr">
        <is>
          <t>1414/09/04</t>
        </is>
      </c>
      <c r="F4717" s="134" t="inlineStr">
        <is>
          <t>1414/09</t>
        </is>
      </c>
      <c r="G4717" s="61" t="inlineStr">
        <is>
          <t>آذر</t>
        </is>
      </c>
      <c r="H4717" s="134" t="inlineStr">
        <is>
          <t>پاییز</t>
        </is>
      </c>
      <c r="I4717" s="134" t="inlineStr">
        <is>
          <t>یکشنبه</t>
        </is>
      </c>
      <c r="J4717" s="134" t="inlineStr">
        <is>
          <t>خیر</t>
        </is>
      </c>
    </row>
    <row r="4718">
      <c r="A4718" s="173" t="n">
        <v>49639</v>
      </c>
      <c r="B4718" s="174" t="n">
        <v>49639</v>
      </c>
      <c r="C4718" s="174" t="n">
        <v>1414</v>
      </c>
      <c r="D4718" s="174" t="n">
        <v>9</v>
      </c>
      <c r="E4718" s="175" t="inlineStr">
        <is>
          <t>1414/09/05</t>
        </is>
      </c>
      <c r="F4718" s="128" t="inlineStr">
        <is>
          <t>1414/09</t>
        </is>
      </c>
      <c r="G4718" s="58" t="inlineStr">
        <is>
          <t>آذر</t>
        </is>
      </c>
      <c r="H4718" s="128" t="inlineStr">
        <is>
          <t>پاییز</t>
        </is>
      </c>
      <c r="I4718" s="128" t="inlineStr">
        <is>
          <t>دوشنبه</t>
        </is>
      </c>
      <c r="J4718" s="128" t="inlineStr">
        <is>
          <t>بله</t>
        </is>
      </c>
    </row>
    <row r="4719">
      <c r="A4719" s="176" t="n">
        <v>49640</v>
      </c>
      <c r="B4719" s="177" t="n">
        <v>49640</v>
      </c>
      <c r="C4719" s="177" t="n">
        <v>1414</v>
      </c>
      <c r="D4719" s="177" t="n">
        <v>9</v>
      </c>
      <c r="E4719" s="178" t="inlineStr">
        <is>
          <t>1414/09/06</t>
        </is>
      </c>
      <c r="F4719" s="134" t="inlineStr">
        <is>
          <t>1414/09</t>
        </is>
      </c>
      <c r="G4719" s="61" t="inlineStr">
        <is>
          <t>آذر</t>
        </is>
      </c>
      <c r="H4719" s="134" t="inlineStr">
        <is>
          <t>پاییز</t>
        </is>
      </c>
      <c r="I4719" s="134" t="inlineStr">
        <is>
          <t>سه‌شنبه</t>
        </is>
      </c>
      <c r="J4719" s="134" t="inlineStr">
        <is>
          <t>بله</t>
        </is>
      </c>
    </row>
    <row r="4720">
      <c r="A4720" s="173" t="n">
        <v>49641</v>
      </c>
      <c r="B4720" s="174" t="n">
        <v>49641</v>
      </c>
      <c r="C4720" s="174" t="n">
        <v>1414</v>
      </c>
      <c r="D4720" s="174" t="n">
        <v>9</v>
      </c>
      <c r="E4720" s="175" t="inlineStr">
        <is>
          <t>1414/09/07</t>
        </is>
      </c>
      <c r="F4720" s="128" t="inlineStr">
        <is>
          <t>1414/09</t>
        </is>
      </c>
      <c r="G4720" s="58" t="inlineStr">
        <is>
          <t>آذر</t>
        </is>
      </c>
      <c r="H4720" s="128" t="inlineStr">
        <is>
          <t>پاییز</t>
        </is>
      </c>
      <c r="I4720" s="128" t="inlineStr">
        <is>
          <t>چهارشنبه</t>
        </is>
      </c>
      <c r="J4720" s="128" t="inlineStr">
        <is>
          <t>بله</t>
        </is>
      </c>
    </row>
    <row r="4721">
      <c r="A4721" s="176" t="n">
        <v>49642</v>
      </c>
      <c r="B4721" s="177" t="n">
        <v>49642</v>
      </c>
      <c r="C4721" s="177" t="n">
        <v>1414</v>
      </c>
      <c r="D4721" s="177" t="n">
        <v>9</v>
      </c>
      <c r="E4721" s="178" t="inlineStr">
        <is>
          <t>1414/09/08</t>
        </is>
      </c>
      <c r="F4721" s="134" t="inlineStr">
        <is>
          <t>1414/09</t>
        </is>
      </c>
      <c r="G4721" s="61" t="inlineStr">
        <is>
          <t>آذر</t>
        </is>
      </c>
      <c r="H4721" s="134" t="inlineStr">
        <is>
          <t>پاییز</t>
        </is>
      </c>
      <c r="I4721" s="134" t="inlineStr">
        <is>
          <t>پنجشنبه</t>
        </is>
      </c>
      <c r="J4721" s="134" t="inlineStr">
        <is>
          <t>بله</t>
        </is>
      </c>
    </row>
    <row r="4722">
      <c r="A4722" s="173" t="n">
        <v>49643</v>
      </c>
      <c r="B4722" s="174" t="n">
        <v>49643</v>
      </c>
      <c r="C4722" s="174" t="n">
        <v>1414</v>
      </c>
      <c r="D4722" s="174" t="n">
        <v>9</v>
      </c>
      <c r="E4722" s="175" t="inlineStr">
        <is>
          <t>1414/09/09</t>
        </is>
      </c>
      <c r="F4722" s="128" t="inlineStr">
        <is>
          <t>1414/09</t>
        </is>
      </c>
      <c r="G4722" s="58" t="inlineStr">
        <is>
          <t>آذر</t>
        </is>
      </c>
      <c r="H4722" s="128" t="inlineStr">
        <is>
          <t>پاییز</t>
        </is>
      </c>
      <c r="I4722" s="128" t="inlineStr">
        <is>
          <t>جمعه</t>
        </is>
      </c>
      <c r="J4722" s="128" t="inlineStr">
        <is>
          <t>بله</t>
        </is>
      </c>
    </row>
    <row r="4723">
      <c r="A4723" s="176" t="n">
        <v>49644</v>
      </c>
      <c r="B4723" s="177" t="n">
        <v>49644</v>
      </c>
      <c r="C4723" s="177" t="n">
        <v>1414</v>
      </c>
      <c r="D4723" s="177" t="n">
        <v>9</v>
      </c>
      <c r="E4723" s="178" t="inlineStr">
        <is>
          <t>1414/09/10</t>
        </is>
      </c>
      <c r="F4723" s="134" t="inlineStr">
        <is>
          <t>1414/09</t>
        </is>
      </c>
      <c r="G4723" s="61" t="inlineStr">
        <is>
          <t>آذر</t>
        </is>
      </c>
      <c r="H4723" s="134" t="inlineStr">
        <is>
          <t>پاییز</t>
        </is>
      </c>
      <c r="I4723" s="134" t="inlineStr">
        <is>
          <t>شنبه</t>
        </is>
      </c>
      <c r="J4723" s="134" t="inlineStr">
        <is>
          <t>خیر</t>
        </is>
      </c>
    </row>
    <row r="4724">
      <c r="A4724" s="173" t="n">
        <v>49645</v>
      </c>
      <c r="B4724" s="174" t="n">
        <v>49645</v>
      </c>
      <c r="C4724" s="174" t="n">
        <v>1414</v>
      </c>
      <c r="D4724" s="174" t="n">
        <v>9</v>
      </c>
      <c r="E4724" s="175" t="inlineStr">
        <is>
          <t>1414/09/11</t>
        </is>
      </c>
      <c r="F4724" s="128" t="inlineStr">
        <is>
          <t>1414/09</t>
        </is>
      </c>
      <c r="G4724" s="58" t="inlineStr">
        <is>
          <t>آذر</t>
        </is>
      </c>
      <c r="H4724" s="128" t="inlineStr">
        <is>
          <t>پاییز</t>
        </is>
      </c>
      <c r="I4724" s="128" t="inlineStr">
        <is>
          <t>یکشنبه</t>
        </is>
      </c>
      <c r="J4724" s="128" t="inlineStr">
        <is>
          <t>خیر</t>
        </is>
      </c>
    </row>
    <row r="4725">
      <c r="A4725" s="176" t="n">
        <v>49646</v>
      </c>
      <c r="B4725" s="177" t="n">
        <v>49646</v>
      </c>
      <c r="C4725" s="177" t="n">
        <v>1414</v>
      </c>
      <c r="D4725" s="177" t="n">
        <v>9</v>
      </c>
      <c r="E4725" s="178" t="inlineStr">
        <is>
          <t>1414/09/12</t>
        </is>
      </c>
      <c r="F4725" s="134" t="inlineStr">
        <is>
          <t>1414/09</t>
        </is>
      </c>
      <c r="G4725" s="61" t="inlineStr">
        <is>
          <t>آذر</t>
        </is>
      </c>
      <c r="H4725" s="134" t="inlineStr">
        <is>
          <t>پاییز</t>
        </is>
      </c>
      <c r="I4725" s="134" t="inlineStr">
        <is>
          <t>دوشنبه</t>
        </is>
      </c>
      <c r="J4725" s="134" t="inlineStr">
        <is>
          <t>بله</t>
        </is>
      </c>
    </row>
    <row r="4726">
      <c r="A4726" s="173" t="n">
        <v>49647</v>
      </c>
      <c r="B4726" s="174" t="n">
        <v>49647</v>
      </c>
      <c r="C4726" s="174" t="n">
        <v>1414</v>
      </c>
      <c r="D4726" s="174" t="n">
        <v>9</v>
      </c>
      <c r="E4726" s="175" t="inlineStr">
        <is>
          <t>1414/09/13</t>
        </is>
      </c>
      <c r="F4726" s="128" t="inlineStr">
        <is>
          <t>1414/09</t>
        </is>
      </c>
      <c r="G4726" s="58" t="inlineStr">
        <is>
          <t>آذر</t>
        </is>
      </c>
      <c r="H4726" s="128" t="inlineStr">
        <is>
          <t>پاییز</t>
        </is>
      </c>
      <c r="I4726" s="128" t="inlineStr">
        <is>
          <t>سه‌شنبه</t>
        </is>
      </c>
      <c r="J4726" s="128" t="inlineStr">
        <is>
          <t>بله</t>
        </is>
      </c>
    </row>
    <row r="4727">
      <c r="A4727" s="176" t="n">
        <v>49648</v>
      </c>
      <c r="B4727" s="177" t="n">
        <v>49648</v>
      </c>
      <c r="C4727" s="177" t="n">
        <v>1414</v>
      </c>
      <c r="D4727" s="177" t="n">
        <v>9</v>
      </c>
      <c r="E4727" s="178" t="inlineStr">
        <is>
          <t>1414/09/14</t>
        </is>
      </c>
      <c r="F4727" s="134" t="inlineStr">
        <is>
          <t>1414/09</t>
        </is>
      </c>
      <c r="G4727" s="61" t="inlineStr">
        <is>
          <t>آذر</t>
        </is>
      </c>
      <c r="H4727" s="134" t="inlineStr">
        <is>
          <t>پاییز</t>
        </is>
      </c>
      <c r="I4727" s="134" t="inlineStr">
        <is>
          <t>چهارشنبه</t>
        </is>
      </c>
      <c r="J4727" s="134" t="inlineStr">
        <is>
          <t>بله</t>
        </is>
      </c>
    </row>
    <row r="4728">
      <c r="A4728" s="173" t="n">
        <v>49649</v>
      </c>
      <c r="B4728" s="174" t="n">
        <v>49649</v>
      </c>
      <c r="C4728" s="174" t="n">
        <v>1414</v>
      </c>
      <c r="D4728" s="174" t="n">
        <v>9</v>
      </c>
      <c r="E4728" s="175" t="inlineStr">
        <is>
          <t>1414/09/15</t>
        </is>
      </c>
      <c r="F4728" s="128" t="inlineStr">
        <is>
          <t>1414/09</t>
        </is>
      </c>
      <c r="G4728" s="58" t="inlineStr">
        <is>
          <t>آذر</t>
        </is>
      </c>
      <c r="H4728" s="128" t="inlineStr">
        <is>
          <t>پاییز</t>
        </is>
      </c>
      <c r="I4728" s="128" t="inlineStr">
        <is>
          <t>پنجشنبه</t>
        </is>
      </c>
      <c r="J4728" s="128" t="inlineStr">
        <is>
          <t>بله</t>
        </is>
      </c>
    </row>
    <row r="4729">
      <c r="A4729" s="176" t="n">
        <v>49650</v>
      </c>
      <c r="B4729" s="177" t="n">
        <v>49650</v>
      </c>
      <c r="C4729" s="177" t="n">
        <v>1414</v>
      </c>
      <c r="D4729" s="177" t="n">
        <v>9</v>
      </c>
      <c r="E4729" s="178" t="inlineStr">
        <is>
          <t>1414/09/16</t>
        </is>
      </c>
      <c r="F4729" s="134" t="inlineStr">
        <is>
          <t>1414/09</t>
        </is>
      </c>
      <c r="G4729" s="61" t="inlineStr">
        <is>
          <t>آذر</t>
        </is>
      </c>
      <c r="H4729" s="134" t="inlineStr">
        <is>
          <t>پاییز</t>
        </is>
      </c>
      <c r="I4729" s="134" t="inlineStr">
        <is>
          <t>جمعه</t>
        </is>
      </c>
      <c r="J4729" s="134" t="inlineStr">
        <is>
          <t>بله</t>
        </is>
      </c>
    </row>
    <row r="4730">
      <c r="A4730" s="173" t="n">
        <v>49651</v>
      </c>
      <c r="B4730" s="174" t="n">
        <v>49651</v>
      </c>
      <c r="C4730" s="174" t="n">
        <v>1414</v>
      </c>
      <c r="D4730" s="174" t="n">
        <v>9</v>
      </c>
      <c r="E4730" s="175" t="inlineStr">
        <is>
          <t>1414/09/17</t>
        </is>
      </c>
      <c r="F4730" s="128" t="inlineStr">
        <is>
          <t>1414/09</t>
        </is>
      </c>
      <c r="G4730" s="58" t="inlineStr">
        <is>
          <t>آذر</t>
        </is>
      </c>
      <c r="H4730" s="128" t="inlineStr">
        <is>
          <t>پاییز</t>
        </is>
      </c>
      <c r="I4730" s="128" t="inlineStr">
        <is>
          <t>شنبه</t>
        </is>
      </c>
      <c r="J4730" s="128" t="inlineStr">
        <is>
          <t>خیر</t>
        </is>
      </c>
    </row>
    <row r="4731">
      <c r="A4731" s="176" t="n">
        <v>49652</v>
      </c>
      <c r="B4731" s="177" t="n">
        <v>49652</v>
      </c>
      <c r="C4731" s="177" t="n">
        <v>1414</v>
      </c>
      <c r="D4731" s="177" t="n">
        <v>9</v>
      </c>
      <c r="E4731" s="178" t="inlineStr">
        <is>
          <t>1414/09/18</t>
        </is>
      </c>
      <c r="F4731" s="134" t="inlineStr">
        <is>
          <t>1414/09</t>
        </is>
      </c>
      <c r="G4731" s="61" t="inlineStr">
        <is>
          <t>آذر</t>
        </is>
      </c>
      <c r="H4731" s="134" t="inlineStr">
        <is>
          <t>پاییز</t>
        </is>
      </c>
      <c r="I4731" s="134" t="inlineStr">
        <is>
          <t>یکشنبه</t>
        </is>
      </c>
      <c r="J4731" s="134" t="inlineStr">
        <is>
          <t>خیر</t>
        </is>
      </c>
    </row>
    <row r="4732">
      <c r="A4732" s="173" t="n">
        <v>49653</v>
      </c>
      <c r="B4732" s="174" t="n">
        <v>49653</v>
      </c>
      <c r="C4732" s="174" t="n">
        <v>1414</v>
      </c>
      <c r="D4732" s="174" t="n">
        <v>9</v>
      </c>
      <c r="E4732" s="175" t="inlineStr">
        <is>
          <t>1414/09/19</t>
        </is>
      </c>
      <c r="F4732" s="128" t="inlineStr">
        <is>
          <t>1414/09</t>
        </is>
      </c>
      <c r="G4732" s="58" t="inlineStr">
        <is>
          <t>آذر</t>
        </is>
      </c>
      <c r="H4732" s="128" t="inlineStr">
        <is>
          <t>پاییز</t>
        </is>
      </c>
      <c r="I4732" s="128" t="inlineStr">
        <is>
          <t>دوشنبه</t>
        </is>
      </c>
      <c r="J4732" s="128" t="inlineStr">
        <is>
          <t>بله</t>
        </is>
      </c>
    </row>
    <row r="4733">
      <c r="A4733" s="176" t="n">
        <v>49654</v>
      </c>
      <c r="B4733" s="177" t="n">
        <v>49654</v>
      </c>
      <c r="C4733" s="177" t="n">
        <v>1414</v>
      </c>
      <c r="D4733" s="177" t="n">
        <v>9</v>
      </c>
      <c r="E4733" s="178" t="inlineStr">
        <is>
          <t>1414/09/20</t>
        </is>
      </c>
      <c r="F4733" s="134" t="inlineStr">
        <is>
          <t>1414/09</t>
        </is>
      </c>
      <c r="G4733" s="61" t="inlineStr">
        <is>
          <t>آذر</t>
        </is>
      </c>
      <c r="H4733" s="134" t="inlineStr">
        <is>
          <t>پاییز</t>
        </is>
      </c>
      <c r="I4733" s="134" t="inlineStr">
        <is>
          <t>سه‌شنبه</t>
        </is>
      </c>
      <c r="J4733" s="134" t="inlineStr">
        <is>
          <t>بله</t>
        </is>
      </c>
    </row>
    <row r="4734">
      <c r="A4734" s="173" t="n">
        <v>49655</v>
      </c>
      <c r="B4734" s="174" t="n">
        <v>49655</v>
      </c>
      <c r="C4734" s="174" t="n">
        <v>1414</v>
      </c>
      <c r="D4734" s="174" t="n">
        <v>9</v>
      </c>
      <c r="E4734" s="175" t="inlineStr">
        <is>
          <t>1414/09/21</t>
        </is>
      </c>
      <c r="F4734" s="128" t="inlineStr">
        <is>
          <t>1414/09</t>
        </is>
      </c>
      <c r="G4734" s="58" t="inlineStr">
        <is>
          <t>آذر</t>
        </is>
      </c>
      <c r="H4734" s="128" t="inlineStr">
        <is>
          <t>پاییز</t>
        </is>
      </c>
      <c r="I4734" s="128" t="inlineStr">
        <is>
          <t>چهارشنبه</t>
        </is>
      </c>
      <c r="J4734" s="128" t="inlineStr">
        <is>
          <t>بله</t>
        </is>
      </c>
    </row>
    <row r="4735">
      <c r="A4735" s="176" t="n">
        <v>49656</v>
      </c>
      <c r="B4735" s="177" t="n">
        <v>49656</v>
      </c>
      <c r="C4735" s="177" t="n">
        <v>1414</v>
      </c>
      <c r="D4735" s="177" t="n">
        <v>9</v>
      </c>
      <c r="E4735" s="178" t="inlineStr">
        <is>
          <t>1414/09/22</t>
        </is>
      </c>
      <c r="F4735" s="134" t="inlineStr">
        <is>
          <t>1414/09</t>
        </is>
      </c>
      <c r="G4735" s="61" t="inlineStr">
        <is>
          <t>آذر</t>
        </is>
      </c>
      <c r="H4735" s="134" t="inlineStr">
        <is>
          <t>پاییز</t>
        </is>
      </c>
      <c r="I4735" s="134" t="inlineStr">
        <is>
          <t>پنجشنبه</t>
        </is>
      </c>
      <c r="J4735" s="134" t="inlineStr">
        <is>
          <t>بله</t>
        </is>
      </c>
    </row>
    <row r="4736">
      <c r="A4736" s="173" t="n">
        <v>49657</v>
      </c>
      <c r="B4736" s="174" t="n">
        <v>49657</v>
      </c>
      <c r="C4736" s="174" t="n">
        <v>1414</v>
      </c>
      <c r="D4736" s="174" t="n">
        <v>9</v>
      </c>
      <c r="E4736" s="175" t="inlineStr">
        <is>
          <t>1414/09/23</t>
        </is>
      </c>
      <c r="F4736" s="128" t="inlineStr">
        <is>
          <t>1414/09</t>
        </is>
      </c>
      <c r="G4736" s="58" t="inlineStr">
        <is>
          <t>آذر</t>
        </is>
      </c>
      <c r="H4736" s="128" t="inlineStr">
        <is>
          <t>پاییز</t>
        </is>
      </c>
      <c r="I4736" s="128" t="inlineStr">
        <is>
          <t>جمعه</t>
        </is>
      </c>
      <c r="J4736" s="128" t="inlineStr">
        <is>
          <t>بله</t>
        </is>
      </c>
    </row>
    <row r="4737">
      <c r="A4737" s="176" t="n">
        <v>49658</v>
      </c>
      <c r="B4737" s="177" t="n">
        <v>49658</v>
      </c>
      <c r="C4737" s="177" t="n">
        <v>1414</v>
      </c>
      <c r="D4737" s="177" t="n">
        <v>9</v>
      </c>
      <c r="E4737" s="178" t="inlineStr">
        <is>
          <t>1414/09/24</t>
        </is>
      </c>
      <c r="F4737" s="134" t="inlineStr">
        <is>
          <t>1414/09</t>
        </is>
      </c>
      <c r="G4737" s="61" t="inlineStr">
        <is>
          <t>آذر</t>
        </is>
      </c>
      <c r="H4737" s="134" t="inlineStr">
        <is>
          <t>پاییز</t>
        </is>
      </c>
      <c r="I4737" s="134" t="inlineStr">
        <is>
          <t>شنبه</t>
        </is>
      </c>
      <c r="J4737" s="134" t="inlineStr">
        <is>
          <t>خیر</t>
        </is>
      </c>
    </row>
    <row r="4738">
      <c r="A4738" s="173" t="n">
        <v>49659</v>
      </c>
      <c r="B4738" s="174" t="n">
        <v>49659</v>
      </c>
      <c r="C4738" s="174" t="n">
        <v>1414</v>
      </c>
      <c r="D4738" s="174" t="n">
        <v>9</v>
      </c>
      <c r="E4738" s="175" t="inlineStr">
        <is>
          <t>1414/09/25</t>
        </is>
      </c>
      <c r="F4738" s="128" t="inlineStr">
        <is>
          <t>1414/09</t>
        </is>
      </c>
      <c r="G4738" s="58" t="inlineStr">
        <is>
          <t>آذر</t>
        </is>
      </c>
      <c r="H4738" s="128" t="inlineStr">
        <is>
          <t>پاییز</t>
        </is>
      </c>
      <c r="I4738" s="128" t="inlineStr">
        <is>
          <t>یکشنبه</t>
        </is>
      </c>
      <c r="J4738" s="128" t="inlineStr">
        <is>
          <t>خیر</t>
        </is>
      </c>
    </row>
    <row r="4739">
      <c r="A4739" s="176" t="n">
        <v>49660</v>
      </c>
      <c r="B4739" s="177" t="n">
        <v>49660</v>
      </c>
      <c r="C4739" s="177" t="n">
        <v>1414</v>
      </c>
      <c r="D4739" s="177" t="n">
        <v>9</v>
      </c>
      <c r="E4739" s="178" t="inlineStr">
        <is>
          <t>1414/09/26</t>
        </is>
      </c>
      <c r="F4739" s="134" t="inlineStr">
        <is>
          <t>1414/09</t>
        </is>
      </c>
      <c r="G4739" s="61" t="inlineStr">
        <is>
          <t>آذر</t>
        </is>
      </c>
      <c r="H4739" s="134" t="inlineStr">
        <is>
          <t>پاییز</t>
        </is>
      </c>
      <c r="I4739" s="134" t="inlineStr">
        <is>
          <t>دوشنبه</t>
        </is>
      </c>
      <c r="J4739" s="134" t="inlineStr">
        <is>
          <t>بله</t>
        </is>
      </c>
    </row>
    <row r="4740">
      <c r="A4740" s="173" t="n">
        <v>49661</v>
      </c>
      <c r="B4740" s="174" t="n">
        <v>49661</v>
      </c>
      <c r="C4740" s="174" t="n">
        <v>1414</v>
      </c>
      <c r="D4740" s="174" t="n">
        <v>9</v>
      </c>
      <c r="E4740" s="175" t="inlineStr">
        <is>
          <t>1414/09/27</t>
        </is>
      </c>
      <c r="F4740" s="128" t="inlineStr">
        <is>
          <t>1414/09</t>
        </is>
      </c>
      <c r="G4740" s="58" t="inlineStr">
        <is>
          <t>آذر</t>
        </is>
      </c>
      <c r="H4740" s="128" t="inlineStr">
        <is>
          <t>پاییز</t>
        </is>
      </c>
      <c r="I4740" s="128" t="inlineStr">
        <is>
          <t>سه‌شنبه</t>
        </is>
      </c>
      <c r="J4740" s="128" t="inlineStr">
        <is>
          <t>بله</t>
        </is>
      </c>
    </row>
    <row r="4741">
      <c r="A4741" s="176" t="n">
        <v>49662</v>
      </c>
      <c r="B4741" s="177" t="n">
        <v>49662</v>
      </c>
      <c r="C4741" s="177" t="n">
        <v>1414</v>
      </c>
      <c r="D4741" s="177" t="n">
        <v>9</v>
      </c>
      <c r="E4741" s="178" t="inlineStr">
        <is>
          <t>1414/09/28</t>
        </is>
      </c>
      <c r="F4741" s="134" t="inlineStr">
        <is>
          <t>1414/09</t>
        </is>
      </c>
      <c r="G4741" s="61" t="inlineStr">
        <is>
          <t>آذر</t>
        </is>
      </c>
      <c r="H4741" s="134" t="inlineStr">
        <is>
          <t>پاییز</t>
        </is>
      </c>
      <c r="I4741" s="134" t="inlineStr">
        <is>
          <t>چهارشنبه</t>
        </is>
      </c>
      <c r="J4741" s="134" t="inlineStr">
        <is>
          <t>بله</t>
        </is>
      </c>
    </row>
    <row r="4742">
      <c r="A4742" s="173" t="n">
        <v>49663</v>
      </c>
      <c r="B4742" s="174" t="n">
        <v>49663</v>
      </c>
      <c r="C4742" s="174" t="n">
        <v>1414</v>
      </c>
      <c r="D4742" s="174" t="n">
        <v>9</v>
      </c>
      <c r="E4742" s="175" t="inlineStr">
        <is>
          <t>1414/09/29</t>
        </is>
      </c>
      <c r="F4742" s="128" t="inlineStr">
        <is>
          <t>1414/09</t>
        </is>
      </c>
      <c r="G4742" s="58" t="inlineStr">
        <is>
          <t>آذر</t>
        </is>
      </c>
      <c r="H4742" s="128" t="inlineStr">
        <is>
          <t>پاییز</t>
        </is>
      </c>
      <c r="I4742" s="128" t="inlineStr">
        <is>
          <t>پنجشنبه</t>
        </is>
      </c>
      <c r="J4742" s="128" t="inlineStr">
        <is>
          <t>بله</t>
        </is>
      </c>
    </row>
    <row r="4743">
      <c r="A4743" s="176" t="n">
        <v>49664</v>
      </c>
      <c r="B4743" s="177" t="n">
        <v>49664</v>
      </c>
      <c r="C4743" s="177" t="n">
        <v>1414</v>
      </c>
      <c r="D4743" s="177" t="n">
        <v>9</v>
      </c>
      <c r="E4743" s="178" t="inlineStr">
        <is>
          <t>1414/09/30</t>
        </is>
      </c>
      <c r="F4743" s="134" t="inlineStr">
        <is>
          <t>1414/09</t>
        </is>
      </c>
      <c r="G4743" s="61" t="inlineStr">
        <is>
          <t>آذر</t>
        </is>
      </c>
      <c r="H4743" s="134" t="inlineStr">
        <is>
          <t>پاییز</t>
        </is>
      </c>
      <c r="I4743" s="134" t="inlineStr">
        <is>
          <t>جمعه</t>
        </is>
      </c>
      <c r="J4743" s="134" t="inlineStr">
        <is>
          <t>بله</t>
        </is>
      </c>
    </row>
    <row r="4744">
      <c r="A4744" s="173" t="n">
        <v>49665</v>
      </c>
      <c r="B4744" s="174" t="n">
        <v>49665</v>
      </c>
      <c r="C4744" s="174" t="n">
        <v>1414</v>
      </c>
      <c r="D4744" s="174" t="n">
        <v>10</v>
      </c>
      <c r="E4744" s="175" t="inlineStr">
        <is>
          <t>1414/10/01</t>
        </is>
      </c>
      <c r="F4744" s="128" t="inlineStr">
        <is>
          <t>1414/10</t>
        </is>
      </c>
      <c r="G4744" s="58" t="inlineStr">
        <is>
          <t>دی</t>
        </is>
      </c>
      <c r="H4744" s="128" t="inlineStr">
        <is>
          <t>زمستان</t>
        </is>
      </c>
      <c r="I4744" s="128" t="inlineStr">
        <is>
          <t>شنبه</t>
        </is>
      </c>
      <c r="J4744" s="128" t="inlineStr">
        <is>
          <t>خیر</t>
        </is>
      </c>
    </row>
    <row r="4745">
      <c r="A4745" s="176" t="n">
        <v>49666</v>
      </c>
      <c r="B4745" s="177" t="n">
        <v>49666</v>
      </c>
      <c r="C4745" s="177" t="n">
        <v>1414</v>
      </c>
      <c r="D4745" s="177" t="n">
        <v>10</v>
      </c>
      <c r="E4745" s="178" t="inlineStr">
        <is>
          <t>1414/10/02</t>
        </is>
      </c>
      <c r="F4745" s="134" t="inlineStr">
        <is>
          <t>1414/10</t>
        </is>
      </c>
      <c r="G4745" s="61" t="inlineStr">
        <is>
          <t>دی</t>
        </is>
      </c>
      <c r="H4745" s="134" t="inlineStr">
        <is>
          <t>زمستان</t>
        </is>
      </c>
      <c r="I4745" s="134" t="inlineStr">
        <is>
          <t>یکشنبه</t>
        </is>
      </c>
      <c r="J4745" s="134" t="inlineStr">
        <is>
          <t>خیر</t>
        </is>
      </c>
    </row>
    <row r="4746">
      <c r="A4746" s="173" t="n">
        <v>49667</v>
      </c>
      <c r="B4746" s="174" t="n">
        <v>49667</v>
      </c>
      <c r="C4746" s="174" t="n">
        <v>1414</v>
      </c>
      <c r="D4746" s="174" t="n">
        <v>10</v>
      </c>
      <c r="E4746" s="175" t="inlineStr">
        <is>
          <t>1414/10/03</t>
        </is>
      </c>
      <c r="F4746" s="128" t="inlineStr">
        <is>
          <t>1414/10</t>
        </is>
      </c>
      <c r="G4746" s="58" t="inlineStr">
        <is>
          <t>دی</t>
        </is>
      </c>
      <c r="H4746" s="128" t="inlineStr">
        <is>
          <t>زمستان</t>
        </is>
      </c>
      <c r="I4746" s="128" t="inlineStr">
        <is>
          <t>دوشنبه</t>
        </is>
      </c>
      <c r="J4746" s="128" t="inlineStr">
        <is>
          <t>بله</t>
        </is>
      </c>
    </row>
    <row r="4747">
      <c r="A4747" s="176" t="n">
        <v>49668</v>
      </c>
      <c r="B4747" s="177" t="n">
        <v>49668</v>
      </c>
      <c r="C4747" s="177" t="n">
        <v>1414</v>
      </c>
      <c r="D4747" s="177" t="n">
        <v>10</v>
      </c>
      <c r="E4747" s="178" t="inlineStr">
        <is>
          <t>1414/10/04</t>
        </is>
      </c>
      <c r="F4747" s="134" t="inlineStr">
        <is>
          <t>1414/10</t>
        </is>
      </c>
      <c r="G4747" s="61" t="inlineStr">
        <is>
          <t>دی</t>
        </is>
      </c>
      <c r="H4747" s="134" t="inlineStr">
        <is>
          <t>زمستان</t>
        </is>
      </c>
      <c r="I4747" s="134" t="inlineStr">
        <is>
          <t>سه‌شنبه</t>
        </is>
      </c>
      <c r="J4747" s="134" t="inlineStr">
        <is>
          <t>بله</t>
        </is>
      </c>
    </row>
    <row r="4748">
      <c r="A4748" s="173" t="n">
        <v>49669</v>
      </c>
      <c r="B4748" s="174" t="n">
        <v>49669</v>
      </c>
      <c r="C4748" s="174" t="n">
        <v>1414</v>
      </c>
      <c r="D4748" s="174" t="n">
        <v>10</v>
      </c>
      <c r="E4748" s="175" t="inlineStr">
        <is>
          <t>1414/10/05</t>
        </is>
      </c>
      <c r="F4748" s="128" t="inlineStr">
        <is>
          <t>1414/10</t>
        </is>
      </c>
      <c r="G4748" s="58" t="inlineStr">
        <is>
          <t>دی</t>
        </is>
      </c>
      <c r="H4748" s="128" t="inlineStr">
        <is>
          <t>زمستان</t>
        </is>
      </c>
      <c r="I4748" s="128" t="inlineStr">
        <is>
          <t>چهارشنبه</t>
        </is>
      </c>
      <c r="J4748" s="128" t="inlineStr">
        <is>
          <t>بله</t>
        </is>
      </c>
    </row>
    <row r="4749">
      <c r="A4749" s="176" t="n">
        <v>49670</v>
      </c>
      <c r="B4749" s="177" t="n">
        <v>49670</v>
      </c>
      <c r="C4749" s="177" t="n">
        <v>1414</v>
      </c>
      <c r="D4749" s="177" t="n">
        <v>10</v>
      </c>
      <c r="E4749" s="178" t="inlineStr">
        <is>
          <t>1414/10/06</t>
        </is>
      </c>
      <c r="F4749" s="134" t="inlineStr">
        <is>
          <t>1414/10</t>
        </is>
      </c>
      <c r="G4749" s="61" t="inlineStr">
        <is>
          <t>دی</t>
        </is>
      </c>
      <c r="H4749" s="134" t="inlineStr">
        <is>
          <t>زمستان</t>
        </is>
      </c>
      <c r="I4749" s="134" t="inlineStr">
        <is>
          <t>پنجشنبه</t>
        </is>
      </c>
      <c r="J4749" s="134" t="inlineStr">
        <is>
          <t>بله</t>
        </is>
      </c>
    </row>
    <row r="4750">
      <c r="A4750" s="173" t="n">
        <v>49671</v>
      </c>
      <c r="B4750" s="174" t="n">
        <v>49671</v>
      </c>
      <c r="C4750" s="174" t="n">
        <v>1414</v>
      </c>
      <c r="D4750" s="174" t="n">
        <v>10</v>
      </c>
      <c r="E4750" s="175" t="inlineStr">
        <is>
          <t>1414/10/07</t>
        </is>
      </c>
      <c r="F4750" s="128" t="inlineStr">
        <is>
          <t>1414/10</t>
        </is>
      </c>
      <c r="G4750" s="58" t="inlineStr">
        <is>
          <t>دی</t>
        </is>
      </c>
      <c r="H4750" s="128" t="inlineStr">
        <is>
          <t>زمستان</t>
        </is>
      </c>
      <c r="I4750" s="128" t="inlineStr">
        <is>
          <t>جمعه</t>
        </is>
      </c>
      <c r="J4750" s="128" t="inlineStr">
        <is>
          <t>بله</t>
        </is>
      </c>
    </row>
    <row r="4751">
      <c r="A4751" s="176" t="n">
        <v>49672</v>
      </c>
      <c r="B4751" s="177" t="n">
        <v>49672</v>
      </c>
      <c r="C4751" s="177" t="n">
        <v>1414</v>
      </c>
      <c r="D4751" s="177" t="n">
        <v>10</v>
      </c>
      <c r="E4751" s="178" t="inlineStr">
        <is>
          <t>1414/10/08</t>
        </is>
      </c>
      <c r="F4751" s="134" t="inlineStr">
        <is>
          <t>1414/10</t>
        </is>
      </c>
      <c r="G4751" s="61" t="inlineStr">
        <is>
          <t>دی</t>
        </is>
      </c>
      <c r="H4751" s="134" t="inlineStr">
        <is>
          <t>زمستان</t>
        </is>
      </c>
      <c r="I4751" s="134" t="inlineStr">
        <is>
          <t>شنبه</t>
        </is>
      </c>
      <c r="J4751" s="134" t="inlineStr">
        <is>
          <t>خیر</t>
        </is>
      </c>
    </row>
    <row r="4752">
      <c r="A4752" s="173" t="n">
        <v>49673</v>
      </c>
      <c r="B4752" s="174" t="n">
        <v>49673</v>
      </c>
      <c r="C4752" s="174" t="n">
        <v>1414</v>
      </c>
      <c r="D4752" s="174" t="n">
        <v>10</v>
      </c>
      <c r="E4752" s="175" t="inlineStr">
        <is>
          <t>1414/10/09</t>
        </is>
      </c>
      <c r="F4752" s="128" t="inlineStr">
        <is>
          <t>1414/10</t>
        </is>
      </c>
      <c r="G4752" s="58" t="inlineStr">
        <is>
          <t>دی</t>
        </is>
      </c>
      <c r="H4752" s="128" t="inlineStr">
        <is>
          <t>زمستان</t>
        </is>
      </c>
      <c r="I4752" s="128" t="inlineStr">
        <is>
          <t>یکشنبه</t>
        </is>
      </c>
      <c r="J4752" s="128" t="inlineStr">
        <is>
          <t>خیر</t>
        </is>
      </c>
    </row>
    <row r="4753">
      <c r="A4753" s="176" t="n">
        <v>49674</v>
      </c>
      <c r="B4753" s="177" t="n">
        <v>49674</v>
      </c>
      <c r="C4753" s="177" t="n">
        <v>1414</v>
      </c>
      <c r="D4753" s="177" t="n">
        <v>10</v>
      </c>
      <c r="E4753" s="178" t="inlineStr">
        <is>
          <t>1414/10/10</t>
        </is>
      </c>
      <c r="F4753" s="134" t="inlineStr">
        <is>
          <t>1414/10</t>
        </is>
      </c>
      <c r="G4753" s="61" t="inlineStr">
        <is>
          <t>دی</t>
        </is>
      </c>
      <c r="H4753" s="134" t="inlineStr">
        <is>
          <t>زمستان</t>
        </is>
      </c>
      <c r="I4753" s="134" t="inlineStr">
        <is>
          <t>دوشنبه</t>
        </is>
      </c>
      <c r="J4753" s="134" t="inlineStr">
        <is>
          <t>بله</t>
        </is>
      </c>
    </row>
    <row r="4754">
      <c r="A4754" s="173" t="n">
        <v>49675</v>
      </c>
      <c r="B4754" s="174" t="n">
        <v>49675</v>
      </c>
      <c r="C4754" s="174" t="n">
        <v>1414</v>
      </c>
      <c r="D4754" s="174" t="n">
        <v>10</v>
      </c>
      <c r="E4754" s="175" t="inlineStr">
        <is>
          <t>1414/10/11</t>
        </is>
      </c>
      <c r="F4754" s="128" t="inlineStr">
        <is>
          <t>1414/10</t>
        </is>
      </c>
      <c r="G4754" s="58" t="inlineStr">
        <is>
          <t>دی</t>
        </is>
      </c>
      <c r="H4754" s="128" t="inlineStr">
        <is>
          <t>زمستان</t>
        </is>
      </c>
      <c r="I4754" s="128" t="inlineStr">
        <is>
          <t>سه‌شنبه</t>
        </is>
      </c>
      <c r="J4754" s="128" t="inlineStr">
        <is>
          <t>بله</t>
        </is>
      </c>
    </row>
    <row r="4755">
      <c r="A4755" s="176" t="n">
        <v>49676</v>
      </c>
      <c r="B4755" s="177" t="n">
        <v>49676</v>
      </c>
      <c r="C4755" s="177" t="n">
        <v>1414</v>
      </c>
      <c r="D4755" s="177" t="n">
        <v>10</v>
      </c>
      <c r="E4755" s="178" t="inlineStr">
        <is>
          <t>1414/10/12</t>
        </is>
      </c>
      <c r="F4755" s="134" t="inlineStr">
        <is>
          <t>1414/10</t>
        </is>
      </c>
      <c r="G4755" s="61" t="inlineStr">
        <is>
          <t>دی</t>
        </is>
      </c>
      <c r="H4755" s="134" t="inlineStr">
        <is>
          <t>زمستان</t>
        </is>
      </c>
      <c r="I4755" s="134" t="inlineStr">
        <is>
          <t>چهارشنبه</t>
        </is>
      </c>
      <c r="J4755" s="134" t="inlineStr">
        <is>
          <t>بله</t>
        </is>
      </c>
    </row>
    <row r="4756">
      <c r="A4756" s="173" t="n">
        <v>49677</v>
      </c>
      <c r="B4756" s="174" t="n">
        <v>49677</v>
      </c>
      <c r="C4756" s="174" t="n">
        <v>1414</v>
      </c>
      <c r="D4756" s="174" t="n">
        <v>10</v>
      </c>
      <c r="E4756" s="175" t="inlineStr">
        <is>
          <t>1414/10/13</t>
        </is>
      </c>
      <c r="F4756" s="128" t="inlineStr">
        <is>
          <t>1414/10</t>
        </is>
      </c>
      <c r="G4756" s="58" t="inlineStr">
        <is>
          <t>دی</t>
        </is>
      </c>
      <c r="H4756" s="128" t="inlineStr">
        <is>
          <t>زمستان</t>
        </is>
      </c>
      <c r="I4756" s="128" t="inlineStr">
        <is>
          <t>پنجشنبه</t>
        </is>
      </c>
      <c r="J4756" s="128" t="inlineStr">
        <is>
          <t>بله</t>
        </is>
      </c>
    </row>
    <row r="4757">
      <c r="A4757" s="176" t="n">
        <v>49678</v>
      </c>
      <c r="B4757" s="177" t="n">
        <v>49678</v>
      </c>
      <c r="C4757" s="177" t="n">
        <v>1414</v>
      </c>
      <c r="D4757" s="177" t="n">
        <v>10</v>
      </c>
      <c r="E4757" s="178" t="inlineStr">
        <is>
          <t>1414/10/14</t>
        </is>
      </c>
      <c r="F4757" s="134" t="inlineStr">
        <is>
          <t>1414/10</t>
        </is>
      </c>
      <c r="G4757" s="61" t="inlineStr">
        <is>
          <t>دی</t>
        </is>
      </c>
      <c r="H4757" s="134" t="inlineStr">
        <is>
          <t>زمستان</t>
        </is>
      </c>
      <c r="I4757" s="134" t="inlineStr">
        <is>
          <t>جمعه</t>
        </is>
      </c>
      <c r="J4757" s="134" t="inlineStr">
        <is>
          <t>بله</t>
        </is>
      </c>
    </row>
    <row r="4758">
      <c r="A4758" s="173" t="n">
        <v>49679</v>
      </c>
      <c r="B4758" s="174" t="n">
        <v>49679</v>
      </c>
      <c r="C4758" s="174" t="n">
        <v>1414</v>
      </c>
      <c r="D4758" s="174" t="n">
        <v>10</v>
      </c>
      <c r="E4758" s="175" t="inlineStr">
        <is>
          <t>1414/10/15</t>
        </is>
      </c>
      <c r="F4758" s="128" t="inlineStr">
        <is>
          <t>1414/10</t>
        </is>
      </c>
      <c r="G4758" s="58" t="inlineStr">
        <is>
          <t>دی</t>
        </is>
      </c>
      <c r="H4758" s="128" t="inlineStr">
        <is>
          <t>زمستان</t>
        </is>
      </c>
      <c r="I4758" s="128" t="inlineStr">
        <is>
          <t>شنبه</t>
        </is>
      </c>
      <c r="J4758" s="128" t="inlineStr">
        <is>
          <t>خیر</t>
        </is>
      </c>
    </row>
    <row r="4759">
      <c r="A4759" s="176" t="n">
        <v>49680</v>
      </c>
      <c r="B4759" s="177" t="n">
        <v>49680</v>
      </c>
      <c r="C4759" s="177" t="n">
        <v>1414</v>
      </c>
      <c r="D4759" s="177" t="n">
        <v>10</v>
      </c>
      <c r="E4759" s="178" t="inlineStr">
        <is>
          <t>1414/10/16</t>
        </is>
      </c>
      <c r="F4759" s="134" t="inlineStr">
        <is>
          <t>1414/10</t>
        </is>
      </c>
      <c r="G4759" s="61" t="inlineStr">
        <is>
          <t>دی</t>
        </is>
      </c>
      <c r="H4759" s="134" t="inlineStr">
        <is>
          <t>زمستان</t>
        </is>
      </c>
      <c r="I4759" s="134" t="inlineStr">
        <is>
          <t>یکشنبه</t>
        </is>
      </c>
      <c r="J4759" s="134" t="inlineStr">
        <is>
          <t>خیر</t>
        </is>
      </c>
    </row>
    <row r="4760">
      <c r="A4760" s="173" t="n">
        <v>49681</v>
      </c>
      <c r="B4760" s="174" t="n">
        <v>49681</v>
      </c>
      <c r="C4760" s="174" t="n">
        <v>1414</v>
      </c>
      <c r="D4760" s="174" t="n">
        <v>10</v>
      </c>
      <c r="E4760" s="175" t="inlineStr">
        <is>
          <t>1414/10/17</t>
        </is>
      </c>
      <c r="F4760" s="128" t="inlineStr">
        <is>
          <t>1414/10</t>
        </is>
      </c>
      <c r="G4760" s="58" t="inlineStr">
        <is>
          <t>دی</t>
        </is>
      </c>
      <c r="H4760" s="128" t="inlineStr">
        <is>
          <t>زمستان</t>
        </is>
      </c>
      <c r="I4760" s="128" t="inlineStr">
        <is>
          <t>دوشنبه</t>
        </is>
      </c>
      <c r="J4760" s="128" t="inlineStr">
        <is>
          <t>بله</t>
        </is>
      </c>
    </row>
    <row r="4761">
      <c r="A4761" s="176" t="n">
        <v>49682</v>
      </c>
      <c r="B4761" s="177" t="n">
        <v>49682</v>
      </c>
      <c r="C4761" s="177" t="n">
        <v>1414</v>
      </c>
      <c r="D4761" s="177" t="n">
        <v>10</v>
      </c>
      <c r="E4761" s="178" t="inlineStr">
        <is>
          <t>1414/10/18</t>
        </is>
      </c>
      <c r="F4761" s="134" t="inlineStr">
        <is>
          <t>1414/10</t>
        </is>
      </c>
      <c r="G4761" s="61" t="inlineStr">
        <is>
          <t>دی</t>
        </is>
      </c>
      <c r="H4761" s="134" t="inlineStr">
        <is>
          <t>زمستان</t>
        </is>
      </c>
      <c r="I4761" s="134" t="inlineStr">
        <is>
          <t>سه‌شنبه</t>
        </is>
      </c>
      <c r="J4761" s="134" t="inlineStr">
        <is>
          <t>بله</t>
        </is>
      </c>
    </row>
    <row r="4762">
      <c r="A4762" s="173" t="n">
        <v>49683</v>
      </c>
      <c r="B4762" s="174" t="n">
        <v>49683</v>
      </c>
      <c r="C4762" s="174" t="n">
        <v>1414</v>
      </c>
      <c r="D4762" s="174" t="n">
        <v>10</v>
      </c>
      <c r="E4762" s="175" t="inlineStr">
        <is>
          <t>1414/10/19</t>
        </is>
      </c>
      <c r="F4762" s="128" t="inlineStr">
        <is>
          <t>1414/10</t>
        </is>
      </c>
      <c r="G4762" s="58" t="inlineStr">
        <is>
          <t>دی</t>
        </is>
      </c>
      <c r="H4762" s="128" t="inlineStr">
        <is>
          <t>زمستان</t>
        </is>
      </c>
      <c r="I4762" s="128" t="inlineStr">
        <is>
          <t>چهارشنبه</t>
        </is>
      </c>
      <c r="J4762" s="128" t="inlineStr">
        <is>
          <t>بله</t>
        </is>
      </c>
    </row>
    <row r="4763">
      <c r="A4763" s="176" t="n">
        <v>49684</v>
      </c>
      <c r="B4763" s="177" t="n">
        <v>49684</v>
      </c>
      <c r="C4763" s="177" t="n">
        <v>1414</v>
      </c>
      <c r="D4763" s="177" t="n">
        <v>10</v>
      </c>
      <c r="E4763" s="178" t="inlineStr">
        <is>
          <t>1414/10/20</t>
        </is>
      </c>
      <c r="F4763" s="134" t="inlineStr">
        <is>
          <t>1414/10</t>
        </is>
      </c>
      <c r="G4763" s="61" t="inlineStr">
        <is>
          <t>دی</t>
        </is>
      </c>
      <c r="H4763" s="134" t="inlineStr">
        <is>
          <t>زمستان</t>
        </is>
      </c>
      <c r="I4763" s="134" t="inlineStr">
        <is>
          <t>پنجشنبه</t>
        </is>
      </c>
      <c r="J4763" s="134" t="inlineStr">
        <is>
          <t>بله</t>
        </is>
      </c>
    </row>
    <row r="4764">
      <c r="A4764" s="173" t="n">
        <v>49685</v>
      </c>
      <c r="B4764" s="174" t="n">
        <v>49685</v>
      </c>
      <c r="C4764" s="174" t="n">
        <v>1414</v>
      </c>
      <c r="D4764" s="174" t="n">
        <v>10</v>
      </c>
      <c r="E4764" s="175" t="inlineStr">
        <is>
          <t>1414/10/21</t>
        </is>
      </c>
      <c r="F4764" s="128" t="inlineStr">
        <is>
          <t>1414/10</t>
        </is>
      </c>
      <c r="G4764" s="58" t="inlineStr">
        <is>
          <t>دی</t>
        </is>
      </c>
      <c r="H4764" s="128" t="inlineStr">
        <is>
          <t>زمستان</t>
        </is>
      </c>
      <c r="I4764" s="128" t="inlineStr">
        <is>
          <t>جمعه</t>
        </is>
      </c>
      <c r="J4764" s="128" t="inlineStr">
        <is>
          <t>بله</t>
        </is>
      </c>
    </row>
    <row r="4765">
      <c r="A4765" s="176" t="n">
        <v>49686</v>
      </c>
      <c r="B4765" s="177" t="n">
        <v>49686</v>
      </c>
      <c r="C4765" s="177" t="n">
        <v>1414</v>
      </c>
      <c r="D4765" s="177" t="n">
        <v>10</v>
      </c>
      <c r="E4765" s="178" t="inlineStr">
        <is>
          <t>1414/10/22</t>
        </is>
      </c>
      <c r="F4765" s="134" t="inlineStr">
        <is>
          <t>1414/10</t>
        </is>
      </c>
      <c r="G4765" s="61" t="inlineStr">
        <is>
          <t>دی</t>
        </is>
      </c>
      <c r="H4765" s="134" t="inlineStr">
        <is>
          <t>زمستان</t>
        </is>
      </c>
      <c r="I4765" s="134" t="inlineStr">
        <is>
          <t>شنبه</t>
        </is>
      </c>
      <c r="J4765" s="134" t="inlineStr">
        <is>
          <t>خیر</t>
        </is>
      </c>
    </row>
    <row r="4766">
      <c r="A4766" s="173" t="n">
        <v>49687</v>
      </c>
      <c r="B4766" s="174" t="n">
        <v>49687</v>
      </c>
      <c r="C4766" s="174" t="n">
        <v>1414</v>
      </c>
      <c r="D4766" s="174" t="n">
        <v>10</v>
      </c>
      <c r="E4766" s="175" t="inlineStr">
        <is>
          <t>1414/10/23</t>
        </is>
      </c>
      <c r="F4766" s="128" t="inlineStr">
        <is>
          <t>1414/10</t>
        </is>
      </c>
      <c r="G4766" s="58" t="inlineStr">
        <is>
          <t>دی</t>
        </is>
      </c>
      <c r="H4766" s="128" t="inlineStr">
        <is>
          <t>زمستان</t>
        </is>
      </c>
      <c r="I4766" s="128" t="inlineStr">
        <is>
          <t>یکشنبه</t>
        </is>
      </c>
      <c r="J4766" s="128" t="inlineStr">
        <is>
          <t>خیر</t>
        </is>
      </c>
    </row>
    <row r="4767">
      <c r="A4767" s="176" t="n">
        <v>49688</v>
      </c>
      <c r="B4767" s="177" t="n">
        <v>49688</v>
      </c>
      <c r="C4767" s="177" t="n">
        <v>1414</v>
      </c>
      <c r="D4767" s="177" t="n">
        <v>10</v>
      </c>
      <c r="E4767" s="178" t="inlineStr">
        <is>
          <t>1414/10/24</t>
        </is>
      </c>
      <c r="F4767" s="134" t="inlineStr">
        <is>
          <t>1414/10</t>
        </is>
      </c>
      <c r="G4767" s="61" t="inlineStr">
        <is>
          <t>دی</t>
        </is>
      </c>
      <c r="H4767" s="134" t="inlineStr">
        <is>
          <t>زمستان</t>
        </is>
      </c>
      <c r="I4767" s="134" t="inlineStr">
        <is>
          <t>دوشنبه</t>
        </is>
      </c>
      <c r="J4767" s="134" t="inlineStr">
        <is>
          <t>بله</t>
        </is>
      </c>
    </row>
    <row r="4768">
      <c r="A4768" s="173" t="n">
        <v>49689</v>
      </c>
      <c r="B4768" s="174" t="n">
        <v>49689</v>
      </c>
      <c r="C4768" s="174" t="n">
        <v>1414</v>
      </c>
      <c r="D4768" s="174" t="n">
        <v>10</v>
      </c>
      <c r="E4768" s="175" t="inlineStr">
        <is>
          <t>1414/10/25</t>
        </is>
      </c>
      <c r="F4768" s="128" t="inlineStr">
        <is>
          <t>1414/10</t>
        </is>
      </c>
      <c r="G4768" s="58" t="inlineStr">
        <is>
          <t>دی</t>
        </is>
      </c>
      <c r="H4768" s="128" t="inlineStr">
        <is>
          <t>زمستان</t>
        </is>
      </c>
      <c r="I4768" s="128" t="inlineStr">
        <is>
          <t>سه‌شنبه</t>
        </is>
      </c>
      <c r="J4768" s="128" t="inlineStr">
        <is>
          <t>بله</t>
        </is>
      </c>
    </row>
    <row r="4769">
      <c r="A4769" s="176" t="n">
        <v>49690</v>
      </c>
      <c r="B4769" s="177" t="n">
        <v>49690</v>
      </c>
      <c r="C4769" s="177" t="n">
        <v>1414</v>
      </c>
      <c r="D4769" s="177" t="n">
        <v>10</v>
      </c>
      <c r="E4769" s="178" t="inlineStr">
        <is>
          <t>1414/10/26</t>
        </is>
      </c>
      <c r="F4769" s="134" t="inlineStr">
        <is>
          <t>1414/10</t>
        </is>
      </c>
      <c r="G4769" s="61" t="inlineStr">
        <is>
          <t>دی</t>
        </is>
      </c>
      <c r="H4769" s="134" t="inlineStr">
        <is>
          <t>زمستان</t>
        </is>
      </c>
      <c r="I4769" s="134" t="inlineStr">
        <is>
          <t>چهارشنبه</t>
        </is>
      </c>
      <c r="J4769" s="134" t="inlineStr">
        <is>
          <t>بله</t>
        </is>
      </c>
    </row>
    <row r="4770">
      <c r="A4770" s="173" t="n">
        <v>49691</v>
      </c>
      <c r="B4770" s="174" t="n">
        <v>49691</v>
      </c>
      <c r="C4770" s="174" t="n">
        <v>1414</v>
      </c>
      <c r="D4770" s="174" t="n">
        <v>10</v>
      </c>
      <c r="E4770" s="175" t="inlineStr">
        <is>
          <t>1414/10/27</t>
        </is>
      </c>
      <c r="F4770" s="128" t="inlineStr">
        <is>
          <t>1414/10</t>
        </is>
      </c>
      <c r="G4770" s="58" t="inlineStr">
        <is>
          <t>دی</t>
        </is>
      </c>
      <c r="H4770" s="128" t="inlineStr">
        <is>
          <t>زمستان</t>
        </is>
      </c>
      <c r="I4770" s="128" t="inlineStr">
        <is>
          <t>پنجشنبه</t>
        </is>
      </c>
      <c r="J4770" s="128" t="inlineStr">
        <is>
          <t>بله</t>
        </is>
      </c>
    </row>
    <row r="4771">
      <c r="A4771" s="176" t="n">
        <v>49692</v>
      </c>
      <c r="B4771" s="177" t="n">
        <v>49692</v>
      </c>
      <c r="C4771" s="177" t="n">
        <v>1414</v>
      </c>
      <c r="D4771" s="177" t="n">
        <v>10</v>
      </c>
      <c r="E4771" s="178" t="inlineStr">
        <is>
          <t>1414/10/28</t>
        </is>
      </c>
      <c r="F4771" s="134" t="inlineStr">
        <is>
          <t>1414/10</t>
        </is>
      </c>
      <c r="G4771" s="61" t="inlineStr">
        <is>
          <t>دی</t>
        </is>
      </c>
      <c r="H4771" s="134" t="inlineStr">
        <is>
          <t>زمستان</t>
        </is>
      </c>
      <c r="I4771" s="134" t="inlineStr">
        <is>
          <t>جمعه</t>
        </is>
      </c>
      <c r="J4771" s="134" t="inlineStr">
        <is>
          <t>بله</t>
        </is>
      </c>
    </row>
    <row r="4772">
      <c r="A4772" s="173" t="n">
        <v>49693</v>
      </c>
      <c r="B4772" s="174" t="n">
        <v>49693</v>
      </c>
      <c r="C4772" s="174" t="n">
        <v>1414</v>
      </c>
      <c r="D4772" s="174" t="n">
        <v>10</v>
      </c>
      <c r="E4772" s="175" t="inlineStr">
        <is>
          <t>1414/10/29</t>
        </is>
      </c>
      <c r="F4772" s="128" t="inlineStr">
        <is>
          <t>1414/10</t>
        </is>
      </c>
      <c r="G4772" s="58" t="inlineStr">
        <is>
          <t>دی</t>
        </is>
      </c>
      <c r="H4772" s="128" t="inlineStr">
        <is>
          <t>زمستان</t>
        </is>
      </c>
      <c r="I4772" s="128" t="inlineStr">
        <is>
          <t>شنبه</t>
        </is>
      </c>
      <c r="J4772" s="128" t="inlineStr">
        <is>
          <t>خیر</t>
        </is>
      </c>
    </row>
    <row r="4773">
      <c r="A4773" s="176" t="n">
        <v>49694</v>
      </c>
      <c r="B4773" s="177" t="n">
        <v>49694</v>
      </c>
      <c r="C4773" s="177" t="n">
        <v>1414</v>
      </c>
      <c r="D4773" s="177" t="n">
        <v>10</v>
      </c>
      <c r="E4773" s="178" t="inlineStr">
        <is>
          <t>1414/10/30</t>
        </is>
      </c>
      <c r="F4773" s="134" t="inlineStr">
        <is>
          <t>1414/10</t>
        </is>
      </c>
      <c r="G4773" s="61" t="inlineStr">
        <is>
          <t>دی</t>
        </is>
      </c>
      <c r="H4773" s="134" t="inlineStr">
        <is>
          <t>زمستان</t>
        </is>
      </c>
      <c r="I4773" s="134" t="inlineStr">
        <is>
          <t>یکشنبه</t>
        </is>
      </c>
      <c r="J4773" s="134" t="inlineStr">
        <is>
          <t>خیر</t>
        </is>
      </c>
    </row>
    <row r="4774">
      <c r="A4774" s="173" t="n">
        <v>49695</v>
      </c>
      <c r="B4774" s="174" t="n">
        <v>49695</v>
      </c>
      <c r="C4774" s="174" t="n">
        <v>1414</v>
      </c>
      <c r="D4774" s="174" t="n">
        <v>11</v>
      </c>
      <c r="E4774" s="175" t="inlineStr">
        <is>
          <t>1414/11/01</t>
        </is>
      </c>
      <c r="F4774" s="128" t="inlineStr">
        <is>
          <t>1414/11</t>
        </is>
      </c>
      <c r="G4774" s="58" t="inlineStr">
        <is>
          <t>بهمن</t>
        </is>
      </c>
      <c r="H4774" s="128" t="inlineStr">
        <is>
          <t>زمستان</t>
        </is>
      </c>
      <c r="I4774" s="128" t="inlineStr">
        <is>
          <t>دوشنبه</t>
        </is>
      </c>
      <c r="J4774" s="128" t="inlineStr">
        <is>
          <t>بله</t>
        </is>
      </c>
    </row>
    <row r="4775">
      <c r="A4775" s="176" t="n">
        <v>49696</v>
      </c>
      <c r="B4775" s="177" t="n">
        <v>49696</v>
      </c>
      <c r="C4775" s="177" t="n">
        <v>1414</v>
      </c>
      <c r="D4775" s="177" t="n">
        <v>11</v>
      </c>
      <c r="E4775" s="178" t="inlineStr">
        <is>
          <t>1414/11/02</t>
        </is>
      </c>
      <c r="F4775" s="134" t="inlineStr">
        <is>
          <t>1414/11</t>
        </is>
      </c>
      <c r="G4775" s="61" t="inlineStr">
        <is>
          <t>بهمن</t>
        </is>
      </c>
      <c r="H4775" s="134" t="inlineStr">
        <is>
          <t>زمستان</t>
        </is>
      </c>
      <c r="I4775" s="134" t="inlineStr">
        <is>
          <t>سه‌شنبه</t>
        </is>
      </c>
      <c r="J4775" s="134" t="inlineStr">
        <is>
          <t>بله</t>
        </is>
      </c>
    </row>
    <row r="4776">
      <c r="A4776" s="173" t="n">
        <v>49697</v>
      </c>
      <c r="B4776" s="174" t="n">
        <v>49697</v>
      </c>
      <c r="C4776" s="174" t="n">
        <v>1414</v>
      </c>
      <c r="D4776" s="174" t="n">
        <v>11</v>
      </c>
      <c r="E4776" s="175" t="inlineStr">
        <is>
          <t>1414/11/03</t>
        </is>
      </c>
      <c r="F4776" s="128" t="inlineStr">
        <is>
          <t>1414/11</t>
        </is>
      </c>
      <c r="G4776" s="58" t="inlineStr">
        <is>
          <t>بهمن</t>
        </is>
      </c>
      <c r="H4776" s="128" t="inlineStr">
        <is>
          <t>زمستان</t>
        </is>
      </c>
      <c r="I4776" s="128" t="inlineStr">
        <is>
          <t>چهارشنبه</t>
        </is>
      </c>
      <c r="J4776" s="128" t="inlineStr">
        <is>
          <t>بله</t>
        </is>
      </c>
    </row>
    <row r="4777">
      <c r="A4777" s="176" t="n">
        <v>49698</v>
      </c>
      <c r="B4777" s="177" t="n">
        <v>49698</v>
      </c>
      <c r="C4777" s="177" t="n">
        <v>1414</v>
      </c>
      <c r="D4777" s="177" t="n">
        <v>11</v>
      </c>
      <c r="E4777" s="178" t="inlineStr">
        <is>
          <t>1414/11/04</t>
        </is>
      </c>
      <c r="F4777" s="134" t="inlineStr">
        <is>
          <t>1414/11</t>
        </is>
      </c>
      <c r="G4777" s="61" t="inlineStr">
        <is>
          <t>بهمن</t>
        </is>
      </c>
      <c r="H4777" s="134" t="inlineStr">
        <is>
          <t>زمستان</t>
        </is>
      </c>
      <c r="I4777" s="134" t="inlineStr">
        <is>
          <t>پنجشنبه</t>
        </is>
      </c>
      <c r="J4777" s="134" t="inlineStr">
        <is>
          <t>بله</t>
        </is>
      </c>
    </row>
    <row r="4778">
      <c r="A4778" s="173" t="n">
        <v>49699</v>
      </c>
      <c r="B4778" s="174" t="n">
        <v>49699</v>
      </c>
      <c r="C4778" s="174" t="n">
        <v>1414</v>
      </c>
      <c r="D4778" s="174" t="n">
        <v>11</v>
      </c>
      <c r="E4778" s="175" t="inlineStr">
        <is>
          <t>1414/11/05</t>
        </is>
      </c>
      <c r="F4778" s="128" t="inlineStr">
        <is>
          <t>1414/11</t>
        </is>
      </c>
      <c r="G4778" s="58" t="inlineStr">
        <is>
          <t>بهمن</t>
        </is>
      </c>
      <c r="H4778" s="128" t="inlineStr">
        <is>
          <t>زمستان</t>
        </is>
      </c>
      <c r="I4778" s="128" t="inlineStr">
        <is>
          <t>جمعه</t>
        </is>
      </c>
      <c r="J4778" s="128" t="inlineStr">
        <is>
          <t>بله</t>
        </is>
      </c>
    </row>
    <row r="4779">
      <c r="A4779" s="176" t="n">
        <v>49700</v>
      </c>
      <c r="B4779" s="177" t="n">
        <v>49700</v>
      </c>
      <c r="C4779" s="177" t="n">
        <v>1414</v>
      </c>
      <c r="D4779" s="177" t="n">
        <v>11</v>
      </c>
      <c r="E4779" s="178" t="inlineStr">
        <is>
          <t>1414/11/06</t>
        </is>
      </c>
      <c r="F4779" s="134" t="inlineStr">
        <is>
          <t>1414/11</t>
        </is>
      </c>
      <c r="G4779" s="61" t="inlineStr">
        <is>
          <t>بهمن</t>
        </is>
      </c>
      <c r="H4779" s="134" t="inlineStr">
        <is>
          <t>زمستان</t>
        </is>
      </c>
      <c r="I4779" s="134" t="inlineStr">
        <is>
          <t>شنبه</t>
        </is>
      </c>
      <c r="J4779" s="134" t="inlineStr">
        <is>
          <t>خیر</t>
        </is>
      </c>
    </row>
    <row r="4780">
      <c r="A4780" s="173" t="n">
        <v>49701</v>
      </c>
      <c r="B4780" s="174" t="n">
        <v>49701</v>
      </c>
      <c r="C4780" s="174" t="n">
        <v>1414</v>
      </c>
      <c r="D4780" s="174" t="n">
        <v>11</v>
      </c>
      <c r="E4780" s="175" t="inlineStr">
        <is>
          <t>1414/11/07</t>
        </is>
      </c>
      <c r="F4780" s="128" t="inlineStr">
        <is>
          <t>1414/11</t>
        </is>
      </c>
      <c r="G4780" s="58" t="inlineStr">
        <is>
          <t>بهمن</t>
        </is>
      </c>
      <c r="H4780" s="128" t="inlineStr">
        <is>
          <t>زمستان</t>
        </is>
      </c>
      <c r="I4780" s="128" t="inlineStr">
        <is>
          <t>یکشنبه</t>
        </is>
      </c>
      <c r="J4780" s="128" t="inlineStr">
        <is>
          <t>خیر</t>
        </is>
      </c>
    </row>
    <row r="4781">
      <c r="A4781" s="176" t="n">
        <v>49702</v>
      </c>
      <c r="B4781" s="177" t="n">
        <v>49702</v>
      </c>
      <c r="C4781" s="177" t="n">
        <v>1414</v>
      </c>
      <c r="D4781" s="177" t="n">
        <v>11</v>
      </c>
      <c r="E4781" s="178" t="inlineStr">
        <is>
          <t>1414/11/08</t>
        </is>
      </c>
      <c r="F4781" s="134" t="inlineStr">
        <is>
          <t>1414/11</t>
        </is>
      </c>
      <c r="G4781" s="61" t="inlineStr">
        <is>
          <t>بهمن</t>
        </is>
      </c>
      <c r="H4781" s="134" t="inlineStr">
        <is>
          <t>زمستان</t>
        </is>
      </c>
      <c r="I4781" s="134" t="inlineStr">
        <is>
          <t>دوشنبه</t>
        </is>
      </c>
      <c r="J4781" s="134" t="inlineStr">
        <is>
          <t>بله</t>
        </is>
      </c>
    </row>
    <row r="4782">
      <c r="A4782" s="173" t="n">
        <v>49703</v>
      </c>
      <c r="B4782" s="174" t="n">
        <v>49703</v>
      </c>
      <c r="C4782" s="174" t="n">
        <v>1414</v>
      </c>
      <c r="D4782" s="174" t="n">
        <v>11</v>
      </c>
      <c r="E4782" s="175" t="inlineStr">
        <is>
          <t>1414/11/09</t>
        </is>
      </c>
      <c r="F4782" s="128" t="inlineStr">
        <is>
          <t>1414/11</t>
        </is>
      </c>
      <c r="G4782" s="58" t="inlineStr">
        <is>
          <t>بهمن</t>
        </is>
      </c>
      <c r="H4782" s="128" t="inlineStr">
        <is>
          <t>زمستان</t>
        </is>
      </c>
      <c r="I4782" s="128" t="inlineStr">
        <is>
          <t>سه‌شنبه</t>
        </is>
      </c>
      <c r="J4782" s="128" t="inlineStr">
        <is>
          <t>بله</t>
        </is>
      </c>
    </row>
    <row r="4783">
      <c r="A4783" s="176" t="n">
        <v>49704</v>
      </c>
      <c r="B4783" s="177" t="n">
        <v>49704</v>
      </c>
      <c r="C4783" s="177" t="n">
        <v>1414</v>
      </c>
      <c r="D4783" s="177" t="n">
        <v>11</v>
      </c>
      <c r="E4783" s="178" t="inlineStr">
        <is>
          <t>1414/11/10</t>
        </is>
      </c>
      <c r="F4783" s="134" t="inlineStr">
        <is>
          <t>1414/11</t>
        </is>
      </c>
      <c r="G4783" s="61" t="inlineStr">
        <is>
          <t>بهمن</t>
        </is>
      </c>
      <c r="H4783" s="134" t="inlineStr">
        <is>
          <t>زمستان</t>
        </is>
      </c>
      <c r="I4783" s="134" t="inlineStr">
        <is>
          <t>چهارشنبه</t>
        </is>
      </c>
      <c r="J4783" s="134" t="inlineStr">
        <is>
          <t>بله</t>
        </is>
      </c>
    </row>
    <row r="4784">
      <c r="A4784" s="173" t="n">
        <v>49705</v>
      </c>
      <c r="B4784" s="174" t="n">
        <v>49705</v>
      </c>
      <c r="C4784" s="174" t="n">
        <v>1414</v>
      </c>
      <c r="D4784" s="174" t="n">
        <v>11</v>
      </c>
      <c r="E4784" s="175" t="inlineStr">
        <is>
          <t>1414/11/11</t>
        </is>
      </c>
      <c r="F4784" s="128" t="inlineStr">
        <is>
          <t>1414/11</t>
        </is>
      </c>
      <c r="G4784" s="58" t="inlineStr">
        <is>
          <t>بهمن</t>
        </is>
      </c>
      <c r="H4784" s="128" t="inlineStr">
        <is>
          <t>زمستان</t>
        </is>
      </c>
      <c r="I4784" s="128" t="inlineStr">
        <is>
          <t>پنجشنبه</t>
        </is>
      </c>
      <c r="J4784" s="128" t="inlineStr">
        <is>
          <t>بله</t>
        </is>
      </c>
    </row>
    <row r="4785">
      <c r="A4785" s="176" t="n">
        <v>49706</v>
      </c>
      <c r="B4785" s="177" t="n">
        <v>49706</v>
      </c>
      <c r="C4785" s="177" t="n">
        <v>1414</v>
      </c>
      <c r="D4785" s="177" t="n">
        <v>11</v>
      </c>
      <c r="E4785" s="178" t="inlineStr">
        <is>
          <t>1414/11/12</t>
        </is>
      </c>
      <c r="F4785" s="134" t="inlineStr">
        <is>
          <t>1414/11</t>
        </is>
      </c>
      <c r="G4785" s="61" t="inlineStr">
        <is>
          <t>بهمن</t>
        </is>
      </c>
      <c r="H4785" s="134" t="inlineStr">
        <is>
          <t>زمستان</t>
        </is>
      </c>
      <c r="I4785" s="134" t="inlineStr">
        <is>
          <t>جمعه</t>
        </is>
      </c>
      <c r="J4785" s="134" t="inlineStr">
        <is>
          <t>بله</t>
        </is>
      </c>
    </row>
    <row r="4786">
      <c r="A4786" s="173" t="n">
        <v>49707</v>
      </c>
      <c r="B4786" s="174" t="n">
        <v>49707</v>
      </c>
      <c r="C4786" s="174" t="n">
        <v>1414</v>
      </c>
      <c r="D4786" s="174" t="n">
        <v>11</v>
      </c>
      <c r="E4786" s="175" t="inlineStr">
        <is>
          <t>1414/11/13</t>
        </is>
      </c>
      <c r="F4786" s="128" t="inlineStr">
        <is>
          <t>1414/11</t>
        </is>
      </c>
      <c r="G4786" s="58" t="inlineStr">
        <is>
          <t>بهمن</t>
        </is>
      </c>
      <c r="H4786" s="128" t="inlineStr">
        <is>
          <t>زمستان</t>
        </is>
      </c>
      <c r="I4786" s="128" t="inlineStr">
        <is>
          <t>شنبه</t>
        </is>
      </c>
      <c r="J4786" s="128" t="inlineStr">
        <is>
          <t>خیر</t>
        </is>
      </c>
    </row>
    <row r="4787">
      <c r="A4787" s="176" t="n">
        <v>49708</v>
      </c>
      <c r="B4787" s="177" t="n">
        <v>49708</v>
      </c>
      <c r="C4787" s="177" t="n">
        <v>1414</v>
      </c>
      <c r="D4787" s="177" t="n">
        <v>11</v>
      </c>
      <c r="E4787" s="178" t="inlineStr">
        <is>
          <t>1414/11/14</t>
        </is>
      </c>
      <c r="F4787" s="134" t="inlineStr">
        <is>
          <t>1414/11</t>
        </is>
      </c>
      <c r="G4787" s="61" t="inlineStr">
        <is>
          <t>بهمن</t>
        </is>
      </c>
      <c r="H4787" s="134" t="inlineStr">
        <is>
          <t>زمستان</t>
        </is>
      </c>
      <c r="I4787" s="134" t="inlineStr">
        <is>
          <t>یکشنبه</t>
        </is>
      </c>
      <c r="J4787" s="134" t="inlineStr">
        <is>
          <t>خیر</t>
        </is>
      </c>
    </row>
    <row r="4788">
      <c r="A4788" s="173" t="n">
        <v>49709</v>
      </c>
      <c r="B4788" s="174" t="n">
        <v>49709</v>
      </c>
      <c r="C4788" s="174" t="n">
        <v>1414</v>
      </c>
      <c r="D4788" s="174" t="n">
        <v>11</v>
      </c>
      <c r="E4788" s="175" t="inlineStr">
        <is>
          <t>1414/11/15</t>
        </is>
      </c>
      <c r="F4788" s="128" t="inlineStr">
        <is>
          <t>1414/11</t>
        </is>
      </c>
      <c r="G4788" s="58" t="inlineStr">
        <is>
          <t>بهمن</t>
        </is>
      </c>
      <c r="H4788" s="128" t="inlineStr">
        <is>
          <t>زمستان</t>
        </is>
      </c>
      <c r="I4788" s="128" t="inlineStr">
        <is>
          <t>دوشنبه</t>
        </is>
      </c>
      <c r="J4788" s="128" t="inlineStr">
        <is>
          <t>بله</t>
        </is>
      </c>
    </row>
    <row r="4789">
      <c r="A4789" s="176" t="n">
        <v>49710</v>
      </c>
      <c r="B4789" s="177" t="n">
        <v>49710</v>
      </c>
      <c r="C4789" s="177" t="n">
        <v>1414</v>
      </c>
      <c r="D4789" s="177" t="n">
        <v>11</v>
      </c>
      <c r="E4789" s="178" t="inlineStr">
        <is>
          <t>1414/11/16</t>
        </is>
      </c>
      <c r="F4789" s="134" t="inlineStr">
        <is>
          <t>1414/11</t>
        </is>
      </c>
      <c r="G4789" s="61" t="inlineStr">
        <is>
          <t>بهمن</t>
        </is>
      </c>
      <c r="H4789" s="134" t="inlineStr">
        <is>
          <t>زمستان</t>
        </is>
      </c>
      <c r="I4789" s="134" t="inlineStr">
        <is>
          <t>سه‌شنبه</t>
        </is>
      </c>
      <c r="J4789" s="134" t="inlineStr">
        <is>
          <t>بله</t>
        </is>
      </c>
    </row>
    <row r="4790">
      <c r="A4790" s="173" t="n">
        <v>49711</v>
      </c>
      <c r="B4790" s="174" t="n">
        <v>49711</v>
      </c>
      <c r="C4790" s="174" t="n">
        <v>1414</v>
      </c>
      <c r="D4790" s="174" t="n">
        <v>11</v>
      </c>
      <c r="E4790" s="175" t="inlineStr">
        <is>
          <t>1414/11/17</t>
        </is>
      </c>
      <c r="F4790" s="128" t="inlineStr">
        <is>
          <t>1414/11</t>
        </is>
      </c>
      <c r="G4790" s="58" t="inlineStr">
        <is>
          <t>بهمن</t>
        </is>
      </c>
      <c r="H4790" s="128" t="inlineStr">
        <is>
          <t>زمستان</t>
        </is>
      </c>
      <c r="I4790" s="128" t="inlineStr">
        <is>
          <t>چهارشنبه</t>
        </is>
      </c>
      <c r="J4790" s="128" t="inlineStr">
        <is>
          <t>بله</t>
        </is>
      </c>
    </row>
    <row r="4791">
      <c r="A4791" s="176" t="n">
        <v>49712</v>
      </c>
      <c r="B4791" s="177" t="n">
        <v>49712</v>
      </c>
      <c r="C4791" s="177" t="n">
        <v>1414</v>
      </c>
      <c r="D4791" s="177" t="n">
        <v>11</v>
      </c>
      <c r="E4791" s="178" t="inlineStr">
        <is>
          <t>1414/11/18</t>
        </is>
      </c>
      <c r="F4791" s="134" t="inlineStr">
        <is>
          <t>1414/11</t>
        </is>
      </c>
      <c r="G4791" s="61" t="inlineStr">
        <is>
          <t>بهمن</t>
        </is>
      </c>
      <c r="H4791" s="134" t="inlineStr">
        <is>
          <t>زمستان</t>
        </is>
      </c>
      <c r="I4791" s="134" t="inlineStr">
        <is>
          <t>پنجشنبه</t>
        </is>
      </c>
      <c r="J4791" s="134" t="inlineStr">
        <is>
          <t>بله</t>
        </is>
      </c>
    </row>
    <row r="4792">
      <c r="A4792" s="173" t="n">
        <v>49713</v>
      </c>
      <c r="B4792" s="174" t="n">
        <v>49713</v>
      </c>
      <c r="C4792" s="174" t="n">
        <v>1414</v>
      </c>
      <c r="D4792" s="174" t="n">
        <v>11</v>
      </c>
      <c r="E4792" s="175" t="inlineStr">
        <is>
          <t>1414/11/19</t>
        </is>
      </c>
      <c r="F4792" s="128" t="inlineStr">
        <is>
          <t>1414/11</t>
        </is>
      </c>
      <c r="G4792" s="58" t="inlineStr">
        <is>
          <t>بهمن</t>
        </is>
      </c>
      <c r="H4792" s="128" t="inlineStr">
        <is>
          <t>زمستان</t>
        </is>
      </c>
      <c r="I4792" s="128" t="inlineStr">
        <is>
          <t>جمعه</t>
        </is>
      </c>
      <c r="J4792" s="128" t="inlineStr">
        <is>
          <t>بله</t>
        </is>
      </c>
    </row>
    <row r="4793">
      <c r="A4793" s="176" t="n">
        <v>49714</v>
      </c>
      <c r="B4793" s="177" t="n">
        <v>49714</v>
      </c>
      <c r="C4793" s="177" t="n">
        <v>1414</v>
      </c>
      <c r="D4793" s="177" t="n">
        <v>11</v>
      </c>
      <c r="E4793" s="178" t="inlineStr">
        <is>
          <t>1414/11/20</t>
        </is>
      </c>
      <c r="F4793" s="134" t="inlineStr">
        <is>
          <t>1414/11</t>
        </is>
      </c>
      <c r="G4793" s="61" t="inlineStr">
        <is>
          <t>بهمن</t>
        </is>
      </c>
      <c r="H4793" s="134" t="inlineStr">
        <is>
          <t>زمستان</t>
        </is>
      </c>
      <c r="I4793" s="134" t="inlineStr">
        <is>
          <t>شنبه</t>
        </is>
      </c>
      <c r="J4793" s="134" t="inlineStr">
        <is>
          <t>خیر</t>
        </is>
      </c>
    </row>
    <row r="4794">
      <c r="A4794" s="173" t="n">
        <v>49715</v>
      </c>
      <c r="B4794" s="174" t="n">
        <v>49715</v>
      </c>
      <c r="C4794" s="174" t="n">
        <v>1414</v>
      </c>
      <c r="D4794" s="174" t="n">
        <v>11</v>
      </c>
      <c r="E4794" s="175" t="inlineStr">
        <is>
          <t>1414/11/21</t>
        </is>
      </c>
      <c r="F4794" s="128" t="inlineStr">
        <is>
          <t>1414/11</t>
        </is>
      </c>
      <c r="G4794" s="58" t="inlineStr">
        <is>
          <t>بهمن</t>
        </is>
      </c>
      <c r="H4794" s="128" t="inlineStr">
        <is>
          <t>زمستان</t>
        </is>
      </c>
      <c r="I4794" s="128" t="inlineStr">
        <is>
          <t>یکشنبه</t>
        </is>
      </c>
      <c r="J4794" s="128" t="inlineStr">
        <is>
          <t>خیر</t>
        </is>
      </c>
    </row>
    <row r="4795">
      <c r="A4795" s="176" t="n">
        <v>49716</v>
      </c>
      <c r="B4795" s="177" t="n">
        <v>49716</v>
      </c>
      <c r="C4795" s="177" t="n">
        <v>1414</v>
      </c>
      <c r="D4795" s="177" t="n">
        <v>11</v>
      </c>
      <c r="E4795" s="178" t="inlineStr">
        <is>
          <t>1414/11/22</t>
        </is>
      </c>
      <c r="F4795" s="134" t="inlineStr">
        <is>
          <t>1414/11</t>
        </is>
      </c>
      <c r="G4795" s="61" t="inlineStr">
        <is>
          <t>بهمن</t>
        </is>
      </c>
      <c r="H4795" s="134" t="inlineStr">
        <is>
          <t>زمستان</t>
        </is>
      </c>
      <c r="I4795" s="134" t="inlineStr">
        <is>
          <t>دوشنبه</t>
        </is>
      </c>
      <c r="J4795" s="134" t="inlineStr">
        <is>
          <t>بله</t>
        </is>
      </c>
    </row>
    <row r="4796">
      <c r="A4796" s="173" t="n">
        <v>49717</v>
      </c>
      <c r="B4796" s="174" t="n">
        <v>49717</v>
      </c>
      <c r="C4796" s="174" t="n">
        <v>1414</v>
      </c>
      <c r="D4796" s="174" t="n">
        <v>11</v>
      </c>
      <c r="E4796" s="175" t="inlineStr">
        <is>
          <t>1414/11/23</t>
        </is>
      </c>
      <c r="F4796" s="128" t="inlineStr">
        <is>
          <t>1414/11</t>
        </is>
      </c>
      <c r="G4796" s="58" t="inlineStr">
        <is>
          <t>بهمن</t>
        </is>
      </c>
      <c r="H4796" s="128" t="inlineStr">
        <is>
          <t>زمستان</t>
        </is>
      </c>
      <c r="I4796" s="128" t="inlineStr">
        <is>
          <t>سه‌شنبه</t>
        </is>
      </c>
      <c r="J4796" s="128" t="inlineStr">
        <is>
          <t>بله</t>
        </is>
      </c>
    </row>
    <row r="4797">
      <c r="A4797" s="176" t="n">
        <v>49718</v>
      </c>
      <c r="B4797" s="177" t="n">
        <v>49718</v>
      </c>
      <c r="C4797" s="177" t="n">
        <v>1414</v>
      </c>
      <c r="D4797" s="177" t="n">
        <v>11</v>
      </c>
      <c r="E4797" s="178" t="inlineStr">
        <is>
          <t>1414/11/24</t>
        </is>
      </c>
      <c r="F4797" s="134" t="inlineStr">
        <is>
          <t>1414/11</t>
        </is>
      </c>
      <c r="G4797" s="61" t="inlineStr">
        <is>
          <t>بهمن</t>
        </is>
      </c>
      <c r="H4797" s="134" t="inlineStr">
        <is>
          <t>زمستان</t>
        </is>
      </c>
      <c r="I4797" s="134" t="inlineStr">
        <is>
          <t>چهارشنبه</t>
        </is>
      </c>
      <c r="J4797" s="134" t="inlineStr">
        <is>
          <t>بله</t>
        </is>
      </c>
    </row>
    <row r="4798">
      <c r="A4798" s="173" t="n">
        <v>49719</v>
      </c>
      <c r="B4798" s="174" t="n">
        <v>49719</v>
      </c>
      <c r="C4798" s="174" t="n">
        <v>1414</v>
      </c>
      <c r="D4798" s="174" t="n">
        <v>11</v>
      </c>
      <c r="E4798" s="175" t="inlineStr">
        <is>
          <t>1414/11/25</t>
        </is>
      </c>
      <c r="F4798" s="128" t="inlineStr">
        <is>
          <t>1414/11</t>
        </is>
      </c>
      <c r="G4798" s="58" t="inlineStr">
        <is>
          <t>بهمن</t>
        </is>
      </c>
      <c r="H4798" s="128" t="inlineStr">
        <is>
          <t>زمستان</t>
        </is>
      </c>
      <c r="I4798" s="128" t="inlineStr">
        <is>
          <t>پنجشنبه</t>
        </is>
      </c>
      <c r="J4798" s="128" t="inlineStr">
        <is>
          <t>بله</t>
        </is>
      </c>
    </row>
    <row r="4799">
      <c r="A4799" s="176" t="n">
        <v>49720</v>
      </c>
      <c r="B4799" s="177" t="n">
        <v>49720</v>
      </c>
      <c r="C4799" s="177" t="n">
        <v>1414</v>
      </c>
      <c r="D4799" s="177" t="n">
        <v>11</v>
      </c>
      <c r="E4799" s="178" t="inlineStr">
        <is>
          <t>1414/11/26</t>
        </is>
      </c>
      <c r="F4799" s="134" t="inlineStr">
        <is>
          <t>1414/11</t>
        </is>
      </c>
      <c r="G4799" s="61" t="inlineStr">
        <is>
          <t>بهمن</t>
        </is>
      </c>
      <c r="H4799" s="134" t="inlineStr">
        <is>
          <t>زمستان</t>
        </is>
      </c>
      <c r="I4799" s="134" t="inlineStr">
        <is>
          <t>جمعه</t>
        </is>
      </c>
      <c r="J4799" s="134" t="inlineStr">
        <is>
          <t>بله</t>
        </is>
      </c>
    </row>
    <row r="4800">
      <c r="A4800" s="173" t="n">
        <v>49721</v>
      </c>
      <c r="B4800" s="174" t="n">
        <v>49721</v>
      </c>
      <c r="C4800" s="174" t="n">
        <v>1414</v>
      </c>
      <c r="D4800" s="174" t="n">
        <v>11</v>
      </c>
      <c r="E4800" s="175" t="inlineStr">
        <is>
          <t>1414/11/27</t>
        </is>
      </c>
      <c r="F4800" s="128" t="inlineStr">
        <is>
          <t>1414/11</t>
        </is>
      </c>
      <c r="G4800" s="58" t="inlineStr">
        <is>
          <t>بهمن</t>
        </is>
      </c>
      <c r="H4800" s="128" t="inlineStr">
        <is>
          <t>زمستان</t>
        </is>
      </c>
      <c r="I4800" s="128" t="inlineStr">
        <is>
          <t>شنبه</t>
        </is>
      </c>
      <c r="J4800" s="128" t="inlineStr">
        <is>
          <t>خیر</t>
        </is>
      </c>
    </row>
    <row r="4801">
      <c r="A4801" s="176" t="n">
        <v>49722</v>
      </c>
      <c r="B4801" s="177" t="n">
        <v>49722</v>
      </c>
      <c r="C4801" s="177" t="n">
        <v>1414</v>
      </c>
      <c r="D4801" s="177" t="n">
        <v>11</v>
      </c>
      <c r="E4801" s="178" t="inlineStr">
        <is>
          <t>1414/11/28</t>
        </is>
      </c>
      <c r="F4801" s="134" t="inlineStr">
        <is>
          <t>1414/11</t>
        </is>
      </c>
      <c r="G4801" s="61" t="inlineStr">
        <is>
          <t>بهمن</t>
        </is>
      </c>
      <c r="H4801" s="134" t="inlineStr">
        <is>
          <t>زمستان</t>
        </is>
      </c>
      <c r="I4801" s="134" t="inlineStr">
        <is>
          <t>یکشنبه</t>
        </is>
      </c>
      <c r="J4801" s="134" t="inlineStr">
        <is>
          <t>خیر</t>
        </is>
      </c>
    </row>
    <row r="4802">
      <c r="A4802" s="173" t="n">
        <v>49723</v>
      </c>
      <c r="B4802" s="174" t="n">
        <v>49723</v>
      </c>
      <c r="C4802" s="174" t="n">
        <v>1414</v>
      </c>
      <c r="D4802" s="174" t="n">
        <v>11</v>
      </c>
      <c r="E4802" s="175" t="inlineStr">
        <is>
          <t>1414/11/29</t>
        </is>
      </c>
      <c r="F4802" s="128" t="inlineStr">
        <is>
          <t>1414/11</t>
        </is>
      </c>
      <c r="G4802" s="58" t="inlineStr">
        <is>
          <t>بهمن</t>
        </is>
      </c>
      <c r="H4802" s="128" t="inlineStr">
        <is>
          <t>زمستان</t>
        </is>
      </c>
      <c r="I4802" s="128" t="inlineStr">
        <is>
          <t>دوشنبه</t>
        </is>
      </c>
      <c r="J4802" s="128" t="inlineStr">
        <is>
          <t>بله</t>
        </is>
      </c>
    </row>
    <row r="4803">
      <c r="A4803" s="176" t="n">
        <v>49724</v>
      </c>
      <c r="B4803" s="177" t="n">
        <v>49724</v>
      </c>
      <c r="C4803" s="177" t="n">
        <v>1414</v>
      </c>
      <c r="D4803" s="177" t="n">
        <v>11</v>
      </c>
      <c r="E4803" s="178" t="inlineStr">
        <is>
          <t>1414/11/30</t>
        </is>
      </c>
      <c r="F4803" s="134" t="inlineStr">
        <is>
          <t>1414/11</t>
        </is>
      </c>
      <c r="G4803" s="61" t="inlineStr">
        <is>
          <t>بهمن</t>
        </is>
      </c>
      <c r="H4803" s="134" t="inlineStr">
        <is>
          <t>زمستان</t>
        </is>
      </c>
      <c r="I4803" s="134" t="inlineStr">
        <is>
          <t>سه‌شنبه</t>
        </is>
      </c>
      <c r="J4803" s="134" t="inlineStr">
        <is>
          <t>بله</t>
        </is>
      </c>
    </row>
    <row r="4804">
      <c r="A4804" s="173" t="n">
        <v>49725</v>
      </c>
      <c r="B4804" s="174" t="n">
        <v>49725</v>
      </c>
      <c r="C4804" s="174" t="n">
        <v>1414</v>
      </c>
      <c r="D4804" s="174" t="n">
        <v>12</v>
      </c>
      <c r="E4804" s="175" t="inlineStr">
        <is>
          <t>1414/12/01</t>
        </is>
      </c>
      <c r="F4804" s="128" t="inlineStr">
        <is>
          <t>1414/12</t>
        </is>
      </c>
      <c r="G4804" s="58" t="inlineStr">
        <is>
          <t>اسفند</t>
        </is>
      </c>
      <c r="H4804" s="128" t="inlineStr">
        <is>
          <t>زمستان</t>
        </is>
      </c>
      <c r="I4804" s="128" t="inlineStr">
        <is>
          <t>چهارشنبه</t>
        </is>
      </c>
      <c r="J4804" s="128" t="inlineStr">
        <is>
          <t>بله</t>
        </is>
      </c>
    </row>
    <row r="4805">
      <c r="A4805" s="176" t="n">
        <v>49726</v>
      </c>
      <c r="B4805" s="177" t="n">
        <v>49726</v>
      </c>
      <c r="C4805" s="177" t="n">
        <v>1414</v>
      </c>
      <c r="D4805" s="177" t="n">
        <v>12</v>
      </c>
      <c r="E4805" s="178" t="inlineStr">
        <is>
          <t>1414/12/02</t>
        </is>
      </c>
      <c r="F4805" s="134" t="inlineStr">
        <is>
          <t>1414/12</t>
        </is>
      </c>
      <c r="G4805" s="61" t="inlineStr">
        <is>
          <t>اسفند</t>
        </is>
      </c>
      <c r="H4805" s="134" t="inlineStr">
        <is>
          <t>زمستان</t>
        </is>
      </c>
      <c r="I4805" s="134" t="inlineStr">
        <is>
          <t>پنجشنبه</t>
        </is>
      </c>
      <c r="J4805" s="134" t="inlineStr">
        <is>
          <t>بله</t>
        </is>
      </c>
    </row>
    <row r="4806">
      <c r="A4806" s="173" t="n">
        <v>49727</v>
      </c>
      <c r="B4806" s="174" t="n">
        <v>49727</v>
      </c>
      <c r="C4806" s="174" t="n">
        <v>1414</v>
      </c>
      <c r="D4806" s="174" t="n">
        <v>12</v>
      </c>
      <c r="E4806" s="175" t="inlineStr">
        <is>
          <t>1414/12/03</t>
        </is>
      </c>
      <c r="F4806" s="128" t="inlineStr">
        <is>
          <t>1414/12</t>
        </is>
      </c>
      <c r="G4806" s="58" t="inlineStr">
        <is>
          <t>اسفند</t>
        </is>
      </c>
      <c r="H4806" s="128" t="inlineStr">
        <is>
          <t>زمستان</t>
        </is>
      </c>
      <c r="I4806" s="128" t="inlineStr">
        <is>
          <t>جمعه</t>
        </is>
      </c>
      <c r="J4806" s="128" t="inlineStr">
        <is>
          <t>بله</t>
        </is>
      </c>
    </row>
    <row r="4807">
      <c r="A4807" s="176" t="n">
        <v>49728</v>
      </c>
      <c r="B4807" s="177" t="n">
        <v>49728</v>
      </c>
      <c r="C4807" s="177" t="n">
        <v>1414</v>
      </c>
      <c r="D4807" s="177" t="n">
        <v>12</v>
      </c>
      <c r="E4807" s="178" t="inlineStr">
        <is>
          <t>1414/12/04</t>
        </is>
      </c>
      <c r="F4807" s="134" t="inlineStr">
        <is>
          <t>1414/12</t>
        </is>
      </c>
      <c r="G4807" s="61" t="inlineStr">
        <is>
          <t>اسفند</t>
        </is>
      </c>
      <c r="H4807" s="134" t="inlineStr">
        <is>
          <t>زمستان</t>
        </is>
      </c>
      <c r="I4807" s="134" t="inlineStr">
        <is>
          <t>شنبه</t>
        </is>
      </c>
      <c r="J4807" s="134" t="inlineStr">
        <is>
          <t>خیر</t>
        </is>
      </c>
    </row>
    <row r="4808">
      <c r="A4808" s="173" t="n">
        <v>49729</v>
      </c>
      <c r="B4808" s="174" t="n">
        <v>49729</v>
      </c>
      <c r="C4808" s="174" t="n">
        <v>1414</v>
      </c>
      <c r="D4808" s="174" t="n">
        <v>12</v>
      </c>
      <c r="E4808" s="175" t="inlineStr">
        <is>
          <t>1414/12/05</t>
        </is>
      </c>
      <c r="F4808" s="128" t="inlineStr">
        <is>
          <t>1414/12</t>
        </is>
      </c>
      <c r="G4808" s="58" t="inlineStr">
        <is>
          <t>اسفند</t>
        </is>
      </c>
      <c r="H4808" s="128" t="inlineStr">
        <is>
          <t>زمستان</t>
        </is>
      </c>
      <c r="I4808" s="128" t="inlineStr">
        <is>
          <t>یکشنبه</t>
        </is>
      </c>
      <c r="J4808" s="128" t="inlineStr">
        <is>
          <t>خیر</t>
        </is>
      </c>
    </row>
    <row r="4809">
      <c r="A4809" s="176" t="n">
        <v>49730</v>
      </c>
      <c r="B4809" s="177" t="n">
        <v>49730</v>
      </c>
      <c r="C4809" s="177" t="n">
        <v>1414</v>
      </c>
      <c r="D4809" s="177" t="n">
        <v>12</v>
      </c>
      <c r="E4809" s="178" t="inlineStr">
        <is>
          <t>1414/12/06</t>
        </is>
      </c>
      <c r="F4809" s="134" t="inlineStr">
        <is>
          <t>1414/12</t>
        </is>
      </c>
      <c r="G4809" s="61" t="inlineStr">
        <is>
          <t>اسفند</t>
        </is>
      </c>
      <c r="H4809" s="134" t="inlineStr">
        <is>
          <t>زمستان</t>
        </is>
      </c>
      <c r="I4809" s="134" t="inlineStr">
        <is>
          <t>دوشنبه</t>
        </is>
      </c>
      <c r="J4809" s="134" t="inlineStr">
        <is>
          <t>بله</t>
        </is>
      </c>
    </row>
    <row r="4810">
      <c r="A4810" s="173" t="n">
        <v>49731</v>
      </c>
      <c r="B4810" s="174" t="n">
        <v>49731</v>
      </c>
      <c r="C4810" s="174" t="n">
        <v>1414</v>
      </c>
      <c r="D4810" s="174" t="n">
        <v>12</v>
      </c>
      <c r="E4810" s="175" t="inlineStr">
        <is>
          <t>1414/12/07</t>
        </is>
      </c>
      <c r="F4810" s="128" t="inlineStr">
        <is>
          <t>1414/12</t>
        </is>
      </c>
      <c r="G4810" s="58" t="inlineStr">
        <is>
          <t>اسفند</t>
        </is>
      </c>
      <c r="H4810" s="128" t="inlineStr">
        <is>
          <t>زمستان</t>
        </is>
      </c>
      <c r="I4810" s="128" t="inlineStr">
        <is>
          <t>سه‌شنبه</t>
        </is>
      </c>
      <c r="J4810" s="128" t="inlineStr">
        <is>
          <t>بله</t>
        </is>
      </c>
    </row>
    <row r="4811">
      <c r="A4811" s="176" t="n">
        <v>49732</v>
      </c>
      <c r="B4811" s="177" t="n">
        <v>49732</v>
      </c>
      <c r="C4811" s="177" t="n">
        <v>1414</v>
      </c>
      <c r="D4811" s="177" t="n">
        <v>12</v>
      </c>
      <c r="E4811" s="178" t="inlineStr">
        <is>
          <t>1414/12/08</t>
        </is>
      </c>
      <c r="F4811" s="134" t="inlineStr">
        <is>
          <t>1414/12</t>
        </is>
      </c>
      <c r="G4811" s="61" t="inlineStr">
        <is>
          <t>اسفند</t>
        </is>
      </c>
      <c r="H4811" s="134" t="inlineStr">
        <is>
          <t>زمستان</t>
        </is>
      </c>
      <c r="I4811" s="134" t="inlineStr">
        <is>
          <t>چهارشنبه</t>
        </is>
      </c>
      <c r="J4811" s="134" t="inlineStr">
        <is>
          <t>بله</t>
        </is>
      </c>
    </row>
    <row r="4812">
      <c r="A4812" s="173" t="n">
        <v>49733</v>
      </c>
      <c r="B4812" s="174" t="n">
        <v>49733</v>
      </c>
      <c r="C4812" s="174" t="n">
        <v>1414</v>
      </c>
      <c r="D4812" s="174" t="n">
        <v>12</v>
      </c>
      <c r="E4812" s="175" t="inlineStr">
        <is>
          <t>1414/12/09</t>
        </is>
      </c>
      <c r="F4812" s="128" t="inlineStr">
        <is>
          <t>1414/12</t>
        </is>
      </c>
      <c r="G4812" s="58" t="inlineStr">
        <is>
          <t>اسفند</t>
        </is>
      </c>
      <c r="H4812" s="128" t="inlineStr">
        <is>
          <t>زمستان</t>
        </is>
      </c>
      <c r="I4812" s="128" t="inlineStr">
        <is>
          <t>پنجشنبه</t>
        </is>
      </c>
      <c r="J4812" s="128" t="inlineStr">
        <is>
          <t>بله</t>
        </is>
      </c>
    </row>
    <row r="4813">
      <c r="A4813" s="176" t="n">
        <v>49734</v>
      </c>
      <c r="B4813" s="177" t="n">
        <v>49734</v>
      </c>
      <c r="C4813" s="177" t="n">
        <v>1414</v>
      </c>
      <c r="D4813" s="177" t="n">
        <v>12</v>
      </c>
      <c r="E4813" s="178" t="inlineStr">
        <is>
          <t>1414/12/10</t>
        </is>
      </c>
      <c r="F4813" s="134" t="inlineStr">
        <is>
          <t>1414/12</t>
        </is>
      </c>
      <c r="G4813" s="61" t="inlineStr">
        <is>
          <t>اسفند</t>
        </is>
      </c>
      <c r="H4813" s="134" t="inlineStr">
        <is>
          <t>زمستان</t>
        </is>
      </c>
      <c r="I4813" s="134" t="inlineStr">
        <is>
          <t>جمعه</t>
        </is>
      </c>
      <c r="J4813" s="134" t="inlineStr">
        <is>
          <t>بله</t>
        </is>
      </c>
    </row>
    <row r="4814">
      <c r="A4814" s="173" t="n">
        <v>49735</v>
      </c>
      <c r="B4814" s="174" t="n">
        <v>49735</v>
      </c>
      <c r="C4814" s="174" t="n">
        <v>1414</v>
      </c>
      <c r="D4814" s="174" t="n">
        <v>12</v>
      </c>
      <c r="E4814" s="175" t="inlineStr">
        <is>
          <t>1414/12/11</t>
        </is>
      </c>
      <c r="F4814" s="128" t="inlineStr">
        <is>
          <t>1414/12</t>
        </is>
      </c>
      <c r="G4814" s="58" t="inlineStr">
        <is>
          <t>اسفند</t>
        </is>
      </c>
      <c r="H4814" s="128" t="inlineStr">
        <is>
          <t>زمستان</t>
        </is>
      </c>
      <c r="I4814" s="128" t="inlineStr">
        <is>
          <t>شنبه</t>
        </is>
      </c>
      <c r="J4814" s="128" t="inlineStr">
        <is>
          <t>خیر</t>
        </is>
      </c>
    </row>
    <row r="4815">
      <c r="A4815" s="176" t="n">
        <v>49736</v>
      </c>
      <c r="B4815" s="177" t="n">
        <v>49736</v>
      </c>
      <c r="C4815" s="177" t="n">
        <v>1414</v>
      </c>
      <c r="D4815" s="177" t="n">
        <v>12</v>
      </c>
      <c r="E4815" s="178" t="inlineStr">
        <is>
          <t>1414/12/12</t>
        </is>
      </c>
      <c r="F4815" s="134" t="inlineStr">
        <is>
          <t>1414/12</t>
        </is>
      </c>
      <c r="G4815" s="61" t="inlineStr">
        <is>
          <t>اسفند</t>
        </is>
      </c>
      <c r="H4815" s="134" t="inlineStr">
        <is>
          <t>زمستان</t>
        </is>
      </c>
      <c r="I4815" s="134" t="inlineStr">
        <is>
          <t>یکشنبه</t>
        </is>
      </c>
      <c r="J4815" s="134" t="inlineStr">
        <is>
          <t>خیر</t>
        </is>
      </c>
    </row>
    <row r="4816">
      <c r="A4816" s="173" t="n">
        <v>49737</v>
      </c>
      <c r="B4816" s="174" t="n">
        <v>49737</v>
      </c>
      <c r="C4816" s="174" t="n">
        <v>1414</v>
      </c>
      <c r="D4816" s="174" t="n">
        <v>12</v>
      </c>
      <c r="E4816" s="175" t="inlineStr">
        <is>
          <t>1414/12/13</t>
        </is>
      </c>
      <c r="F4816" s="128" t="inlineStr">
        <is>
          <t>1414/12</t>
        </is>
      </c>
      <c r="G4816" s="58" t="inlineStr">
        <is>
          <t>اسفند</t>
        </is>
      </c>
      <c r="H4816" s="128" t="inlineStr">
        <is>
          <t>زمستان</t>
        </is>
      </c>
      <c r="I4816" s="128" t="inlineStr">
        <is>
          <t>دوشنبه</t>
        </is>
      </c>
      <c r="J4816" s="128" t="inlineStr">
        <is>
          <t>بله</t>
        </is>
      </c>
    </row>
    <row r="4817">
      <c r="A4817" s="176" t="n">
        <v>49738</v>
      </c>
      <c r="B4817" s="177" t="n">
        <v>49738</v>
      </c>
      <c r="C4817" s="177" t="n">
        <v>1414</v>
      </c>
      <c r="D4817" s="177" t="n">
        <v>12</v>
      </c>
      <c r="E4817" s="178" t="inlineStr">
        <is>
          <t>1414/12/14</t>
        </is>
      </c>
      <c r="F4817" s="134" t="inlineStr">
        <is>
          <t>1414/12</t>
        </is>
      </c>
      <c r="G4817" s="61" t="inlineStr">
        <is>
          <t>اسفند</t>
        </is>
      </c>
      <c r="H4817" s="134" t="inlineStr">
        <is>
          <t>زمستان</t>
        </is>
      </c>
      <c r="I4817" s="134" t="inlineStr">
        <is>
          <t>سه‌شنبه</t>
        </is>
      </c>
      <c r="J4817" s="134" t="inlineStr">
        <is>
          <t>بله</t>
        </is>
      </c>
    </row>
    <row r="4818">
      <c r="A4818" s="173" t="n">
        <v>49739</v>
      </c>
      <c r="B4818" s="174" t="n">
        <v>49739</v>
      </c>
      <c r="C4818" s="174" t="n">
        <v>1414</v>
      </c>
      <c r="D4818" s="174" t="n">
        <v>12</v>
      </c>
      <c r="E4818" s="175" t="inlineStr">
        <is>
          <t>1414/12/15</t>
        </is>
      </c>
      <c r="F4818" s="128" t="inlineStr">
        <is>
          <t>1414/12</t>
        </is>
      </c>
      <c r="G4818" s="58" t="inlineStr">
        <is>
          <t>اسفند</t>
        </is>
      </c>
      <c r="H4818" s="128" t="inlineStr">
        <is>
          <t>زمستان</t>
        </is>
      </c>
      <c r="I4818" s="128" t="inlineStr">
        <is>
          <t>چهارشنبه</t>
        </is>
      </c>
      <c r="J4818" s="128" t="inlineStr">
        <is>
          <t>بله</t>
        </is>
      </c>
    </row>
    <row r="4819">
      <c r="A4819" s="176" t="n">
        <v>49740</v>
      </c>
      <c r="B4819" s="177" t="n">
        <v>49740</v>
      </c>
      <c r="C4819" s="177" t="n">
        <v>1414</v>
      </c>
      <c r="D4819" s="177" t="n">
        <v>12</v>
      </c>
      <c r="E4819" s="178" t="inlineStr">
        <is>
          <t>1414/12/16</t>
        </is>
      </c>
      <c r="F4819" s="134" t="inlineStr">
        <is>
          <t>1414/12</t>
        </is>
      </c>
      <c r="G4819" s="61" t="inlineStr">
        <is>
          <t>اسفند</t>
        </is>
      </c>
      <c r="H4819" s="134" t="inlineStr">
        <is>
          <t>زمستان</t>
        </is>
      </c>
      <c r="I4819" s="134" t="inlineStr">
        <is>
          <t>پنجشنبه</t>
        </is>
      </c>
      <c r="J4819" s="134" t="inlineStr">
        <is>
          <t>بله</t>
        </is>
      </c>
    </row>
    <row r="4820">
      <c r="A4820" s="173" t="n">
        <v>49741</v>
      </c>
      <c r="B4820" s="174" t="n">
        <v>49741</v>
      </c>
      <c r="C4820" s="174" t="n">
        <v>1414</v>
      </c>
      <c r="D4820" s="174" t="n">
        <v>12</v>
      </c>
      <c r="E4820" s="175" t="inlineStr">
        <is>
          <t>1414/12/17</t>
        </is>
      </c>
      <c r="F4820" s="128" t="inlineStr">
        <is>
          <t>1414/12</t>
        </is>
      </c>
      <c r="G4820" s="58" t="inlineStr">
        <is>
          <t>اسفند</t>
        </is>
      </c>
      <c r="H4820" s="128" t="inlineStr">
        <is>
          <t>زمستان</t>
        </is>
      </c>
      <c r="I4820" s="128" t="inlineStr">
        <is>
          <t>جمعه</t>
        </is>
      </c>
      <c r="J4820" s="128" t="inlineStr">
        <is>
          <t>بله</t>
        </is>
      </c>
    </row>
    <row r="4821">
      <c r="A4821" s="176" t="n">
        <v>49742</v>
      </c>
      <c r="B4821" s="177" t="n">
        <v>49742</v>
      </c>
      <c r="C4821" s="177" t="n">
        <v>1414</v>
      </c>
      <c r="D4821" s="177" t="n">
        <v>12</v>
      </c>
      <c r="E4821" s="178" t="inlineStr">
        <is>
          <t>1414/12/18</t>
        </is>
      </c>
      <c r="F4821" s="134" t="inlineStr">
        <is>
          <t>1414/12</t>
        </is>
      </c>
      <c r="G4821" s="61" t="inlineStr">
        <is>
          <t>اسفند</t>
        </is>
      </c>
      <c r="H4821" s="134" t="inlineStr">
        <is>
          <t>زمستان</t>
        </is>
      </c>
      <c r="I4821" s="134" t="inlineStr">
        <is>
          <t>شنبه</t>
        </is>
      </c>
      <c r="J4821" s="134" t="inlineStr">
        <is>
          <t>خیر</t>
        </is>
      </c>
    </row>
    <row r="4822">
      <c r="A4822" s="173" t="n">
        <v>49743</v>
      </c>
      <c r="B4822" s="174" t="n">
        <v>49743</v>
      </c>
      <c r="C4822" s="174" t="n">
        <v>1414</v>
      </c>
      <c r="D4822" s="174" t="n">
        <v>12</v>
      </c>
      <c r="E4822" s="175" t="inlineStr">
        <is>
          <t>1414/12/19</t>
        </is>
      </c>
      <c r="F4822" s="128" t="inlineStr">
        <is>
          <t>1414/12</t>
        </is>
      </c>
      <c r="G4822" s="58" t="inlineStr">
        <is>
          <t>اسفند</t>
        </is>
      </c>
      <c r="H4822" s="128" t="inlineStr">
        <is>
          <t>زمستان</t>
        </is>
      </c>
      <c r="I4822" s="128" t="inlineStr">
        <is>
          <t>یکشنبه</t>
        </is>
      </c>
      <c r="J4822" s="128" t="inlineStr">
        <is>
          <t>خیر</t>
        </is>
      </c>
    </row>
    <row r="4823">
      <c r="A4823" s="176" t="n">
        <v>49744</v>
      </c>
      <c r="B4823" s="177" t="n">
        <v>49744</v>
      </c>
      <c r="C4823" s="177" t="n">
        <v>1414</v>
      </c>
      <c r="D4823" s="177" t="n">
        <v>12</v>
      </c>
      <c r="E4823" s="178" t="inlineStr">
        <is>
          <t>1414/12/20</t>
        </is>
      </c>
      <c r="F4823" s="134" t="inlineStr">
        <is>
          <t>1414/12</t>
        </is>
      </c>
      <c r="G4823" s="61" t="inlineStr">
        <is>
          <t>اسفند</t>
        </is>
      </c>
      <c r="H4823" s="134" t="inlineStr">
        <is>
          <t>زمستان</t>
        </is>
      </c>
      <c r="I4823" s="134" t="inlineStr">
        <is>
          <t>دوشنبه</t>
        </is>
      </c>
      <c r="J4823" s="134" t="inlineStr">
        <is>
          <t>بله</t>
        </is>
      </c>
    </row>
    <row r="4824">
      <c r="A4824" s="173" t="n">
        <v>49745</v>
      </c>
      <c r="B4824" s="174" t="n">
        <v>49745</v>
      </c>
      <c r="C4824" s="174" t="n">
        <v>1414</v>
      </c>
      <c r="D4824" s="174" t="n">
        <v>12</v>
      </c>
      <c r="E4824" s="175" t="inlineStr">
        <is>
          <t>1414/12/21</t>
        </is>
      </c>
      <c r="F4824" s="128" t="inlineStr">
        <is>
          <t>1414/12</t>
        </is>
      </c>
      <c r="G4824" s="58" t="inlineStr">
        <is>
          <t>اسفند</t>
        </is>
      </c>
      <c r="H4824" s="128" t="inlineStr">
        <is>
          <t>زمستان</t>
        </is>
      </c>
      <c r="I4824" s="128" t="inlineStr">
        <is>
          <t>سه‌شنبه</t>
        </is>
      </c>
      <c r="J4824" s="128" t="inlineStr">
        <is>
          <t>بله</t>
        </is>
      </c>
    </row>
    <row r="4825">
      <c r="A4825" s="176" t="n">
        <v>49746</v>
      </c>
      <c r="B4825" s="177" t="n">
        <v>49746</v>
      </c>
      <c r="C4825" s="177" t="n">
        <v>1414</v>
      </c>
      <c r="D4825" s="177" t="n">
        <v>12</v>
      </c>
      <c r="E4825" s="178" t="inlineStr">
        <is>
          <t>1414/12/22</t>
        </is>
      </c>
      <c r="F4825" s="134" t="inlineStr">
        <is>
          <t>1414/12</t>
        </is>
      </c>
      <c r="G4825" s="61" t="inlineStr">
        <is>
          <t>اسفند</t>
        </is>
      </c>
      <c r="H4825" s="134" t="inlineStr">
        <is>
          <t>زمستان</t>
        </is>
      </c>
      <c r="I4825" s="134" t="inlineStr">
        <is>
          <t>چهارشنبه</t>
        </is>
      </c>
      <c r="J4825" s="134" t="inlineStr">
        <is>
          <t>بله</t>
        </is>
      </c>
    </row>
    <row r="4826">
      <c r="A4826" s="173" t="n">
        <v>49747</v>
      </c>
      <c r="B4826" s="174" t="n">
        <v>49747</v>
      </c>
      <c r="C4826" s="174" t="n">
        <v>1414</v>
      </c>
      <c r="D4826" s="174" t="n">
        <v>12</v>
      </c>
      <c r="E4826" s="175" t="inlineStr">
        <is>
          <t>1414/12/23</t>
        </is>
      </c>
      <c r="F4826" s="128" t="inlineStr">
        <is>
          <t>1414/12</t>
        </is>
      </c>
      <c r="G4826" s="58" t="inlineStr">
        <is>
          <t>اسفند</t>
        </is>
      </c>
      <c r="H4826" s="128" t="inlineStr">
        <is>
          <t>زمستان</t>
        </is>
      </c>
      <c r="I4826" s="128" t="inlineStr">
        <is>
          <t>پنجشنبه</t>
        </is>
      </c>
      <c r="J4826" s="128" t="inlineStr">
        <is>
          <t>بله</t>
        </is>
      </c>
    </row>
    <row r="4827">
      <c r="A4827" s="176" t="n">
        <v>49748</v>
      </c>
      <c r="B4827" s="177" t="n">
        <v>49748</v>
      </c>
      <c r="C4827" s="177" t="n">
        <v>1414</v>
      </c>
      <c r="D4827" s="177" t="n">
        <v>12</v>
      </c>
      <c r="E4827" s="178" t="inlineStr">
        <is>
          <t>1414/12/24</t>
        </is>
      </c>
      <c r="F4827" s="134" t="inlineStr">
        <is>
          <t>1414/12</t>
        </is>
      </c>
      <c r="G4827" s="61" t="inlineStr">
        <is>
          <t>اسفند</t>
        </is>
      </c>
      <c r="H4827" s="134" t="inlineStr">
        <is>
          <t>زمستان</t>
        </is>
      </c>
      <c r="I4827" s="134" t="inlineStr">
        <is>
          <t>جمعه</t>
        </is>
      </c>
      <c r="J4827" s="134" t="inlineStr">
        <is>
          <t>بله</t>
        </is>
      </c>
    </row>
    <row r="4828">
      <c r="A4828" s="173" t="n">
        <v>49749</v>
      </c>
      <c r="B4828" s="174" t="n">
        <v>49749</v>
      </c>
      <c r="C4828" s="174" t="n">
        <v>1414</v>
      </c>
      <c r="D4828" s="174" t="n">
        <v>12</v>
      </c>
      <c r="E4828" s="175" t="inlineStr">
        <is>
          <t>1414/12/25</t>
        </is>
      </c>
      <c r="F4828" s="128" t="inlineStr">
        <is>
          <t>1414/12</t>
        </is>
      </c>
      <c r="G4828" s="58" t="inlineStr">
        <is>
          <t>اسفند</t>
        </is>
      </c>
      <c r="H4828" s="128" t="inlineStr">
        <is>
          <t>زمستان</t>
        </is>
      </c>
      <c r="I4828" s="128" t="inlineStr">
        <is>
          <t>شنبه</t>
        </is>
      </c>
      <c r="J4828" s="128" t="inlineStr">
        <is>
          <t>خیر</t>
        </is>
      </c>
    </row>
    <row r="4829">
      <c r="A4829" s="176" t="n">
        <v>49750</v>
      </c>
      <c r="B4829" s="177" t="n">
        <v>49750</v>
      </c>
      <c r="C4829" s="177" t="n">
        <v>1414</v>
      </c>
      <c r="D4829" s="177" t="n">
        <v>12</v>
      </c>
      <c r="E4829" s="178" t="inlineStr">
        <is>
          <t>1414/12/26</t>
        </is>
      </c>
      <c r="F4829" s="134" t="inlineStr">
        <is>
          <t>1414/12</t>
        </is>
      </c>
      <c r="G4829" s="61" t="inlineStr">
        <is>
          <t>اسفند</t>
        </is>
      </c>
      <c r="H4829" s="134" t="inlineStr">
        <is>
          <t>زمستان</t>
        </is>
      </c>
      <c r="I4829" s="134" t="inlineStr">
        <is>
          <t>یکشنبه</t>
        </is>
      </c>
      <c r="J4829" s="134" t="inlineStr">
        <is>
          <t>خیر</t>
        </is>
      </c>
    </row>
    <row r="4830">
      <c r="A4830" s="173" t="n">
        <v>49751</v>
      </c>
      <c r="B4830" s="174" t="n">
        <v>49751</v>
      </c>
      <c r="C4830" s="174" t="n">
        <v>1414</v>
      </c>
      <c r="D4830" s="174" t="n">
        <v>12</v>
      </c>
      <c r="E4830" s="175" t="inlineStr">
        <is>
          <t>1414/12/27</t>
        </is>
      </c>
      <c r="F4830" s="128" t="inlineStr">
        <is>
          <t>1414/12</t>
        </is>
      </c>
      <c r="G4830" s="58" t="inlineStr">
        <is>
          <t>اسفند</t>
        </is>
      </c>
      <c r="H4830" s="128" t="inlineStr">
        <is>
          <t>زمستان</t>
        </is>
      </c>
      <c r="I4830" s="128" t="inlineStr">
        <is>
          <t>دوشنبه</t>
        </is>
      </c>
      <c r="J4830" s="128" t="inlineStr">
        <is>
          <t>بله</t>
        </is>
      </c>
    </row>
    <row r="4831">
      <c r="A4831" s="176" t="n">
        <v>49752</v>
      </c>
      <c r="B4831" s="177" t="n">
        <v>49752</v>
      </c>
      <c r="C4831" s="177" t="n">
        <v>1414</v>
      </c>
      <c r="D4831" s="177" t="n">
        <v>12</v>
      </c>
      <c r="E4831" s="178" t="inlineStr">
        <is>
          <t>1414/12/28</t>
        </is>
      </c>
      <c r="F4831" s="134" t="inlineStr">
        <is>
          <t>1414/12</t>
        </is>
      </c>
      <c r="G4831" s="61" t="inlineStr">
        <is>
          <t>اسفند</t>
        </is>
      </c>
      <c r="H4831" s="134" t="inlineStr">
        <is>
          <t>زمستان</t>
        </is>
      </c>
      <c r="I4831" s="134" t="inlineStr">
        <is>
          <t>سه‌شنبه</t>
        </is>
      </c>
      <c r="J4831" s="134" t="inlineStr">
        <is>
          <t>بله</t>
        </is>
      </c>
    </row>
    <row r="4832">
      <c r="A4832" s="173" t="n">
        <v>49753</v>
      </c>
      <c r="B4832" s="174" t="n">
        <v>49753</v>
      </c>
      <c r="C4832" s="174" t="n">
        <v>1414</v>
      </c>
      <c r="D4832" s="174" t="n">
        <v>12</v>
      </c>
      <c r="E4832" s="175" t="inlineStr">
        <is>
          <t>1414/12/29</t>
        </is>
      </c>
      <c r="F4832" s="128" t="inlineStr">
        <is>
          <t>1414/12</t>
        </is>
      </c>
      <c r="G4832" s="58" t="inlineStr">
        <is>
          <t>اسفند</t>
        </is>
      </c>
      <c r="H4832" s="128" t="inlineStr">
        <is>
          <t>زمستان</t>
        </is>
      </c>
      <c r="I4832" s="128" t="inlineStr">
        <is>
          <t>چهارشنبه</t>
        </is>
      </c>
      <c r="J4832" s="128" t="inlineStr">
        <is>
          <t>بله</t>
        </is>
      </c>
    </row>
    <row r="4833">
      <c r="A4833" s="176" t="n">
        <v>49754</v>
      </c>
      <c r="B4833" s="177" t="n">
        <v>49754</v>
      </c>
      <c r="C4833" s="177" t="n">
        <v>1415</v>
      </c>
      <c r="D4833" s="177" t="n">
        <v>1</v>
      </c>
      <c r="E4833" s="178" t="inlineStr">
        <is>
          <t>1415/01/01</t>
        </is>
      </c>
      <c r="F4833" s="134" t="inlineStr">
        <is>
          <t>1415/01</t>
        </is>
      </c>
      <c r="G4833" s="61" t="inlineStr">
        <is>
          <t>فروردین</t>
        </is>
      </c>
      <c r="H4833" s="134" t="inlineStr">
        <is>
          <t>بهار</t>
        </is>
      </c>
      <c r="I4833" s="134" t="inlineStr">
        <is>
          <t>پنجشنبه</t>
        </is>
      </c>
      <c r="J4833" s="134" t="inlineStr">
        <is>
          <t>بله</t>
        </is>
      </c>
    </row>
    <row r="4834">
      <c r="A4834" s="173" t="n">
        <v>49755</v>
      </c>
      <c r="B4834" s="174" t="n">
        <v>49755</v>
      </c>
      <c r="C4834" s="174" t="n">
        <v>1415</v>
      </c>
      <c r="D4834" s="174" t="n">
        <v>1</v>
      </c>
      <c r="E4834" s="175" t="inlineStr">
        <is>
          <t>1415/01/02</t>
        </is>
      </c>
      <c r="F4834" s="128" t="inlineStr">
        <is>
          <t>1415/01</t>
        </is>
      </c>
      <c r="G4834" s="58" t="inlineStr">
        <is>
          <t>فروردین</t>
        </is>
      </c>
      <c r="H4834" s="128" t="inlineStr">
        <is>
          <t>بهار</t>
        </is>
      </c>
      <c r="I4834" s="128" t="inlineStr">
        <is>
          <t>جمعه</t>
        </is>
      </c>
      <c r="J4834" s="128" t="inlineStr">
        <is>
          <t>بله</t>
        </is>
      </c>
    </row>
    <row r="4835">
      <c r="A4835" s="176" t="n">
        <v>49756</v>
      </c>
      <c r="B4835" s="177" t="n">
        <v>49756</v>
      </c>
      <c r="C4835" s="177" t="n">
        <v>1415</v>
      </c>
      <c r="D4835" s="177" t="n">
        <v>1</v>
      </c>
      <c r="E4835" s="178" t="inlineStr">
        <is>
          <t>1415/01/03</t>
        </is>
      </c>
      <c r="F4835" s="134" t="inlineStr">
        <is>
          <t>1415/01</t>
        </is>
      </c>
      <c r="G4835" s="61" t="inlineStr">
        <is>
          <t>فروردین</t>
        </is>
      </c>
      <c r="H4835" s="134" t="inlineStr">
        <is>
          <t>بهار</t>
        </is>
      </c>
      <c r="I4835" s="134" t="inlineStr">
        <is>
          <t>شنبه</t>
        </is>
      </c>
      <c r="J4835" s="134" t="inlineStr">
        <is>
          <t>خیر</t>
        </is>
      </c>
    </row>
    <row r="4836">
      <c r="A4836" s="173" t="n">
        <v>49757</v>
      </c>
      <c r="B4836" s="174" t="n">
        <v>49757</v>
      </c>
      <c r="C4836" s="174" t="n">
        <v>1415</v>
      </c>
      <c r="D4836" s="174" t="n">
        <v>1</v>
      </c>
      <c r="E4836" s="175" t="inlineStr">
        <is>
          <t>1415/01/04</t>
        </is>
      </c>
      <c r="F4836" s="128" t="inlineStr">
        <is>
          <t>1415/01</t>
        </is>
      </c>
      <c r="G4836" s="58" t="inlineStr">
        <is>
          <t>فروردین</t>
        </is>
      </c>
      <c r="H4836" s="128" t="inlineStr">
        <is>
          <t>بهار</t>
        </is>
      </c>
      <c r="I4836" s="128" t="inlineStr">
        <is>
          <t>یکشنبه</t>
        </is>
      </c>
      <c r="J4836" s="128" t="inlineStr">
        <is>
          <t>خیر</t>
        </is>
      </c>
    </row>
    <row r="4837">
      <c r="A4837" s="176" t="n">
        <v>49758</v>
      </c>
      <c r="B4837" s="177" t="n">
        <v>49758</v>
      </c>
      <c r="C4837" s="177" t="n">
        <v>1415</v>
      </c>
      <c r="D4837" s="177" t="n">
        <v>1</v>
      </c>
      <c r="E4837" s="178" t="inlineStr">
        <is>
          <t>1415/01/05</t>
        </is>
      </c>
      <c r="F4837" s="134" t="inlineStr">
        <is>
          <t>1415/01</t>
        </is>
      </c>
      <c r="G4837" s="61" t="inlineStr">
        <is>
          <t>فروردین</t>
        </is>
      </c>
      <c r="H4837" s="134" t="inlineStr">
        <is>
          <t>بهار</t>
        </is>
      </c>
      <c r="I4837" s="134" t="inlineStr">
        <is>
          <t>دوشنبه</t>
        </is>
      </c>
      <c r="J4837" s="134" t="inlineStr">
        <is>
          <t>بله</t>
        </is>
      </c>
    </row>
    <row r="4838">
      <c r="A4838" s="173" t="n">
        <v>49759</v>
      </c>
      <c r="B4838" s="174" t="n">
        <v>49759</v>
      </c>
      <c r="C4838" s="174" t="n">
        <v>1415</v>
      </c>
      <c r="D4838" s="174" t="n">
        <v>1</v>
      </c>
      <c r="E4838" s="175" t="inlineStr">
        <is>
          <t>1415/01/06</t>
        </is>
      </c>
      <c r="F4838" s="128" t="inlineStr">
        <is>
          <t>1415/01</t>
        </is>
      </c>
      <c r="G4838" s="58" t="inlineStr">
        <is>
          <t>فروردین</t>
        </is>
      </c>
      <c r="H4838" s="128" t="inlineStr">
        <is>
          <t>بهار</t>
        </is>
      </c>
      <c r="I4838" s="128" t="inlineStr">
        <is>
          <t>سه‌شنبه</t>
        </is>
      </c>
      <c r="J4838" s="128" t="inlineStr">
        <is>
          <t>بله</t>
        </is>
      </c>
    </row>
    <row r="4839">
      <c r="A4839" s="176" t="n">
        <v>49760</v>
      </c>
      <c r="B4839" s="177" t="n">
        <v>49760</v>
      </c>
      <c r="C4839" s="177" t="n">
        <v>1415</v>
      </c>
      <c r="D4839" s="177" t="n">
        <v>1</v>
      </c>
      <c r="E4839" s="178" t="inlineStr">
        <is>
          <t>1415/01/07</t>
        </is>
      </c>
      <c r="F4839" s="134" t="inlineStr">
        <is>
          <t>1415/01</t>
        </is>
      </c>
      <c r="G4839" s="61" t="inlineStr">
        <is>
          <t>فروردین</t>
        </is>
      </c>
      <c r="H4839" s="134" t="inlineStr">
        <is>
          <t>بهار</t>
        </is>
      </c>
      <c r="I4839" s="134" t="inlineStr">
        <is>
          <t>چهارشنبه</t>
        </is>
      </c>
      <c r="J4839" s="134" t="inlineStr">
        <is>
          <t>بله</t>
        </is>
      </c>
    </row>
    <row r="4840">
      <c r="A4840" s="173" t="n">
        <v>49761</v>
      </c>
      <c r="B4840" s="174" t="n">
        <v>49761</v>
      </c>
      <c r="C4840" s="174" t="n">
        <v>1415</v>
      </c>
      <c r="D4840" s="174" t="n">
        <v>1</v>
      </c>
      <c r="E4840" s="175" t="inlineStr">
        <is>
          <t>1415/01/08</t>
        </is>
      </c>
      <c r="F4840" s="128" t="inlineStr">
        <is>
          <t>1415/01</t>
        </is>
      </c>
      <c r="G4840" s="58" t="inlineStr">
        <is>
          <t>فروردین</t>
        </is>
      </c>
      <c r="H4840" s="128" t="inlineStr">
        <is>
          <t>بهار</t>
        </is>
      </c>
      <c r="I4840" s="128" t="inlineStr">
        <is>
          <t>پنجشنبه</t>
        </is>
      </c>
      <c r="J4840" s="128" t="inlineStr">
        <is>
          <t>بله</t>
        </is>
      </c>
    </row>
    <row r="4841">
      <c r="A4841" s="176" t="n">
        <v>49762</v>
      </c>
      <c r="B4841" s="177" t="n">
        <v>49762</v>
      </c>
      <c r="C4841" s="177" t="n">
        <v>1415</v>
      </c>
      <c r="D4841" s="177" t="n">
        <v>1</v>
      </c>
      <c r="E4841" s="178" t="inlineStr">
        <is>
          <t>1415/01/09</t>
        </is>
      </c>
      <c r="F4841" s="134" t="inlineStr">
        <is>
          <t>1415/01</t>
        </is>
      </c>
      <c r="G4841" s="61" t="inlineStr">
        <is>
          <t>فروردین</t>
        </is>
      </c>
      <c r="H4841" s="134" t="inlineStr">
        <is>
          <t>بهار</t>
        </is>
      </c>
      <c r="I4841" s="134" t="inlineStr">
        <is>
          <t>جمعه</t>
        </is>
      </c>
      <c r="J4841" s="134" t="inlineStr">
        <is>
          <t>بله</t>
        </is>
      </c>
    </row>
    <row r="4842">
      <c r="A4842" s="173" t="n">
        <v>49763</v>
      </c>
      <c r="B4842" s="174" t="n">
        <v>49763</v>
      </c>
      <c r="C4842" s="174" t="n">
        <v>1415</v>
      </c>
      <c r="D4842" s="174" t="n">
        <v>1</v>
      </c>
      <c r="E4842" s="175" t="inlineStr">
        <is>
          <t>1415/01/10</t>
        </is>
      </c>
      <c r="F4842" s="128" t="inlineStr">
        <is>
          <t>1415/01</t>
        </is>
      </c>
      <c r="G4842" s="58" t="inlineStr">
        <is>
          <t>فروردین</t>
        </is>
      </c>
      <c r="H4842" s="128" t="inlineStr">
        <is>
          <t>بهار</t>
        </is>
      </c>
      <c r="I4842" s="128" t="inlineStr">
        <is>
          <t>شنبه</t>
        </is>
      </c>
      <c r="J4842" s="128" t="inlineStr">
        <is>
          <t>خیر</t>
        </is>
      </c>
    </row>
    <row r="4843">
      <c r="A4843" s="176" t="n">
        <v>49764</v>
      </c>
      <c r="B4843" s="177" t="n">
        <v>49764</v>
      </c>
      <c r="C4843" s="177" t="n">
        <v>1415</v>
      </c>
      <c r="D4843" s="177" t="n">
        <v>1</v>
      </c>
      <c r="E4843" s="178" t="inlineStr">
        <is>
          <t>1415/01/11</t>
        </is>
      </c>
      <c r="F4843" s="134" t="inlineStr">
        <is>
          <t>1415/01</t>
        </is>
      </c>
      <c r="G4843" s="61" t="inlineStr">
        <is>
          <t>فروردین</t>
        </is>
      </c>
      <c r="H4843" s="134" t="inlineStr">
        <is>
          <t>بهار</t>
        </is>
      </c>
      <c r="I4843" s="134" t="inlineStr">
        <is>
          <t>یکشنبه</t>
        </is>
      </c>
      <c r="J4843" s="134" t="inlineStr">
        <is>
          <t>خیر</t>
        </is>
      </c>
    </row>
    <row r="4844">
      <c r="A4844" s="173" t="n">
        <v>49765</v>
      </c>
      <c r="B4844" s="174" t="n">
        <v>49765</v>
      </c>
      <c r="C4844" s="174" t="n">
        <v>1415</v>
      </c>
      <c r="D4844" s="174" t="n">
        <v>1</v>
      </c>
      <c r="E4844" s="175" t="inlineStr">
        <is>
          <t>1415/01/12</t>
        </is>
      </c>
      <c r="F4844" s="128" t="inlineStr">
        <is>
          <t>1415/01</t>
        </is>
      </c>
      <c r="G4844" s="58" t="inlineStr">
        <is>
          <t>فروردین</t>
        </is>
      </c>
      <c r="H4844" s="128" t="inlineStr">
        <is>
          <t>بهار</t>
        </is>
      </c>
      <c r="I4844" s="128" t="inlineStr">
        <is>
          <t>دوشنبه</t>
        </is>
      </c>
      <c r="J4844" s="128" t="inlineStr">
        <is>
          <t>بله</t>
        </is>
      </c>
    </row>
    <row r="4845">
      <c r="A4845" s="176" t="n">
        <v>49766</v>
      </c>
      <c r="B4845" s="177" t="n">
        <v>49766</v>
      </c>
      <c r="C4845" s="177" t="n">
        <v>1415</v>
      </c>
      <c r="D4845" s="177" t="n">
        <v>1</v>
      </c>
      <c r="E4845" s="178" t="inlineStr">
        <is>
          <t>1415/01/13</t>
        </is>
      </c>
      <c r="F4845" s="134" t="inlineStr">
        <is>
          <t>1415/01</t>
        </is>
      </c>
      <c r="G4845" s="61" t="inlineStr">
        <is>
          <t>فروردین</t>
        </is>
      </c>
      <c r="H4845" s="134" t="inlineStr">
        <is>
          <t>بهار</t>
        </is>
      </c>
      <c r="I4845" s="134" t="inlineStr">
        <is>
          <t>سه‌شنبه</t>
        </is>
      </c>
      <c r="J4845" s="134" t="inlineStr">
        <is>
          <t>بله</t>
        </is>
      </c>
    </row>
    <row r="4846">
      <c r="A4846" s="173" t="n">
        <v>49767</v>
      </c>
      <c r="B4846" s="174" t="n">
        <v>49767</v>
      </c>
      <c r="C4846" s="174" t="n">
        <v>1415</v>
      </c>
      <c r="D4846" s="174" t="n">
        <v>1</v>
      </c>
      <c r="E4846" s="175" t="inlineStr">
        <is>
          <t>1415/01/14</t>
        </is>
      </c>
      <c r="F4846" s="128" t="inlineStr">
        <is>
          <t>1415/01</t>
        </is>
      </c>
      <c r="G4846" s="58" t="inlineStr">
        <is>
          <t>فروردین</t>
        </is>
      </c>
      <c r="H4846" s="128" t="inlineStr">
        <is>
          <t>بهار</t>
        </is>
      </c>
      <c r="I4846" s="128" t="inlineStr">
        <is>
          <t>چهارشنبه</t>
        </is>
      </c>
      <c r="J4846" s="128" t="inlineStr">
        <is>
          <t>بله</t>
        </is>
      </c>
    </row>
    <row r="4847">
      <c r="A4847" s="176" t="n">
        <v>49768</v>
      </c>
      <c r="B4847" s="177" t="n">
        <v>49768</v>
      </c>
      <c r="C4847" s="177" t="n">
        <v>1415</v>
      </c>
      <c r="D4847" s="177" t="n">
        <v>1</v>
      </c>
      <c r="E4847" s="178" t="inlineStr">
        <is>
          <t>1415/01/15</t>
        </is>
      </c>
      <c r="F4847" s="134" t="inlineStr">
        <is>
          <t>1415/01</t>
        </is>
      </c>
      <c r="G4847" s="61" t="inlineStr">
        <is>
          <t>فروردین</t>
        </is>
      </c>
      <c r="H4847" s="134" t="inlineStr">
        <is>
          <t>بهار</t>
        </is>
      </c>
      <c r="I4847" s="134" t="inlineStr">
        <is>
          <t>پنجشنبه</t>
        </is>
      </c>
      <c r="J4847" s="134" t="inlineStr">
        <is>
          <t>بله</t>
        </is>
      </c>
    </row>
    <row r="4848">
      <c r="A4848" s="173" t="n">
        <v>49769</v>
      </c>
      <c r="B4848" s="174" t="n">
        <v>49769</v>
      </c>
      <c r="C4848" s="174" t="n">
        <v>1415</v>
      </c>
      <c r="D4848" s="174" t="n">
        <v>1</v>
      </c>
      <c r="E4848" s="175" t="inlineStr">
        <is>
          <t>1415/01/16</t>
        </is>
      </c>
      <c r="F4848" s="128" t="inlineStr">
        <is>
          <t>1415/01</t>
        </is>
      </c>
      <c r="G4848" s="58" t="inlineStr">
        <is>
          <t>فروردین</t>
        </is>
      </c>
      <c r="H4848" s="128" t="inlineStr">
        <is>
          <t>بهار</t>
        </is>
      </c>
      <c r="I4848" s="128" t="inlineStr">
        <is>
          <t>جمعه</t>
        </is>
      </c>
      <c r="J4848" s="128" t="inlineStr">
        <is>
          <t>بله</t>
        </is>
      </c>
    </row>
    <row r="4849">
      <c r="A4849" s="176" t="n">
        <v>49770</v>
      </c>
      <c r="B4849" s="177" t="n">
        <v>49770</v>
      </c>
      <c r="C4849" s="177" t="n">
        <v>1415</v>
      </c>
      <c r="D4849" s="177" t="n">
        <v>1</v>
      </c>
      <c r="E4849" s="178" t="inlineStr">
        <is>
          <t>1415/01/17</t>
        </is>
      </c>
      <c r="F4849" s="134" t="inlineStr">
        <is>
          <t>1415/01</t>
        </is>
      </c>
      <c r="G4849" s="61" t="inlineStr">
        <is>
          <t>فروردین</t>
        </is>
      </c>
      <c r="H4849" s="134" t="inlineStr">
        <is>
          <t>بهار</t>
        </is>
      </c>
      <c r="I4849" s="134" t="inlineStr">
        <is>
          <t>شنبه</t>
        </is>
      </c>
      <c r="J4849" s="134" t="inlineStr">
        <is>
          <t>خیر</t>
        </is>
      </c>
    </row>
    <row r="4850">
      <c r="A4850" s="173" t="n">
        <v>49771</v>
      </c>
      <c r="B4850" s="174" t="n">
        <v>49771</v>
      </c>
      <c r="C4850" s="174" t="n">
        <v>1415</v>
      </c>
      <c r="D4850" s="174" t="n">
        <v>1</v>
      </c>
      <c r="E4850" s="175" t="inlineStr">
        <is>
          <t>1415/01/18</t>
        </is>
      </c>
      <c r="F4850" s="128" t="inlineStr">
        <is>
          <t>1415/01</t>
        </is>
      </c>
      <c r="G4850" s="58" t="inlineStr">
        <is>
          <t>فروردین</t>
        </is>
      </c>
      <c r="H4850" s="128" t="inlineStr">
        <is>
          <t>بهار</t>
        </is>
      </c>
      <c r="I4850" s="128" t="inlineStr">
        <is>
          <t>یکشنبه</t>
        </is>
      </c>
      <c r="J4850" s="128" t="inlineStr">
        <is>
          <t>خیر</t>
        </is>
      </c>
    </row>
    <row r="4851">
      <c r="A4851" s="176" t="n">
        <v>49772</v>
      </c>
      <c r="B4851" s="177" t="n">
        <v>49772</v>
      </c>
      <c r="C4851" s="177" t="n">
        <v>1415</v>
      </c>
      <c r="D4851" s="177" t="n">
        <v>1</v>
      </c>
      <c r="E4851" s="178" t="inlineStr">
        <is>
          <t>1415/01/19</t>
        </is>
      </c>
      <c r="F4851" s="134" t="inlineStr">
        <is>
          <t>1415/01</t>
        </is>
      </c>
      <c r="G4851" s="61" t="inlineStr">
        <is>
          <t>فروردین</t>
        </is>
      </c>
      <c r="H4851" s="134" t="inlineStr">
        <is>
          <t>بهار</t>
        </is>
      </c>
      <c r="I4851" s="134" t="inlineStr">
        <is>
          <t>دوشنبه</t>
        </is>
      </c>
      <c r="J4851" s="134" t="inlineStr">
        <is>
          <t>بله</t>
        </is>
      </c>
    </row>
    <row r="4852">
      <c r="A4852" s="173" t="n">
        <v>49773</v>
      </c>
      <c r="B4852" s="174" t="n">
        <v>49773</v>
      </c>
      <c r="C4852" s="174" t="n">
        <v>1415</v>
      </c>
      <c r="D4852" s="174" t="n">
        <v>1</v>
      </c>
      <c r="E4852" s="175" t="inlineStr">
        <is>
          <t>1415/01/20</t>
        </is>
      </c>
      <c r="F4852" s="128" t="inlineStr">
        <is>
          <t>1415/01</t>
        </is>
      </c>
      <c r="G4852" s="58" t="inlineStr">
        <is>
          <t>فروردین</t>
        </is>
      </c>
      <c r="H4852" s="128" t="inlineStr">
        <is>
          <t>بهار</t>
        </is>
      </c>
      <c r="I4852" s="128" t="inlineStr">
        <is>
          <t>سه‌شنبه</t>
        </is>
      </c>
      <c r="J4852" s="128" t="inlineStr">
        <is>
          <t>بله</t>
        </is>
      </c>
    </row>
    <row r="4853">
      <c r="A4853" s="176" t="n">
        <v>49774</v>
      </c>
      <c r="B4853" s="177" t="n">
        <v>49774</v>
      </c>
      <c r="C4853" s="177" t="n">
        <v>1415</v>
      </c>
      <c r="D4853" s="177" t="n">
        <v>1</v>
      </c>
      <c r="E4853" s="178" t="inlineStr">
        <is>
          <t>1415/01/21</t>
        </is>
      </c>
      <c r="F4853" s="134" t="inlineStr">
        <is>
          <t>1415/01</t>
        </is>
      </c>
      <c r="G4853" s="61" t="inlineStr">
        <is>
          <t>فروردین</t>
        </is>
      </c>
      <c r="H4853" s="134" t="inlineStr">
        <is>
          <t>بهار</t>
        </is>
      </c>
      <c r="I4853" s="134" t="inlineStr">
        <is>
          <t>چهارشنبه</t>
        </is>
      </c>
      <c r="J4853" s="134" t="inlineStr">
        <is>
          <t>بله</t>
        </is>
      </c>
    </row>
    <row r="4854">
      <c r="A4854" s="173" t="n">
        <v>49775</v>
      </c>
      <c r="B4854" s="174" t="n">
        <v>49775</v>
      </c>
      <c r="C4854" s="174" t="n">
        <v>1415</v>
      </c>
      <c r="D4854" s="174" t="n">
        <v>1</v>
      </c>
      <c r="E4854" s="175" t="inlineStr">
        <is>
          <t>1415/01/22</t>
        </is>
      </c>
      <c r="F4854" s="128" t="inlineStr">
        <is>
          <t>1415/01</t>
        </is>
      </c>
      <c r="G4854" s="58" t="inlineStr">
        <is>
          <t>فروردین</t>
        </is>
      </c>
      <c r="H4854" s="128" t="inlineStr">
        <is>
          <t>بهار</t>
        </is>
      </c>
      <c r="I4854" s="128" t="inlineStr">
        <is>
          <t>پنجشنبه</t>
        </is>
      </c>
      <c r="J4854" s="128" t="inlineStr">
        <is>
          <t>بله</t>
        </is>
      </c>
    </row>
    <row r="4855">
      <c r="A4855" s="176" t="n">
        <v>49776</v>
      </c>
      <c r="B4855" s="177" t="n">
        <v>49776</v>
      </c>
      <c r="C4855" s="177" t="n">
        <v>1415</v>
      </c>
      <c r="D4855" s="177" t="n">
        <v>1</v>
      </c>
      <c r="E4855" s="178" t="inlineStr">
        <is>
          <t>1415/01/23</t>
        </is>
      </c>
      <c r="F4855" s="134" t="inlineStr">
        <is>
          <t>1415/01</t>
        </is>
      </c>
      <c r="G4855" s="61" t="inlineStr">
        <is>
          <t>فروردین</t>
        </is>
      </c>
      <c r="H4855" s="134" t="inlineStr">
        <is>
          <t>بهار</t>
        </is>
      </c>
      <c r="I4855" s="134" t="inlineStr">
        <is>
          <t>جمعه</t>
        </is>
      </c>
      <c r="J4855" s="134" t="inlineStr">
        <is>
          <t>بله</t>
        </is>
      </c>
    </row>
    <row r="4856">
      <c r="A4856" s="173" t="n">
        <v>49777</v>
      </c>
      <c r="B4856" s="174" t="n">
        <v>49777</v>
      </c>
      <c r="C4856" s="174" t="n">
        <v>1415</v>
      </c>
      <c r="D4856" s="174" t="n">
        <v>1</v>
      </c>
      <c r="E4856" s="175" t="inlineStr">
        <is>
          <t>1415/01/24</t>
        </is>
      </c>
      <c r="F4856" s="128" t="inlineStr">
        <is>
          <t>1415/01</t>
        </is>
      </c>
      <c r="G4856" s="58" t="inlineStr">
        <is>
          <t>فروردین</t>
        </is>
      </c>
      <c r="H4856" s="128" t="inlineStr">
        <is>
          <t>بهار</t>
        </is>
      </c>
      <c r="I4856" s="128" t="inlineStr">
        <is>
          <t>شنبه</t>
        </is>
      </c>
      <c r="J4856" s="128" t="inlineStr">
        <is>
          <t>خیر</t>
        </is>
      </c>
    </row>
    <row r="4857">
      <c r="A4857" s="176" t="n">
        <v>49778</v>
      </c>
      <c r="B4857" s="177" t="n">
        <v>49778</v>
      </c>
      <c r="C4857" s="177" t="n">
        <v>1415</v>
      </c>
      <c r="D4857" s="177" t="n">
        <v>1</v>
      </c>
      <c r="E4857" s="178" t="inlineStr">
        <is>
          <t>1415/01/25</t>
        </is>
      </c>
      <c r="F4857" s="134" t="inlineStr">
        <is>
          <t>1415/01</t>
        </is>
      </c>
      <c r="G4857" s="61" t="inlineStr">
        <is>
          <t>فروردین</t>
        </is>
      </c>
      <c r="H4857" s="134" t="inlineStr">
        <is>
          <t>بهار</t>
        </is>
      </c>
      <c r="I4857" s="134" t="inlineStr">
        <is>
          <t>یکشنبه</t>
        </is>
      </c>
      <c r="J4857" s="134" t="inlineStr">
        <is>
          <t>خیر</t>
        </is>
      </c>
    </row>
    <row r="4858">
      <c r="A4858" s="173" t="n">
        <v>49779</v>
      </c>
      <c r="B4858" s="174" t="n">
        <v>49779</v>
      </c>
      <c r="C4858" s="174" t="n">
        <v>1415</v>
      </c>
      <c r="D4858" s="174" t="n">
        <v>1</v>
      </c>
      <c r="E4858" s="175" t="inlineStr">
        <is>
          <t>1415/01/26</t>
        </is>
      </c>
      <c r="F4858" s="128" t="inlineStr">
        <is>
          <t>1415/01</t>
        </is>
      </c>
      <c r="G4858" s="58" t="inlineStr">
        <is>
          <t>فروردین</t>
        </is>
      </c>
      <c r="H4858" s="128" t="inlineStr">
        <is>
          <t>بهار</t>
        </is>
      </c>
      <c r="I4858" s="128" t="inlineStr">
        <is>
          <t>دوشنبه</t>
        </is>
      </c>
      <c r="J4858" s="128" t="inlineStr">
        <is>
          <t>بله</t>
        </is>
      </c>
    </row>
    <row r="4859">
      <c r="A4859" s="176" t="n">
        <v>49780</v>
      </c>
      <c r="B4859" s="177" t="n">
        <v>49780</v>
      </c>
      <c r="C4859" s="177" t="n">
        <v>1415</v>
      </c>
      <c r="D4859" s="177" t="n">
        <v>1</v>
      </c>
      <c r="E4859" s="178" t="inlineStr">
        <is>
          <t>1415/01/27</t>
        </is>
      </c>
      <c r="F4859" s="134" t="inlineStr">
        <is>
          <t>1415/01</t>
        </is>
      </c>
      <c r="G4859" s="61" t="inlineStr">
        <is>
          <t>فروردین</t>
        </is>
      </c>
      <c r="H4859" s="134" t="inlineStr">
        <is>
          <t>بهار</t>
        </is>
      </c>
      <c r="I4859" s="134" t="inlineStr">
        <is>
          <t>سه‌شنبه</t>
        </is>
      </c>
      <c r="J4859" s="134" t="inlineStr">
        <is>
          <t>بله</t>
        </is>
      </c>
    </row>
    <row r="4860">
      <c r="A4860" s="173" t="n">
        <v>49781</v>
      </c>
      <c r="B4860" s="174" t="n">
        <v>49781</v>
      </c>
      <c r="C4860" s="174" t="n">
        <v>1415</v>
      </c>
      <c r="D4860" s="174" t="n">
        <v>1</v>
      </c>
      <c r="E4860" s="175" t="inlineStr">
        <is>
          <t>1415/01/28</t>
        </is>
      </c>
      <c r="F4860" s="128" t="inlineStr">
        <is>
          <t>1415/01</t>
        </is>
      </c>
      <c r="G4860" s="58" t="inlineStr">
        <is>
          <t>فروردین</t>
        </is>
      </c>
      <c r="H4860" s="128" t="inlineStr">
        <is>
          <t>بهار</t>
        </is>
      </c>
      <c r="I4860" s="128" t="inlineStr">
        <is>
          <t>چهارشنبه</t>
        </is>
      </c>
      <c r="J4860" s="128" t="inlineStr">
        <is>
          <t>بله</t>
        </is>
      </c>
    </row>
    <row r="4861">
      <c r="A4861" s="176" t="n">
        <v>49782</v>
      </c>
      <c r="B4861" s="177" t="n">
        <v>49782</v>
      </c>
      <c r="C4861" s="177" t="n">
        <v>1415</v>
      </c>
      <c r="D4861" s="177" t="n">
        <v>1</v>
      </c>
      <c r="E4861" s="178" t="inlineStr">
        <is>
          <t>1415/01/29</t>
        </is>
      </c>
      <c r="F4861" s="134" t="inlineStr">
        <is>
          <t>1415/01</t>
        </is>
      </c>
      <c r="G4861" s="61" t="inlineStr">
        <is>
          <t>فروردین</t>
        </is>
      </c>
      <c r="H4861" s="134" t="inlineStr">
        <is>
          <t>بهار</t>
        </is>
      </c>
      <c r="I4861" s="134" t="inlineStr">
        <is>
          <t>پنجشنبه</t>
        </is>
      </c>
      <c r="J4861" s="134" t="inlineStr">
        <is>
          <t>بله</t>
        </is>
      </c>
    </row>
    <row r="4862">
      <c r="A4862" s="173" t="n">
        <v>49783</v>
      </c>
      <c r="B4862" s="174" t="n">
        <v>49783</v>
      </c>
      <c r="C4862" s="174" t="n">
        <v>1415</v>
      </c>
      <c r="D4862" s="174" t="n">
        <v>1</v>
      </c>
      <c r="E4862" s="175" t="inlineStr">
        <is>
          <t>1415/01/30</t>
        </is>
      </c>
      <c r="F4862" s="128" t="inlineStr">
        <is>
          <t>1415/01</t>
        </is>
      </c>
      <c r="G4862" s="58" t="inlineStr">
        <is>
          <t>فروردین</t>
        </is>
      </c>
      <c r="H4862" s="128" t="inlineStr">
        <is>
          <t>بهار</t>
        </is>
      </c>
      <c r="I4862" s="128" t="inlineStr">
        <is>
          <t>جمعه</t>
        </is>
      </c>
      <c r="J4862" s="128" t="inlineStr">
        <is>
          <t>بله</t>
        </is>
      </c>
    </row>
    <row r="4863">
      <c r="A4863" s="176" t="n">
        <v>49784</v>
      </c>
      <c r="B4863" s="177" t="n">
        <v>49784</v>
      </c>
      <c r="C4863" s="177" t="n">
        <v>1415</v>
      </c>
      <c r="D4863" s="177" t="n">
        <v>1</v>
      </c>
      <c r="E4863" s="178" t="inlineStr">
        <is>
          <t>1415/01/31</t>
        </is>
      </c>
      <c r="F4863" s="134" t="inlineStr">
        <is>
          <t>1415/01</t>
        </is>
      </c>
      <c r="G4863" s="61" t="inlineStr">
        <is>
          <t>فروردین</t>
        </is>
      </c>
      <c r="H4863" s="134" t="inlineStr">
        <is>
          <t>بهار</t>
        </is>
      </c>
      <c r="I4863" s="134" t="inlineStr">
        <is>
          <t>شنبه</t>
        </is>
      </c>
      <c r="J4863" s="134" t="inlineStr">
        <is>
          <t>خیر</t>
        </is>
      </c>
    </row>
    <row r="4864">
      <c r="A4864" s="173" t="n">
        <v>49785</v>
      </c>
      <c r="B4864" s="174" t="n">
        <v>49785</v>
      </c>
      <c r="C4864" s="174" t="n">
        <v>1415</v>
      </c>
      <c r="D4864" s="174" t="n">
        <v>2</v>
      </c>
      <c r="E4864" s="175" t="inlineStr">
        <is>
          <t>1415/02/01</t>
        </is>
      </c>
      <c r="F4864" s="128" t="inlineStr">
        <is>
          <t>1415/02</t>
        </is>
      </c>
      <c r="G4864" s="58" t="inlineStr">
        <is>
          <t>اردیبهشت</t>
        </is>
      </c>
      <c r="H4864" s="128" t="inlineStr">
        <is>
          <t>بهار</t>
        </is>
      </c>
      <c r="I4864" s="128" t="inlineStr">
        <is>
          <t>یکشنبه</t>
        </is>
      </c>
      <c r="J4864" s="128" t="inlineStr">
        <is>
          <t>خیر</t>
        </is>
      </c>
    </row>
    <row r="4865">
      <c r="A4865" s="176" t="n">
        <v>49786</v>
      </c>
      <c r="B4865" s="177" t="n">
        <v>49786</v>
      </c>
      <c r="C4865" s="177" t="n">
        <v>1415</v>
      </c>
      <c r="D4865" s="177" t="n">
        <v>2</v>
      </c>
      <c r="E4865" s="178" t="inlineStr">
        <is>
          <t>1415/02/02</t>
        </is>
      </c>
      <c r="F4865" s="134" t="inlineStr">
        <is>
          <t>1415/02</t>
        </is>
      </c>
      <c r="G4865" s="61" t="inlineStr">
        <is>
          <t>اردیبهشت</t>
        </is>
      </c>
      <c r="H4865" s="134" t="inlineStr">
        <is>
          <t>بهار</t>
        </is>
      </c>
      <c r="I4865" s="134" t="inlineStr">
        <is>
          <t>دوشنبه</t>
        </is>
      </c>
      <c r="J4865" s="134" t="inlineStr">
        <is>
          <t>بله</t>
        </is>
      </c>
    </row>
    <row r="4866">
      <c r="A4866" s="173" t="n">
        <v>49787</v>
      </c>
      <c r="B4866" s="174" t="n">
        <v>49787</v>
      </c>
      <c r="C4866" s="174" t="n">
        <v>1415</v>
      </c>
      <c r="D4866" s="174" t="n">
        <v>2</v>
      </c>
      <c r="E4866" s="175" t="inlineStr">
        <is>
          <t>1415/02/03</t>
        </is>
      </c>
      <c r="F4866" s="128" t="inlineStr">
        <is>
          <t>1415/02</t>
        </is>
      </c>
      <c r="G4866" s="58" t="inlineStr">
        <is>
          <t>اردیبهشت</t>
        </is>
      </c>
      <c r="H4866" s="128" t="inlineStr">
        <is>
          <t>بهار</t>
        </is>
      </c>
      <c r="I4866" s="128" t="inlineStr">
        <is>
          <t>سه‌شنبه</t>
        </is>
      </c>
      <c r="J4866" s="128" t="inlineStr">
        <is>
          <t>بله</t>
        </is>
      </c>
    </row>
    <row r="4867">
      <c r="A4867" s="176" t="n">
        <v>49788</v>
      </c>
      <c r="B4867" s="177" t="n">
        <v>49788</v>
      </c>
      <c r="C4867" s="177" t="n">
        <v>1415</v>
      </c>
      <c r="D4867" s="177" t="n">
        <v>2</v>
      </c>
      <c r="E4867" s="178" t="inlineStr">
        <is>
          <t>1415/02/04</t>
        </is>
      </c>
      <c r="F4867" s="134" t="inlineStr">
        <is>
          <t>1415/02</t>
        </is>
      </c>
      <c r="G4867" s="61" t="inlineStr">
        <is>
          <t>اردیبهشت</t>
        </is>
      </c>
      <c r="H4867" s="134" t="inlineStr">
        <is>
          <t>بهار</t>
        </is>
      </c>
      <c r="I4867" s="134" t="inlineStr">
        <is>
          <t>چهارشنبه</t>
        </is>
      </c>
      <c r="J4867" s="134" t="inlineStr">
        <is>
          <t>بله</t>
        </is>
      </c>
    </row>
    <row r="4868">
      <c r="A4868" s="173" t="n">
        <v>49789</v>
      </c>
      <c r="B4868" s="174" t="n">
        <v>49789</v>
      </c>
      <c r="C4868" s="174" t="n">
        <v>1415</v>
      </c>
      <c r="D4868" s="174" t="n">
        <v>2</v>
      </c>
      <c r="E4868" s="175" t="inlineStr">
        <is>
          <t>1415/02/05</t>
        </is>
      </c>
      <c r="F4868" s="128" t="inlineStr">
        <is>
          <t>1415/02</t>
        </is>
      </c>
      <c r="G4868" s="58" t="inlineStr">
        <is>
          <t>اردیبهشت</t>
        </is>
      </c>
      <c r="H4868" s="128" t="inlineStr">
        <is>
          <t>بهار</t>
        </is>
      </c>
      <c r="I4868" s="128" t="inlineStr">
        <is>
          <t>پنجشنبه</t>
        </is>
      </c>
      <c r="J4868" s="128" t="inlineStr">
        <is>
          <t>بله</t>
        </is>
      </c>
    </row>
    <row r="4869">
      <c r="A4869" s="176" t="n">
        <v>49790</v>
      </c>
      <c r="B4869" s="177" t="n">
        <v>49790</v>
      </c>
      <c r="C4869" s="177" t="n">
        <v>1415</v>
      </c>
      <c r="D4869" s="177" t="n">
        <v>2</v>
      </c>
      <c r="E4869" s="178" t="inlineStr">
        <is>
          <t>1415/02/06</t>
        </is>
      </c>
      <c r="F4869" s="134" t="inlineStr">
        <is>
          <t>1415/02</t>
        </is>
      </c>
      <c r="G4869" s="61" t="inlineStr">
        <is>
          <t>اردیبهشت</t>
        </is>
      </c>
      <c r="H4869" s="134" t="inlineStr">
        <is>
          <t>بهار</t>
        </is>
      </c>
      <c r="I4869" s="134" t="inlineStr">
        <is>
          <t>جمعه</t>
        </is>
      </c>
      <c r="J4869" s="134" t="inlineStr">
        <is>
          <t>بله</t>
        </is>
      </c>
    </row>
    <row r="4870">
      <c r="A4870" s="173" t="n">
        <v>49791</v>
      </c>
      <c r="B4870" s="174" t="n">
        <v>49791</v>
      </c>
      <c r="C4870" s="174" t="n">
        <v>1415</v>
      </c>
      <c r="D4870" s="174" t="n">
        <v>2</v>
      </c>
      <c r="E4870" s="175" t="inlineStr">
        <is>
          <t>1415/02/07</t>
        </is>
      </c>
      <c r="F4870" s="128" t="inlineStr">
        <is>
          <t>1415/02</t>
        </is>
      </c>
      <c r="G4870" s="58" t="inlineStr">
        <is>
          <t>اردیبهشت</t>
        </is>
      </c>
      <c r="H4870" s="128" t="inlineStr">
        <is>
          <t>بهار</t>
        </is>
      </c>
      <c r="I4870" s="128" t="inlineStr">
        <is>
          <t>شنبه</t>
        </is>
      </c>
      <c r="J4870" s="128" t="inlineStr">
        <is>
          <t>خیر</t>
        </is>
      </c>
    </row>
    <row r="4871">
      <c r="A4871" s="176" t="n">
        <v>49792</v>
      </c>
      <c r="B4871" s="177" t="n">
        <v>49792</v>
      </c>
      <c r="C4871" s="177" t="n">
        <v>1415</v>
      </c>
      <c r="D4871" s="177" t="n">
        <v>2</v>
      </c>
      <c r="E4871" s="178" t="inlineStr">
        <is>
          <t>1415/02/08</t>
        </is>
      </c>
      <c r="F4871" s="134" t="inlineStr">
        <is>
          <t>1415/02</t>
        </is>
      </c>
      <c r="G4871" s="61" t="inlineStr">
        <is>
          <t>اردیبهشت</t>
        </is>
      </c>
      <c r="H4871" s="134" t="inlineStr">
        <is>
          <t>بهار</t>
        </is>
      </c>
      <c r="I4871" s="134" t="inlineStr">
        <is>
          <t>یکشنبه</t>
        </is>
      </c>
      <c r="J4871" s="134" t="inlineStr">
        <is>
          <t>خیر</t>
        </is>
      </c>
    </row>
    <row r="4872">
      <c r="A4872" s="173" t="n">
        <v>49793</v>
      </c>
      <c r="B4872" s="174" t="n">
        <v>49793</v>
      </c>
      <c r="C4872" s="174" t="n">
        <v>1415</v>
      </c>
      <c r="D4872" s="174" t="n">
        <v>2</v>
      </c>
      <c r="E4872" s="175" t="inlineStr">
        <is>
          <t>1415/02/09</t>
        </is>
      </c>
      <c r="F4872" s="128" t="inlineStr">
        <is>
          <t>1415/02</t>
        </is>
      </c>
      <c r="G4872" s="58" t="inlineStr">
        <is>
          <t>اردیبهشت</t>
        </is>
      </c>
      <c r="H4872" s="128" t="inlineStr">
        <is>
          <t>بهار</t>
        </is>
      </c>
      <c r="I4872" s="128" t="inlineStr">
        <is>
          <t>دوشنبه</t>
        </is>
      </c>
      <c r="J4872" s="128" t="inlineStr">
        <is>
          <t>بله</t>
        </is>
      </c>
    </row>
    <row r="4873">
      <c r="A4873" s="176" t="n">
        <v>49794</v>
      </c>
      <c r="B4873" s="177" t="n">
        <v>49794</v>
      </c>
      <c r="C4873" s="177" t="n">
        <v>1415</v>
      </c>
      <c r="D4873" s="177" t="n">
        <v>2</v>
      </c>
      <c r="E4873" s="178" t="inlineStr">
        <is>
          <t>1415/02/10</t>
        </is>
      </c>
      <c r="F4873" s="134" t="inlineStr">
        <is>
          <t>1415/02</t>
        </is>
      </c>
      <c r="G4873" s="61" t="inlineStr">
        <is>
          <t>اردیبهشت</t>
        </is>
      </c>
      <c r="H4873" s="134" t="inlineStr">
        <is>
          <t>بهار</t>
        </is>
      </c>
      <c r="I4873" s="134" t="inlineStr">
        <is>
          <t>سه‌شنبه</t>
        </is>
      </c>
      <c r="J4873" s="134" t="inlineStr">
        <is>
          <t>بله</t>
        </is>
      </c>
    </row>
    <row r="4874">
      <c r="A4874" s="173" t="n">
        <v>49795</v>
      </c>
      <c r="B4874" s="174" t="n">
        <v>49795</v>
      </c>
      <c r="C4874" s="174" t="n">
        <v>1415</v>
      </c>
      <c r="D4874" s="174" t="n">
        <v>2</v>
      </c>
      <c r="E4874" s="175" t="inlineStr">
        <is>
          <t>1415/02/11</t>
        </is>
      </c>
      <c r="F4874" s="128" t="inlineStr">
        <is>
          <t>1415/02</t>
        </is>
      </c>
      <c r="G4874" s="58" t="inlineStr">
        <is>
          <t>اردیبهشت</t>
        </is>
      </c>
      <c r="H4874" s="128" t="inlineStr">
        <is>
          <t>بهار</t>
        </is>
      </c>
      <c r="I4874" s="128" t="inlineStr">
        <is>
          <t>چهارشنبه</t>
        </is>
      </c>
      <c r="J4874" s="128" t="inlineStr">
        <is>
          <t>بله</t>
        </is>
      </c>
    </row>
    <row r="4875">
      <c r="A4875" s="176" t="n">
        <v>49796</v>
      </c>
      <c r="B4875" s="177" t="n">
        <v>49796</v>
      </c>
      <c r="C4875" s="177" t="n">
        <v>1415</v>
      </c>
      <c r="D4875" s="177" t="n">
        <v>2</v>
      </c>
      <c r="E4875" s="178" t="inlineStr">
        <is>
          <t>1415/02/12</t>
        </is>
      </c>
      <c r="F4875" s="134" t="inlineStr">
        <is>
          <t>1415/02</t>
        </is>
      </c>
      <c r="G4875" s="61" t="inlineStr">
        <is>
          <t>اردیبهشت</t>
        </is>
      </c>
      <c r="H4875" s="134" t="inlineStr">
        <is>
          <t>بهار</t>
        </is>
      </c>
      <c r="I4875" s="134" t="inlineStr">
        <is>
          <t>پنجشنبه</t>
        </is>
      </c>
      <c r="J4875" s="134" t="inlineStr">
        <is>
          <t>بله</t>
        </is>
      </c>
    </row>
    <row r="4876">
      <c r="A4876" s="173" t="n">
        <v>49797</v>
      </c>
      <c r="B4876" s="174" t="n">
        <v>49797</v>
      </c>
      <c r="C4876" s="174" t="n">
        <v>1415</v>
      </c>
      <c r="D4876" s="174" t="n">
        <v>2</v>
      </c>
      <c r="E4876" s="175" t="inlineStr">
        <is>
          <t>1415/02/13</t>
        </is>
      </c>
      <c r="F4876" s="128" t="inlineStr">
        <is>
          <t>1415/02</t>
        </is>
      </c>
      <c r="G4876" s="58" t="inlineStr">
        <is>
          <t>اردیبهشت</t>
        </is>
      </c>
      <c r="H4876" s="128" t="inlineStr">
        <is>
          <t>بهار</t>
        </is>
      </c>
      <c r="I4876" s="128" t="inlineStr">
        <is>
          <t>جمعه</t>
        </is>
      </c>
      <c r="J4876" s="128" t="inlineStr">
        <is>
          <t>بله</t>
        </is>
      </c>
    </row>
    <row r="4877">
      <c r="A4877" s="176" t="n">
        <v>49798</v>
      </c>
      <c r="B4877" s="177" t="n">
        <v>49798</v>
      </c>
      <c r="C4877" s="177" t="n">
        <v>1415</v>
      </c>
      <c r="D4877" s="177" t="n">
        <v>2</v>
      </c>
      <c r="E4877" s="178" t="inlineStr">
        <is>
          <t>1415/02/14</t>
        </is>
      </c>
      <c r="F4877" s="134" t="inlineStr">
        <is>
          <t>1415/02</t>
        </is>
      </c>
      <c r="G4877" s="61" t="inlineStr">
        <is>
          <t>اردیبهشت</t>
        </is>
      </c>
      <c r="H4877" s="134" t="inlineStr">
        <is>
          <t>بهار</t>
        </is>
      </c>
      <c r="I4877" s="134" t="inlineStr">
        <is>
          <t>شنبه</t>
        </is>
      </c>
      <c r="J4877" s="134" t="inlineStr">
        <is>
          <t>خیر</t>
        </is>
      </c>
    </row>
    <row r="4878">
      <c r="A4878" s="173" t="n">
        <v>49799</v>
      </c>
      <c r="B4878" s="174" t="n">
        <v>49799</v>
      </c>
      <c r="C4878" s="174" t="n">
        <v>1415</v>
      </c>
      <c r="D4878" s="174" t="n">
        <v>2</v>
      </c>
      <c r="E4878" s="175" t="inlineStr">
        <is>
          <t>1415/02/15</t>
        </is>
      </c>
      <c r="F4878" s="128" t="inlineStr">
        <is>
          <t>1415/02</t>
        </is>
      </c>
      <c r="G4878" s="58" t="inlineStr">
        <is>
          <t>اردیبهشت</t>
        </is>
      </c>
      <c r="H4878" s="128" t="inlineStr">
        <is>
          <t>بهار</t>
        </is>
      </c>
      <c r="I4878" s="128" t="inlineStr">
        <is>
          <t>یکشنبه</t>
        </is>
      </c>
      <c r="J4878" s="128" t="inlineStr">
        <is>
          <t>خیر</t>
        </is>
      </c>
    </row>
    <row r="4879">
      <c r="A4879" s="176" t="n">
        <v>49800</v>
      </c>
      <c r="B4879" s="177" t="n">
        <v>49800</v>
      </c>
      <c r="C4879" s="177" t="n">
        <v>1415</v>
      </c>
      <c r="D4879" s="177" t="n">
        <v>2</v>
      </c>
      <c r="E4879" s="178" t="inlineStr">
        <is>
          <t>1415/02/16</t>
        </is>
      </c>
      <c r="F4879" s="134" t="inlineStr">
        <is>
          <t>1415/02</t>
        </is>
      </c>
      <c r="G4879" s="61" t="inlineStr">
        <is>
          <t>اردیبهشت</t>
        </is>
      </c>
      <c r="H4879" s="134" t="inlineStr">
        <is>
          <t>بهار</t>
        </is>
      </c>
      <c r="I4879" s="134" t="inlineStr">
        <is>
          <t>دوشنبه</t>
        </is>
      </c>
      <c r="J4879" s="134" t="inlineStr">
        <is>
          <t>بله</t>
        </is>
      </c>
    </row>
    <row r="4880">
      <c r="A4880" s="173" t="n">
        <v>49801</v>
      </c>
      <c r="B4880" s="174" t="n">
        <v>49801</v>
      </c>
      <c r="C4880" s="174" t="n">
        <v>1415</v>
      </c>
      <c r="D4880" s="174" t="n">
        <v>2</v>
      </c>
      <c r="E4880" s="175" t="inlineStr">
        <is>
          <t>1415/02/17</t>
        </is>
      </c>
      <c r="F4880" s="128" t="inlineStr">
        <is>
          <t>1415/02</t>
        </is>
      </c>
      <c r="G4880" s="58" t="inlineStr">
        <is>
          <t>اردیبهشت</t>
        </is>
      </c>
      <c r="H4880" s="128" t="inlineStr">
        <is>
          <t>بهار</t>
        </is>
      </c>
      <c r="I4880" s="128" t="inlineStr">
        <is>
          <t>سه‌شنبه</t>
        </is>
      </c>
      <c r="J4880" s="128" t="inlineStr">
        <is>
          <t>بله</t>
        </is>
      </c>
    </row>
    <row r="4881">
      <c r="A4881" s="176" t="n">
        <v>49802</v>
      </c>
      <c r="B4881" s="177" t="n">
        <v>49802</v>
      </c>
      <c r="C4881" s="177" t="n">
        <v>1415</v>
      </c>
      <c r="D4881" s="177" t="n">
        <v>2</v>
      </c>
      <c r="E4881" s="178" t="inlineStr">
        <is>
          <t>1415/02/18</t>
        </is>
      </c>
      <c r="F4881" s="134" t="inlineStr">
        <is>
          <t>1415/02</t>
        </is>
      </c>
      <c r="G4881" s="61" t="inlineStr">
        <is>
          <t>اردیبهشت</t>
        </is>
      </c>
      <c r="H4881" s="134" t="inlineStr">
        <is>
          <t>بهار</t>
        </is>
      </c>
      <c r="I4881" s="134" t="inlineStr">
        <is>
          <t>چهارشنبه</t>
        </is>
      </c>
      <c r="J4881" s="134" t="inlineStr">
        <is>
          <t>بله</t>
        </is>
      </c>
    </row>
    <row r="4882">
      <c r="A4882" s="173" t="n">
        <v>49803</v>
      </c>
      <c r="B4882" s="174" t="n">
        <v>49803</v>
      </c>
      <c r="C4882" s="174" t="n">
        <v>1415</v>
      </c>
      <c r="D4882" s="174" t="n">
        <v>2</v>
      </c>
      <c r="E4882" s="175" t="inlineStr">
        <is>
          <t>1415/02/19</t>
        </is>
      </c>
      <c r="F4882" s="128" t="inlineStr">
        <is>
          <t>1415/02</t>
        </is>
      </c>
      <c r="G4882" s="58" t="inlineStr">
        <is>
          <t>اردیبهشت</t>
        </is>
      </c>
      <c r="H4882" s="128" t="inlineStr">
        <is>
          <t>بهار</t>
        </is>
      </c>
      <c r="I4882" s="128" t="inlineStr">
        <is>
          <t>پنجشنبه</t>
        </is>
      </c>
      <c r="J4882" s="128" t="inlineStr">
        <is>
          <t>بله</t>
        </is>
      </c>
    </row>
    <row r="4883">
      <c r="A4883" s="176" t="n">
        <v>49804</v>
      </c>
      <c r="B4883" s="177" t="n">
        <v>49804</v>
      </c>
      <c r="C4883" s="177" t="n">
        <v>1415</v>
      </c>
      <c r="D4883" s="177" t="n">
        <v>2</v>
      </c>
      <c r="E4883" s="178" t="inlineStr">
        <is>
          <t>1415/02/20</t>
        </is>
      </c>
      <c r="F4883" s="134" t="inlineStr">
        <is>
          <t>1415/02</t>
        </is>
      </c>
      <c r="G4883" s="61" t="inlineStr">
        <is>
          <t>اردیبهشت</t>
        </is>
      </c>
      <c r="H4883" s="134" t="inlineStr">
        <is>
          <t>بهار</t>
        </is>
      </c>
      <c r="I4883" s="134" t="inlineStr">
        <is>
          <t>جمعه</t>
        </is>
      </c>
      <c r="J4883" s="134" t="inlineStr">
        <is>
          <t>بله</t>
        </is>
      </c>
    </row>
    <row r="4884">
      <c r="A4884" s="173" t="n">
        <v>49805</v>
      </c>
      <c r="B4884" s="174" t="n">
        <v>49805</v>
      </c>
      <c r="C4884" s="174" t="n">
        <v>1415</v>
      </c>
      <c r="D4884" s="174" t="n">
        <v>2</v>
      </c>
      <c r="E4884" s="175" t="inlineStr">
        <is>
          <t>1415/02/21</t>
        </is>
      </c>
      <c r="F4884" s="128" t="inlineStr">
        <is>
          <t>1415/02</t>
        </is>
      </c>
      <c r="G4884" s="58" t="inlineStr">
        <is>
          <t>اردیبهشت</t>
        </is>
      </c>
      <c r="H4884" s="128" t="inlineStr">
        <is>
          <t>بهار</t>
        </is>
      </c>
      <c r="I4884" s="128" t="inlineStr">
        <is>
          <t>شنبه</t>
        </is>
      </c>
      <c r="J4884" s="128" t="inlineStr">
        <is>
          <t>خیر</t>
        </is>
      </c>
    </row>
    <row r="4885">
      <c r="A4885" s="176" t="n">
        <v>49806</v>
      </c>
      <c r="B4885" s="177" t="n">
        <v>49806</v>
      </c>
      <c r="C4885" s="177" t="n">
        <v>1415</v>
      </c>
      <c r="D4885" s="177" t="n">
        <v>2</v>
      </c>
      <c r="E4885" s="178" t="inlineStr">
        <is>
          <t>1415/02/22</t>
        </is>
      </c>
      <c r="F4885" s="134" t="inlineStr">
        <is>
          <t>1415/02</t>
        </is>
      </c>
      <c r="G4885" s="61" t="inlineStr">
        <is>
          <t>اردیبهشت</t>
        </is>
      </c>
      <c r="H4885" s="134" t="inlineStr">
        <is>
          <t>بهار</t>
        </is>
      </c>
      <c r="I4885" s="134" t="inlineStr">
        <is>
          <t>یکشنبه</t>
        </is>
      </c>
      <c r="J4885" s="134" t="inlineStr">
        <is>
          <t>خیر</t>
        </is>
      </c>
    </row>
    <row r="4886">
      <c r="A4886" s="173" t="n">
        <v>49807</v>
      </c>
      <c r="B4886" s="174" t="n">
        <v>49807</v>
      </c>
      <c r="C4886" s="174" t="n">
        <v>1415</v>
      </c>
      <c r="D4886" s="174" t="n">
        <v>2</v>
      </c>
      <c r="E4886" s="175" t="inlineStr">
        <is>
          <t>1415/02/23</t>
        </is>
      </c>
      <c r="F4886" s="128" t="inlineStr">
        <is>
          <t>1415/02</t>
        </is>
      </c>
      <c r="G4886" s="58" t="inlineStr">
        <is>
          <t>اردیبهشت</t>
        </is>
      </c>
      <c r="H4886" s="128" t="inlineStr">
        <is>
          <t>بهار</t>
        </is>
      </c>
      <c r="I4886" s="128" t="inlineStr">
        <is>
          <t>دوشنبه</t>
        </is>
      </c>
      <c r="J4886" s="128" t="inlineStr">
        <is>
          <t>بله</t>
        </is>
      </c>
    </row>
    <row r="4887">
      <c r="A4887" s="176" t="n">
        <v>49808</v>
      </c>
      <c r="B4887" s="177" t="n">
        <v>49808</v>
      </c>
      <c r="C4887" s="177" t="n">
        <v>1415</v>
      </c>
      <c r="D4887" s="177" t="n">
        <v>2</v>
      </c>
      <c r="E4887" s="178" t="inlineStr">
        <is>
          <t>1415/02/24</t>
        </is>
      </c>
      <c r="F4887" s="134" t="inlineStr">
        <is>
          <t>1415/02</t>
        </is>
      </c>
      <c r="G4887" s="61" t="inlineStr">
        <is>
          <t>اردیبهشت</t>
        </is>
      </c>
      <c r="H4887" s="134" t="inlineStr">
        <is>
          <t>بهار</t>
        </is>
      </c>
      <c r="I4887" s="134" t="inlineStr">
        <is>
          <t>سه‌شنبه</t>
        </is>
      </c>
      <c r="J4887" s="134" t="inlineStr">
        <is>
          <t>بله</t>
        </is>
      </c>
    </row>
    <row r="4888">
      <c r="A4888" s="173" t="n">
        <v>49809</v>
      </c>
      <c r="B4888" s="174" t="n">
        <v>49809</v>
      </c>
      <c r="C4888" s="174" t="n">
        <v>1415</v>
      </c>
      <c r="D4888" s="174" t="n">
        <v>2</v>
      </c>
      <c r="E4888" s="175" t="inlineStr">
        <is>
          <t>1415/02/25</t>
        </is>
      </c>
      <c r="F4888" s="128" t="inlineStr">
        <is>
          <t>1415/02</t>
        </is>
      </c>
      <c r="G4888" s="58" t="inlineStr">
        <is>
          <t>اردیبهشت</t>
        </is>
      </c>
      <c r="H4888" s="128" t="inlineStr">
        <is>
          <t>بهار</t>
        </is>
      </c>
      <c r="I4888" s="128" t="inlineStr">
        <is>
          <t>چهارشنبه</t>
        </is>
      </c>
      <c r="J4888" s="128" t="inlineStr">
        <is>
          <t>بله</t>
        </is>
      </c>
    </row>
    <row r="4889">
      <c r="A4889" s="176" t="n">
        <v>49810</v>
      </c>
      <c r="B4889" s="177" t="n">
        <v>49810</v>
      </c>
      <c r="C4889" s="177" t="n">
        <v>1415</v>
      </c>
      <c r="D4889" s="177" t="n">
        <v>2</v>
      </c>
      <c r="E4889" s="178" t="inlineStr">
        <is>
          <t>1415/02/26</t>
        </is>
      </c>
      <c r="F4889" s="134" t="inlineStr">
        <is>
          <t>1415/02</t>
        </is>
      </c>
      <c r="G4889" s="61" t="inlineStr">
        <is>
          <t>اردیبهشت</t>
        </is>
      </c>
      <c r="H4889" s="134" t="inlineStr">
        <is>
          <t>بهار</t>
        </is>
      </c>
      <c r="I4889" s="134" t="inlineStr">
        <is>
          <t>پنجشنبه</t>
        </is>
      </c>
      <c r="J4889" s="134" t="inlineStr">
        <is>
          <t>بله</t>
        </is>
      </c>
    </row>
    <row r="4890">
      <c r="A4890" s="173" t="n">
        <v>49811</v>
      </c>
      <c r="B4890" s="174" t="n">
        <v>49811</v>
      </c>
      <c r="C4890" s="174" t="n">
        <v>1415</v>
      </c>
      <c r="D4890" s="174" t="n">
        <v>2</v>
      </c>
      <c r="E4890" s="175" t="inlineStr">
        <is>
          <t>1415/02/27</t>
        </is>
      </c>
      <c r="F4890" s="128" t="inlineStr">
        <is>
          <t>1415/02</t>
        </is>
      </c>
      <c r="G4890" s="58" t="inlineStr">
        <is>
          <t>اردیبهشت</t>
        </is>
      </c>
      <c r="H4890" s="128" t="inlineStr">
        <is>
          <t>بهار</t>
        </is>
      </c>
      <c r="I4890" s="128" t="inlineStr">
        <is>
          <t>جمعه</t>
        </is>
      </c>
      <c r="J4890" s="128" t="inlineStr">
        <is>
          <t>بله</t>
        </is>
      </c>
    </row>
    <row r="4891">
      <c r="A4891" s="176" t="n">
        <v>49812</v>
      </c>
      <c r="B4891" s="177" t="n">
        <v>49812</v>
      </c>
      <c r="C4891" s="177" t="n">
        <v>1415</v>
      </c>
      <c r="D4891" s="177" t="n">
        <v>2</v>
      </c>
      <c r="E4891" s="178" t="inlineStr">
        <is>
          <t>1415/02/28</t>
        </is>
      </c>
      <c r="F4891" s="134" t="inlineStr">
        <is>
          <t>1415/02</t>
        </is>
      </c>
      <c r="G4891" s="61" t="inlineStr">
        <is>
          <t>اردیبهشت</t>
        </is>
      </c>
      <c r="H4891" s="134" t="inlineStr">
        <is>
          <t>بهار</t>
        </is>
      </c>
      <c r="I4891" s="134" t="inlineStr">
        <is>
          <t>شنبه</t>
        </is>
      </c>
      <c r="J4891" s="134" t="inlineStr">
        <is>
          <t>خیر</t>
        </is>
      </c>
    </row>
    <row r="4892">
      <c r="A4892" s="173" t="n">
        <v>49813</v>
      </c>
      <c r="B4892" s="174" t="n">
        <v>49813</v>
      </c>
      <c r="C4892" s="174" t="n">
        <v>1415</v>
      </c>
      <c r="D4892" s="174" t="n">
        <v>2</v>
      </c>
      <c r="E4892" s="175" t="inlineStr">
        <is>
          <t>1415/02/29</t>
        </is>
      </c>
      <c r="F4892" s="128" t="inlineStr">
        <is>
          <t>1415/02</t>
        </is>
      </c>
      <c r="G4892" s="58" t="inlineStr">
        <is>
          <t>اردیبهشت</t>
        </is>
      </c>
      <c r="H4892" s="128" t="inlineStr">
        <is>
          <t>بهار</t>
        </is>
      </c>
      <c r="I4892" s="128" t="inlineStr">
        <is>
          <t>یکشنبه</t>
        </is>
      </c>
      <c r="J4892" s="128" t="inlineStr">
        <is>
          <t>خیر</t>
        </is>
      </c>
    </row>
    <row r="4893">
      <c r="A4893" s="176" t="n">
        <v>49814</v>
      </c>
      <c r="B4893" s="177" t="n">
        <v>49814</v>
      </c>
      <c r="C4893" s="177" t="n">
        <v>1415</v>
      </c>
      <c r="D4893" s="177" t="n">
        <v>2</v>
      </c>
      <c r="E4893" s="178" t="inlineStr">
        <is>
          <t>1415/02/30</t>
        </is>
      </c>
      <c r="F4893" s="134" t="inlineStr">
        <is>
          <t>1415/02</t>
        </is>
      </c>
      <c r="G4893" s="61" t="inlineStr">
        <is>
          <t>اردیبهشت</t>
        </is>
      </c>
      <c r="H4893" s="134" t="inlineStr">
        <is>
          <t>بهار</t>
        </is>
      </c>
      <c r="I4893" s="134" t="inlineStr">
        <is>
          <t>دوشنبه</t>
        </is>
      </c>
      <c r="J4893" s="134" t="inlineStr">
        <is>
          <t>بله</t>
        </is>
      </c>
    </row>
    <row r="4894">
      <c r="A4894" s="173" t="n">
        <v>49815</v>
      </c>
      <c r="B4894" s="174" t="n">
        <v>49815</v>
      </c>
      <c r="C4894" s="174" t="n">
        <v>1415</v>
      </c>
      <c r="D4894" s="174" t="n">
        <v>2</v>
      </c>
      <c r="E4894" s="175" t="inlineStr">
        <is>
          <t>1415/02/31</t>
        </is>
      </c>
      <c r="F4894" s="128" t="inlineStr">
        <is>
          <t>1415/02</t>
        </is>
      </c>
      <c r="G4894" s="58" t="inlineStr">
        <is>
          <t>اردیبهشت</t>
        </is>
      </c>
      <c r="H4894" s="128" t="inlineStr">
        <is>
          <t>بهار</t>
        </is>
      </c>
      <c r="I4894" s="128" t="inlineStr">
        <is>
          <t>سه‌شنبه</t>
        </is>
      </c>
      <c r="J4894" s="128" t="inlineStr">
        <is>
          <t>بله</t>
        </is>
      </c>
    </row>
    <row r="4895">
      <c r="A4895" s="176" t="n">
        <v>49816</v>
      </c>
      <c r="B4895" s="177" t="n">
        <v>49816</v>
      </c>
      <c r="C4895" s="177" t="n">
        <v>1415</v>
      </c>
      <c r="D4895" s="177" t="n">
        <v>3</v>
      </c>
      <c r="E4895" s="178" t="inlineStr">
        <is>
          <t>1415/03/01</t>
        </is>
      </c>
      <c r="F4895" s="134" t="inlineStr">
        <is>
          <t>1415/03</t>
        </is>
      </c>
      <c r="G4895" s="61" t="inlineStr">
        <is>
          <t>خرداد</t>
        </is>
      </c>
      <c r="H4895" s="134" t="inlineStr">
        <is>
          <t>بهار</t>
        </is>
      </c>
      <c r="I4895" s="134" t="inlineStr">
        <is>
          <t>چهارشنبه</t>
        </is>
      </c>
      <c r="J4895" s="134" t="inlineStr">
        <is>
          <t>بله</t>
        </is>
      </c>
    </row>
    <row r="4896">
      <c r="A4896" s="173" t="n">
        <v>49817</v>
      </c>
      <c r="B4896" s="174" t="n">
        <v>49817</v>
      </c>
      <c r="C4896" s="174" t="n">
        <v>1415</v>
      </c>
      <c r="D4896" s="174" t="n">
        <v>3</v>
      </c>
      <c r="E4896" s="175" t="inlineStr">
        <is>
          <t>1415/03/02</t>
        </is>
      </c>
      <c r="F4896" s="128" t="inlineStr">
        <is>
          <t>1415/03</t>
        </is>
      </c>
      <c r="G4896" s="58" t="inlineStr">
        <is>
          <t>خرداد</t>
        </is>
      </c>
      <c r="H4896" s="128" t="inlineStr">
        <is>
          <t>بهار</t>
        </is>
      </c>
      <c r="I4896" s="128" t="inlineStr">
        <is>
          <t>پنجشنبه</t>
        </is>
      </c>
      <c r="J4896" s="128" t="inlineStr">
        <is>
          <t>بله</t>
        </is>
      </c>
    </row>
    <row r="4897">
      <c r="A4897" s="176" t="n">
        <v>49818</v>
      </c>
      <c r="B4897" s="177" t="n">
        <v>49818</v>
      </c>
      <c r="C4897" s="177" t="n">
        <v>1415</v>
      </c>
      <c r="D4897" s="177" t="n">
        <v>3</v>
      </c>
      <c r="E4897" s="178" t="inlineStr">
        <is>
          <t>1415/03/03</t>
        </is>
      </c>
      <c r="F4897" s="134" t="inlineStr">
        <is>
          <t>1415/03</t>
        </is>
      </c>
      <c r="G4897" s="61" t="inlineStr">
        <is>
          <t>خرداد</t>
        </is>
      </c>
      <c r="H4897" s="134" t="inlineStr">
        <is>
          <t>بهار</t>
        </is>
      </c>
      <c r="I4897" s="134" t="inlineStr">
        <is>
          <t>جمعه</t>
        </is>
      </c>
      <c r="J4897" s="134" t="inlineStr">
        <is>
          <t>بله</t>
        </is>
      </c>
    </row>
    <row r="4898">
      <c r="A4898" s="173" t="n">
        <v>49819</v>
      </c>
      <c r="B4898" s="174" t="n">
        <v>49819</v>
      </c>
      <c r="C4898" s="174" t="n">
        <v>1415</v>
      </c>
      <c r="D4898" s="174" t="n">
        <v>3</v>
      </c>
      <c r="E4898" s="175" t="inlineStr">
        <is>
          <t>1415/03/04</t>
        </is>
      </c>
      <c r="F4898" s="128" t="inlineStr">
        <is>
          <t>1415/03</t>
        </is>
      </c>
      <c r="G4898" s="58" t="inlineStr">
        <is>
          <t>خرداد</t>
        </is>
      </c>
      <c r="H4898" s="128" t="inlineStr">
        <is>
          <t>بهار</t>
        </is>
      </c>
      <c r="I4898" s="128" t="inlineStr">
        <is>
          <t>شنبه</t>
        </is>
      </c>
      <c r="J4898" s="128" t="inlineStr">
        <is>
          <t>خیر</t>
        </is>
      </c>
    </row>
    <row r="4899">
      <c r="A4899" s="176" t="n">
        <v>49820</v>
      </c>
      <c r="B4899" s="177" t="n">
        <v>49820</v>
      </c>
      <c r="C4899" s="177" t="n">
        <v>1415</v>
      </c>
      <c r="D4899" s="177" t="n">
        <v>3</v>
      </c>
      <c r="E4899" s="178" t="inlineStr">
        <is>
          <t>1415/03/05</t>
        </is>
      </c>
      <c r="F4899" s="134" t="inlineStr">
        <is>
          <t>1415/03</t>
        </is>
      </c>
      <c r="G4899" s="61" t="inlineStr">
        <is>
          <t>خرداد</t>
        </is>
      </c>
      <c r="H4899" s="134" t="inlineStr">
        <is>
          <t>بهار</t>
        </is>
      </c>
      <c r="I4899" s="134" t="inlineStr">
        <is>
          <t>یکشنبه</t>
        </is>
      </c>
      <c r="J4899" s="134" t="inlineStr">
        <is>
          <t>خیر</t>
        </is>
      </c>
    </row>
    <row r="4900">
      <c r="A4900" s="173" t="n">
        <v>49821</v>
      </c>
      <c r="B4900" s="174" t="n">
        <v>49821</v>
      </c>
      <c r="C4900" s="174" t="n">
        <v>1415</v>
      </c>
      <c r="D4900" s="174" t="n">
        <v>3</v>
      </c>
      <c r="E4900" s="175" t="inlineStr">
        <is>
          <t>1415/03/06</t>
        </is>
      </c>
      <c r="F4900" s="128" t="inlineStr">
        <is>
          <t>1415/03</t>
        </is>
      </c>
      <c r="G4900" s="58" t="inlineStr">
        <is>
          <t>خرداد</t>
        </is>
      </c>
      <c r="H4900" s="128" t="inlineStr">
        <is>
          <t>بهار</t>
        </is>
      </c>
      <c r="I4900" s="128" t="inlineStr">
        <is>
          <t>دوشنبه</t>
        </is>
      </c>
      <c r="J4900" s="128" t="inlineStr">
        <is>
          <t>بله</t>
        </is>
      </c>
    </row>
    <row r="4901">
      <c r="A4901" s="176" t="n">
        <v>49822</v>
      </c>
      <c r="B4901" s="177" t="n">
        <v>49822</v>
      </c>
      <c r="C4901" s="177" t="n">
        <v>1415</v>
      </c>
      <c r="D4901" s="177" t="n">
        <v>3</v>
      </c>
      <c r="E4901" s="178" t="inlineStr">
        <is>
          <t>1415/03/07</t>
        </is>
      </c>
      <c r="F4901" s="134" t="inlineStr">
        <is>
          <t>1415/03</t>
        </is>
      </c>
      <c r="G4901" s="61" t="inlineStr">
        <is>
          <t>خرداد</t>
        </is>
      </c>
      <c r="H4901" s="134" t="inlineStr">
        <is>
          <t>بهار</t>
        </is>
      </c>
      <c r="I4901" s="134" t="inlineStr">
        <is>
          <t>سه‌شنبه</t>
        </is>
      </c>
      <c r="J4901" s="134" t="inlineStr">
        <is>
          <t>بله</t>
        </is>
      </c>
    </row>
    <row r="4902">
      <c r="A4902" s="173" t="n">
        <v>49823</v>
      </c>
      <c r="B4902" s="174" t="n">
        <v>49823</v>
      </c>
      <c r="C4902" s="174" t="n">
        <v>1415</v>
      </c>
      <c r="D4902" s="174" t="n">
        <v>3</v>
      </c>
      <c r="E4902" s="175" t="inlineStr">
        <is>
          <t>1415/03/08</t>
        </is>
      </c>
      <c r="F4902" s="128" t="inlineStr">
        <is>
          <t>1415/03</t>
        </is>
      </c>
      <c r="G4902" s="58" t="inlineStr">
        <is>
          <t>خرداد</t>
        </is>
      </c>
      <c r="H4902" s="128" t="inlineStr">
        <is>
          <t>بهار</t>
        </is>
      </c>
      <c r="I4902" s="128" t="inlineStr">
        <is>
          <t>چهارشنبه</t>
        </is>
      </c>
      <c r="J4902" s="128" t="inlineStr">
        <is>
          <t>بله</t>
        </is>
      </c>
    </row>
    <row r="4903">
      <c r="A4903" s="176" t="n">
        <v>49824</v>
      </c>
      <c r="B4903" s="177" t="n">
        <v>49824</v>
      </c>
      <c r="C4903" s="177" t="n">
        <v>1415</v>
      </c>
      <c r="D4903" s="177" t="n">
        <v>3</v>
      </c>
      <c r="E4903" s="178" t="inlineStr">
        <is>
          <t>1415/03/09</t>
        </is>
      </c>
      <c r="F4903" s="134" t="inlineStr">
        <is>
          <t>1415/03</t>
        </is>
      </c>
      <c r="G4903" s="61" t="inlineStr">
        <is>
          <t>خرداد</t>
        </is>
      </c>
      <c r="H4903" s="134" t="inlineStr">
        <is>
          <t>بهار</t>
        </is>
      </c>
      <c r="I4903" s="134" t="inlineStr">
        <is>
          <t>پنجشنبه</t>
        </is>
      </c>
      <c r="J4903" s="134" t="inlineStr">
        <is>
          <t>بله</t>
        </is>
      </c>
    </row>
    <row r="4904">
      <c r="A4904" s="173" t="n">
        <v>49825</v>
      </c>
      <c r="B4904" s="174" t="n">
        <v>49825</v>
      </c>
      <c r="C4904" s="174" t="n">
        <v>1415</v>
      </c>
      <c r="D4904" s="174" t="n">
        <v>3</v>
      </c>
      <c r="E4904" s="175" t="inlineStr">
        <is>
          <t>1415/03/10</t>
        </is>
      </c>
      <c r="F4904" s="128" t="inlineStr">
        <is>
          <t>1415/03</t>
        </is>
      </c>
      <c r="G4904" s="58" t="inlineStr">
        <is>
          <t>خرداد</t>
        </is>
      </c>
      <c r="H4904" s="128" t="inlineStr">
        <is>
          <t>بهار</t>
        </is>
      </c>
      <c r="I4904" s="128" t="inlineStr">
        <is>
          <t>جمعه</t>
        </is>
      </c>
      <c r="J4904" s="128" t="inlineStr">
        <is>
          <t>بله</t>
        </is>
      </c>
    </row>
    <row r="4905">
      <c r="A4905" s="176" t="n">
        <v>49826</v>
      </c>
      <c r="B4905" s="177" t="n">
        <v>49826</v>
      </c>
      <c r="C4905" s="177" t="n">
        <v>1415</v>
      </c>
      <c r="D4905" s="177" t="n">
        <v>3</v>
      </c>
      <c r="E4905" s="178" t="inlineStr">
        <is>
          <t>1415/03/11</t>
        </is>
      </c>
      <c r="F4905" s="134" t="inlineStr">
        <is>
          <t>1415/03</t>
        </is>
      </c>
      <c r="G4905" s="61" t="inlineStr">
        <is>
          <t>خرداد</t>
        </is>
      </c>
      <c r="H4905" s="134" t="inlineStr">
        <is>
          <t>بهار</t>
        </is>
      </c>
      <c r="I4905" s="134" t="inlineStr">
        <is>
          <t>شنبه</t>
        </is>
      </c>
      <c r="J4905" s="134" t="inlineStr">
        <is>
          <t>خیر</t>
        </is>
      </c>
    </row>
    <row r="4906">
      <c r="A4906" s="173" t="n">
        <v>49827</v>
      </c>
      <c r="B4906" s="174" t="n">
        <v>49827</v>
      </c>
      <c r="C4906" s="174" t="n">
        <v>1415</v>
      </c>
      <c r="D4906" s="174" t="n">
        <v>3</v>
      </c>
      <c r="E4906" s="175" t="inlineStr">
        <is>
          <t>1415/03/12</t>
        </is>
      </c>
      <c r="F4906" s="128" t="inlineStr">
        <is>
          <t>1415/03</t>
        </is>
      </c>
      <c r="G4906" s="58" t="inlineStr">
        <is>
          <t>خرداد</t>
        </is>
      </c>
      <c r="H4906" s="128" t="inlineStr">
        <is>
          <t>بهار</t>
        </is>
      </c>
      <c r="I4906" s="128" t="inlineStr">
        <is>
          <t>یکشنبه</t>
        </is>
      </c>
      <c r="J4906" s="128" t="inlineStr">
        <is>
          <t>خیر</t>
        </is>
      </c>
    </row>
    <row r="4907">
      <c r="A4907" s="176" t="n">
        <v>49828</v>
      </c>
      <c r="B4907" s="177" t="n">
        <v>49828</v>
      </c>
      <c r="C4907" s="177" t="n">
        <v>1415</v>
      </c>
      <c r="D4907" s="177" t="n">
        <v>3</v>
      </c>
      <c r="E4907" s="178" t="inlineStr">
        <is>
          <t>1415/03/13</t>
        </is>
      </c>
      <c r="F4907" s="134" t="inlineStr">
        <is>
          <t>1415/03</t>
        </is>
      </c>
      <c r="G4907" s="61" t="inlineStr">
        <is>
          <t>خرداد</t>
        </is>
      </c>
      <c r="H4907" s="134" t="inlineStr">
        <is>
          <t>بهار</t>
        </is>
      </c>
      <c r="I4907" s="134" t="inlineStr">
        <is>
          <t>دوشنبه</t>
        </is>
      </c>
      <c r="J4907" s="134" t="inlineStr">
        <is>
          <t>بله</t>
        </is>
      </c>
    </row>
    <row r="4908">
      <c r="A4908" s="173" t="n">
        <v>49829</v>
      </c>
      <c r="B4908" s="174" t="n">
        <v>49829</v>
      </c>
      <c r="C4908" s="174" t="n">
        <v>1415</v>
      </c>
      <c r="D4908" s="174" t="n">
        <v>3</v>
      </c>
      <c r="E4908" s="175" t="inlineStr">
        <is>
          <t>1415/03/14</t>
        </is>
      </c>
      <c r="F4908" s="128" t="inlineStr">
        <is>
          <t>1415/03</t>
        </is>
      </c>
      <c r="G4908" s="58" t="inlineStr">
        <is>
          <t>خرداد</t>
        </is>
      </c>
      <c r="H4908" s="128" t="inlineStr">
        <is>
          <t>بهار</t>
        </is>
      </c>
      <c r="I4908" s="128" t="inlineStr">
        <is>
          <t>سه‌شنبه</t>
        </is>
      </c>
      <c r="J4908" s="128" t="inlineStr">
        <is>
          <t>بله</t>
        </is>
      </c>
    </row>
    <row r="4909">
      <c r="A4909" s="176" t="n">
        <v>49830</v>
      </c>
      <c r="B4909" s="177" t="n">
        <v>49830</v>
      </c>
      <c r="C4909" s="177" t="n">
        <v>1415</v>
      </c>
      <c r="D4909" s="177" t="n">
        <v>3</v>
      </c>
      <c r="E4909" s="178" t="inlineStr">
        <is>
          <t>1415/03/15</t>
        </is>
      </c>
      <c r="F4909" s="134" t="inlineStr">
        <is>
          <t>1415/03</t>
        </is>
      </c>
      <c r="G4909" s="61" t="inlineStr">
        <is>
          <t>خرداد</t>
        </is>
      </c>
      <c r="H4909" s="134" t="inlineStr">
        <is>
          <t>بهار</t>
        </is>
      </c>
      <c r="I4909" s="134" t="inlineStr">
        <is>
          <t>چهارشنبه</t>
        </is>
      </c>
      <c r="J4909" s="134" t="inlineStr">
        <is>
          <t>بله</t>
        </is>
      </c>
    </row>
    <row r="4910">
      <c r="A4910" s="173" t="n">
        <v>49831</v>
      </c>
      <c r="B4910" s="174" t="n">
        <v>49831</v>
      </c>
      <c r="C4910" s="174" t="n">
        <v>1415</v>
      </c>
      <c r="D4910" s="174" t="n">
        <v>3</v>
      </c>
      <c r="E4910" s="175" t="inlineStr">
        <is>
          <t>1415/03/16</t>
        </is>
      </c>
      <c r="F4910" s="128" t="inlineStr">
        <is>
          <t>1415/03</t>
        </is>
      </c>
      <c r="G4910" s="58" t="inlineStr">
        <is>
          <t>خرداد</t>
        </is>
      </c>
      <c r="H4910" s="128" t="inlineStr">
        <is>
          <t>بهار</t>
        </is>
      </c>
      <c r="I4910" s="128" t="inlineStr">
        <is>
          <t>پنجشنبه</t>
        </is>
      </c>
      <c r="J4910" s="128" t="inlineStr">
        <is>
          <t>بله</t>
        </is>
      </c>
    </row>
    <row r="4911">
      <c r="A4911" s="176" t="n">
        <v>49832</v>
      </c>
      <c r="B4911" s="177" t="n">
        <v>49832</v>
      </c>
      <c r="C4911" s="177" t="n">
        <v>1415</v>
      </c>
      <c r="D4911" s="177" t="n">
        <v>3</v>
      </c>
      <c r="E4911" s="178" t="inlineStr">
        <is>
          <t>1415/03/17</t>
        </is>
      </c>
      <c r="F4911" s="134" t="inlineStr">
        <is>
          <t>1415/03</t>
        </is>
      </c>
      <c r="G4911" s="61" t="inlineStr">
        <is>
          <t>خرداد</t>
        </is>
      </c>
      <c r="H4911" s="134" t="inlineStr">
        <is>
          <t>بهار</t>
        </is>
      </c>
      <c r="I4911" s="134" t="inlineStr">
        <is>
          <t>جمعه</t>
        </is>
      </c>
      <c r="J4911" s="134" t="inlineStr">
        <is>
          <t>بله</t>
        </is>
      </c>
    </row>
    <row r="4912">
      <c r="A4912" s="173" t="n">
        <v>49833</v>
      </c>
      <c r="B4912" s="174" t="n">
        <v>49833</v>
      </c>
      <c r="C4912" s="174" t="n">
        <v>1415</v>
      </c>
      <c r="D4912" s="174" t="n">
        <v>3</v>
      </c>
      <c r="E4912" s="175" t="inlineStr">
        <is>
          <t>1415/03/18</t>
        </is>
      </c>
      <c r="F4912" s="128" t="inlineStr">
        <is>
          <t>1415/03</t>
        </is>
      </c>
      <c r="G4912" s="58" t="inlineStr">
        <is>
          <t>خرداد</t>
        </is>
      </c>
      <c r="H4912" s="128" t="inlineStr">
        <is>
          <t>بهار</t>
        </is>
      </c>
      <c r="I4912" s="128" t="inlineStr">
        <is>
          <t>شنبه</t>
        </is>
      </c>
      <c r="J4912" s="128" t="inlineStr">
        <is>
          <t>خیر</t>
        </is>
      </c>
    </row>
    <row r="4913">
      <c r="A4913" s="176" t="n">
        <v>49834</v>
      </c>
      <c r="B4913" s="177" t="n">
        <v>49834</v>
      </c>
      <c r="C4913" s="177" t="n">
        <v>1415</v>
      </c>
      <c r="D4913" s="177" t="n">
        <v>3</v>
      </c>
      <c r="E4913" s="178" t="inlineStr">
        <is>
          <t>1415/03/19</t>
        </is>
      </c>
      <c r="F4913" s="134" t="inlineStr">
        <is>
          <t>1415/03</t>
        </is>
      </c>
      <c r="G4913" s="61" t="inlineStr">
        <is>
          <t>خرداد</t>
        </is>
      </c>
      <c r="H4913" s="134" t="inlineStr">
        <is>
          <t>بهار</t>
        </is>
      </c>
      <c r="I4913" s="134" t="inlineStr">
        <is>
          <t>یکشنبه</t>
        </is>
      </c>
      <c r="J4913" s="134" t="inlineStr">
        <is>
          <t>خیر</t>
        </is>
      </c>
    </row>
    <row r="4914">
      <c r="A4914" s="173" t="n">
        <v>49835</v>
      </c>
      <c r="B4914" s="174" t="n">
        <v>49835</v>
      </c>
      <c r="C4914" s="174" t="n">
        <v>1415</v>
      </c>
      <c r="D4914" s="174" t="n">
        <v>3</v>
      </c>
      <c r="E4914" s="175" t="inlineStr">
        <is>
          <t>1415/03/20</t>
        </is>
      </c>
      <c r="F4914" s="128" t="inlineStr">
        <is>
          <t>1415/03</t>
        </is>
      </c>
      <c r="G4914" s="58" t="inlineStr">
        <is>
          <t>خرداد</t>
        </is>
      </c>
      <c r="H4914" s="128" t="inlineStr">
        <is>
          <t>بهار</t>
        </is>
      </c>
      <c r="I4914" s="128" t="inlineStr">
        <is>
          <t>دوشنبه</t>
        </is>
      </c>
      <c r="J4914" s="128" t="inlineStr">
        <is>
          <t>بله</t>
        </is>
      </c>
    </row>
    <row r="4915">
      <c r="A4915" s="176" t="n">
        <v>49836</v>
      </c>
      <c r="B4915" s="177" t="n">
        <v>49836</v>
      </c>
      <c r="C4915" s="177" t="n">
        <v>1415</v>
      </c>
      <c r="D4915" s="177" t="n">
        <v>3</v>
      </c>
      <c r="E4915" s="178" t="inlineStr">
        <is>
          <t>1415/03/21</t>
        </is>
      </c>
      <c r="F4915" s="134" t="inlineStr">
        <is>
          <t>1415/03</t>
        </is>
      </c>
      <c r="G4915" s="61" t="inlineStr">
        <is>
          <t>خرداد</t>
        </is>
      </c>
      <c r="H4915" s="134" t="inlineStr">
        <is>
          <t>بهار</t>
        </is>
      </c>
      <c r="I4915" s="134" t="inlineStr">
        <is>
          <t>سه‌شنبه</t>
        </is>
      </c>
      <c r="J4915" s="134" t="inlineStr">
        <is>
          <t>بله</t>
        </is>
      </c>
    </row>
    <row r="4916">
      <c r="A4916" s="173" t="n">
        <v>49837</v>
      </c>
      <c r="B4916" s="174" t="n">
        <v>49837</v>
      </c>
      <c r="C4916" s="174" t="n">
        <v>1415</v>
      </c>
      <c r="D4916" s="174" t="n">
        <v>3</v>
      </c>
      <c r="E4916" s="175" t="inlineStr">
        <is>
          <t>1415/03/22</t>
        </is>
      </c>
      <c r="F4916" s="128" t="inlineStr">
        <is>
          <t>1415/03</t>
        </is>
      </c>
      <c r="G4916" s="58" t="inlineStr">
        <is>
          <t>خرداد</t>
        </is>
      </c>
      <c r="H4916" s="128" t="inlineStr">
        <is>
          <t>بهار</t>
        </is>
      </c>
      <c r="I4916" s="128" t="inlineStr">
        <is>
          <t>چهارشنبه</t>
        </is>
      </c>
      <c r="J4916" s="128" t="inlineStr">
        <is>
          <t>بله</t>
        </is>
      </c>
    </row>
    <row r="4917">
      <c r="A4917" s="176" t="n">
        <v>49838</v>
      </c>
      <c r="B4917" s="177" t="n">
        <v>49838</v>
      </c>
      <c r="C4917" s="177" t="n">
        <v>1415</v>
      </c>
      <c r="D4917" s="177" t="n">
        <v>3</v>
      </c>
      <c r="E4917" s="178" t="inlineStr">
        <is>
          <t>1415/03/23</t>
        </is>
      </c>
      <c r="F4917" s="134" t="inlineStr">
        <is>
          <t>1415/03</t>
        </is>
      </c>
      <c r="G4917" s="61" t="inlineStr">
        <is>
          <t>خرداد</t>
        </is>
      </c>
      <c r="H4917" s="134" t="inlineStr">
        <is>
          <t>بهار</t>
        </is>
      </c>
      <c r="I4917" s="134" t="inlineStr">
        <is>
          <t>پنجشنبه</t>
        </is>
      </c>
      <c r="J4917" s="134" t="inlineStr">
        <is>
          <t>بله</t>
        </is>
      </c>
    </row>
    <row r="4918">
      <c r="A4918" s="173" t="n">
        <v>49839</v>
      </c>
      <c r="B4918" s="174" t="n">
        <v>49839</v>
      </c>
      <c r="C4918" s="174" t="n">
        <v>1415</v>
      </c>
      <c r="D4918" s="174" t="n">
        <v>3</v>
      </c>
      <c r="E4918" s="175" t="inlineStr">
        <is>
          <t>1415/03/24</t>
        </is>
      </c>
      <c r="F4918" s="128" t="inlineStr">
        <is>
          <t>1415/03</t>
        </is>
      </c>
      <c r="G4918" s="58" t="inlineStr">
        <is>
          <t>خرداد</t>
        </is>
      </c>
      <c r="H4918" s="128" t="inlineStr">
        <is>
          <t>بهار</t>
        </is>
      </c>
      <c r="I4918" s="128" t="inlineStr">
        <is>
          <t>جمعه</t>
        </is>
      </c>
      <c r="J4918" s="128" t="inlineStr">
        <is>
          <t>بله</t>
        </is>
      </c>
    </row>
    <row r="4919">
      <c r="A4919" s="176" t="n">
        <v>49840</v>
      </c>
      <c r="B4919" s="177" t="n">
        <v>49840</v>
      </c>
      <c r="C4919" s="177" t="n">
        <v>1415</v>
      </c>
      <c r="D4919" s="177" t="n">
        <v>3</v>
      </c>
      <c r="E4919" s="178" t="inlineStr">
        <is>
          <t>1415/03/25</t>
        </is>
      </c>
      <c r="F4919" s="134" t="inlineStr">
        <is>
          <t>1415/03</t>
        </is>
      </c>
      <c r="G4919" s="61" t="inlineStr">
        <is>
          <t>خرداد</t>
        </is>
      </c>
      <c r="H4919" s="134" t="inlineStr">
        <is>
          <t>بهار</t>
        </is>
      </c>
      <c r="I4919" s="134" t="inlineStr">
        <is>
          <t>شنبه</t>
        </is>
      </c>
      <c r="J4919" s="134" t="inlineStr">
        <is>
          <t>خیر</t>
        </is>
      </c>
    </row>
    <row r="4920">
      <c r="A4920" s="173" t="n">
        <v>49841</v>
      </c>
      <c r="B4920" s="174" t="n">
        <v>49841</v>
      </c>
      <c r="C4920" s="174" t="n">
        <v>1415</v>
      </c>
      <c r="D4920" s="174" t="n">
        <v>3</v>
      </c>
      <c r="E4920" s="175" t="inlineStr">
        <is>
          <t>1415/03/26</t>
        </is>
      </c>
      <c r="F4920" s="128" t="inlineStr">
        <is>
          <t>1415/03</t>
        </is>
      </c>
      <c r="G4920" s="58" t="inlineStr">
        <is>
          <t>خرداد</t>
        </is>
      </c>
      <c r="H4920" s="128" t="inlineStr">
        <is>
          <t>بهار</t>
        </is>
      </c>
      <c r="I4920" s="128" t="inlineStr">
        <is>
          <t>یکشنبه</t>
        </is>
      </c>
      <c r="J4920" s="128" t="inlineStr">
        <is>
          <t>خیر</t>
        </is>
      </c>
    </row>
    <row r="4921">
      <c r="A4921" s="176" t="n">
        <v>49842</v>
      </c>
      <c r="B4921" s="177" t="n">
        <v>49842</v>
      </c>
      <c r="C4921" s="177" t="n">
        <v>1415</v>
      </c>
      <c r="D4921" s="177" t="n">
        <v>3</v>
      </c>
      <c r="E4921" s="178" t="inlineStr">
        <is>
          <t>1415/03/27</t>
        </is>
      </c>
      <c r="F4921" s="134" t="inlineStr">
        <is>
          <t>1415/03</t>
        </is>
      </c>
      <c r="G4921" s="61" t="inlineStr">
        <is>
          <t>خرداد</t>
        </is>
      </c>
      <c r="H4921" s="134" t="inlineStr">
        <is>
          <t>بهار</t>
        </is>
      </c>
      <c r="I4921" s="134" t="inlineStr">
        <is>
          <t>دوشنبه</t>
        </is>
      </c>
      <c r="J4921" s="134" t="inlineStr">
        <is>
          <t>بله</t>
        </is>
      </c>
    </row>
    <row r="4922">
      <c r="A4922" s="173" t="n">
        <v>49843</v>
      </c>
      <c r="B4922" s="174" t="n">
        <v>49843</v>
      </c>
      <c r="C4922" s="174" t="n">
        <v>1415</v>
      </c>
      <c r="D4922" s="174" t="n">
        <v>3</v>
      </c>
      <c r="E4922" s="175" t="inlineStr">
        <is>
          <t>1415/03/28</t>
        </is>
      </c>
      <c r="F4922" s="128" t="inlineStr">
        <is>
          <t>1415/03</t>
        </is>
      </c>
      <c r="G4922" s="58" t="inlineStr">
        <is>
          <t>خرداد</t>
        </is>
      </c>
      <c r="H4922" s="128" t="inlineStr">
        <is>
          <t>بهار</t>
        </is>
      </c>
      <c r="I4922" s="128" t="inlineStr">
        <is>
          <t>سه‌شنبه</t>
        </is>
      </c>
      <c r="J4922" s="128" t="inlineStr">
        <is>
          <t>بله</t>
        </is>
      </c>
    </row>
    <row r="4923">
      <c r="A4923" s="176" t="n">
        <v>49844</v>
      </c>
      <c r="B4923" s="177" t="n">
        <v>49844</v>
      </c>
      <c r="C4923" s="177" t="n">
        <v>1415</v>
      </c>
      <c r="D4923" s="177" t="n">
        <v>3</v>
      </c>
      <c r="E4923" s="178" t="inlineStr">
        <is>
          <t>1415/03/29</t>
        </is>
      </c>
      <c r="F4923" s="134" t="inlineStr">
        <is>
          <t>1415/03</t>
        </is>
      </c>
      <c r="G4923" s="61" t="inlineStr">
        <is>
          <t>خرداد</t>
        </is>
      </c>
      <c r="H4923" s="134" t="inlineStr">
        <is>
          <t>بهار</t>
        </is>
      </c>
      <c r="I4923" s="134" t="inlineStr">
        <is>
          <t>چهارشنبه</t>
        </is>
      </c>
      <c r="J4923" s="134" t="inlineStr">
        <is>
          <t>بله</t>
        </is>
      </c>
    </row>
    <row r="4924">
      <c r="A4924" s="173" t="n">
        <v>49845</v>
      </c>
      <c r="B4924" s="174" t="n">
        <v>49845</v>
      </c>
      <c r="C4924" s="174" t="n">
        <v>1415</v>
      </c>
      <c r="D4924" s="174" t="n">
        <v>3</v>
      </c>
      <c r="E4924" s="175" t="inlineStr">
        <is>
          <t>1415/03/30</t>
        </is>
      </c>
      <c r="F4924" s="128" t="inlineStr">
        <is>
          <t>1415/03</t>
        </is>
      </c>
      <c r="G4924" s="58" t="inlineStr">
        <is>
          <t>خرداد</t>
        </is>
      </c>
      <c r="H4924" s="128" t="inlineStr">
        <is>
          <t>بهار</t>
        </is>
      </c>
      <c r="I4924" s="128" t="inlineStr">
        <is>
          <t>پنجشنبه</t>
        </is>
      </c>
      <c r="J4924" s="128" t="inlineStr">
        <is>
          <t>بله</t>
        </is>
      </c>
    </row>
    <row r="4925">
      <c r="A4925" s="176" t="n">
        <v>49846</v>
      </c>
      <c r="B4925" s="177" t="n">
        <v>49846</v>
      </c>
      <c r="C4925" s="177" t="n">
        <v>1415</v>
      </c>
      <c r="D4925" s="177" t="n">
        <v>3</v>
      </c>
      <c r="E4925" s="178" t="inlineStr">
        <is>
          <t>1415/03/31</t>
        </is>
      </c>
      <c r="F4925" s="134" t="inlineStr">
        <is>
          <t>1415/03</t>
        </is>
      </c>
      <c r="G4925" s="61" t="inlineStr">
        <is>
          <t>خرداد</t>
        </is>
      </c>
      <c r="H4925" s="134" t="inlineStr">
        <is>
          <t>بهار</t>
        </is>
      </c>
      <c r="I4925" s="134" t="inlineStr">
        <is>
          <t>جمعه</t>
        </is>
      </c>
      <c r="J4925" s="134" t="inlineStr">
        <is>
          <t>بله</t>
        </is>
      </c>
    </row>
    <row r="4926">
      <c r="A4926" s="173" t="n">
        <v>49847</v>
      </c>
      <c r="B4926" s="174" t="n">
        <v>49847</v>
      </c>
      <c r="C4926" s="174" t="n">
        <v>1415</v>
      </c>
      <c r="D4926" s="174" t="n">
        <v>4</v>
      </c>
      <c r="E4926" s="175" t="inlineStr">
        <is>
          <t>1415/04/01</t>
        </is>
      </c>
      <c r="F4926" s="128" t="inlineStr">
        <is>
          <t>1415/04</t>
        </is>
      </c>
      <c r="G4926" s="58" t="inlineStr">
        <is>
          <t>تیر</t>
        </is>
      </c>
      <c r="H4926" s="128" t="inlineStr">
        <is>
          <t>تابستان</t>
        </is>
      </c>
      <c r="I4926" s="128" t="inlineStr">
        <is>
          <t>شنبه</t>
        </is>
      </c>
      <c r="J4926" s="128" t="inlineStr">
        <is>
          <t>خیر</t>
        </is>
      </c>
    </row>
    <row r="4927">
      <c r="A4927" s="176" t="n">
        <v>49848</v>
      </c>
      <c r="B4927" s="177" t="n">
        <v>49848</v>
      </c>
      <c r="C4927" s="177" t="n">
        <v>1415</v>
      </c>
      <c r="D4927" s="177" t="n">
        <v>4</v>
      </c>
      <c r="E4927" s="178" t="inlineStr">
        <is>
          <t>1415/04/02</t>
        </is>
      </c>
      <c r="F4927" s="134" t="inlineStr">
        <is>
          <t>1415/04</t>
        </is>
      </c>
      <c r="G4927" s="61" t="inlineStr">
        <is>
          <t>تیر</t>
        </is>
      </c>
      <c r="H4927" s="134" t="inlineStr">
        <is>
          <t>تابستان</t>
        </is>
      </c>
      <c r="I4927" s="134" t="inlineStr">
        <is>
          <t>یکشنبه</t>
        </is>
      </c>
      <c r="J4927" s="134" t="inlineStr">
        <is>
          <t>خیر</t>
        </is>
      </c>
    </row>
    <row r="4928">
      <c r="A4928" s="173" t="n">
        <v>49849</v>
      </c>
      <c r="B4928" s="174" t="n">
        <v>49849</v>
      </c>
      <c r="C4928" s="174" t="n">
        <v>1415</v>
      </c>
      <c r="D4928" s="174" t="n">
        <v>4</v>
      </c>
      <c r="E4928" s="175" t="inlineStr">
        <is>
          <t>1415/04/03</t>
        </is>
      </c>
      <c r="F4928" s="128" t="inlineStr">
        <is>
          <t>1415/04</t>
        </is>
      </c>
      <c r="G4928" s="58" t="inlineStr">
        <is>
          <t>تیر</t>
        </is>
      </c>
      <c r="H4928" s="128" t="inlineStr">
        <is>
          <t>تابستان</t>
        </is>
      </c>
      <c r="I4928" s="128" t="inlineStr">
        <is>
          <t>دوشنبه</t>
        </is>
      </c>
      <c r="J4928" s="128" t="inlineStr">
        <is>
          <t>بله</t>
        </is>
      </c>
    </row>
    <row r="4929">
      <c r="A4929" s="176" t="n">
        <v>49850</v>
      </c>
      <c r="B4929" s="177" t="n">
        <v>49850</v>
      </c>
      <c r="C4929" s="177" t="n">
        <v>1415</v>
      </c>
      <c r="D4929" s="177" t="n">
        <v>4</v>
      </c>
      <c r="E4929" s="178" t="inlineStr">
        <is>
          <t>1415/04/04</t>
        </is>
      </c>
      <c r="F4929" s="134" t="inlineStr">
        <is>
          <t>1415/04</t>
        </is>
      </c>
      <c r="G4929" s="61" t="inlineStr">
        <is>
          <t>تیر</t>
        </is>
      </c>
      <c r="H4929" s="134" t="inlineStr">
        <is>
          <t>تابستان</t>
        </is>
      </c>
      <c r="I4929" s="134" t="inlineStr">
        <is>
          <t>سه‌شنبه</t>
        </is>
      </c>
      <c r="J4929" s="134" t="inlineStr">
        <is>
          <t>بله</t>
        </is>
      </c>
    </row>
    <row r="4930">
      <c r="A4930" s="173" t="n">
        <v>49851</v>
      </c>
      <c r="B4930" s="174" t="n">
        <v>49851</v>
      </c>
      <c r="C4930" s="174" t="n">
        <v>1415</v>
      </c>
      <c r="D4930" s="174" t="n">
        <v>4</v>
      </c>
      <c r="E4930" s="175" t="inlineStr">
        <is>
          <t>1415/04/05</t>
        </is>
      </c>
      <c r="F4930" s="128" t="inlineStr">
        <is>
          <t>1415/04</t>
        </is>
      </c>
      <c r="G4930" s="58" t="inlineStr">
        <is>
          <t>تیر</t>
        </is>
      </c>
      <c r="H4930" s="128" t="inlineStr">
        <is>
          <t>تابستان</t>
        </is>
      </c>
      <c r="I4930" s="128" t="inlineStr">
        <is>
          <t>چهارشنبه</t>
        </is>
      </c>
      <c r="J4930" s="128" t="inlineStr">
        <is>
          <t>بله</t>
        </is>
      </c>
    </row>
    <row r="4931">
      <c r="A4931" s="176" t="n">
        <v>49852</v>
      </c>
      <c r="B4931" s="177" t="n">
        <v>49852</v>
      </c>
      <c r="C4931" s="177" t="n">
        <v>1415</v>
      </c>
      <c r="D4931" s="177" t="n">
        <v>4</v>
      </c>
      <c r="E4931" s="178" t="inlineStr">
        <is>
          <t>1415/04/06</t>
        </is>
      </c>
      <c r="F4931" s="134" t="inlineStr">
        <is>
          <t>1415/04</t>
        </is>
      </c>
      <c r="G4931" s="61" t="inlineStr">
        <is>
          <t>تیر</t>
        </is>
      </c>
      <c r="H4931" s="134" t="inlineStr">
        <is>
          <t>تابستان</t>
        </is>
      </c>
      <c r="I4931" s="134" t="inlineStr">
        <is>
          <t>پنجشنبه</t>
        </is>
      </c>
      <c r="J4931" s="134" t="inlineStr">
        <is>
          <t>بله</t>
        </is>
      </c>
    </row>
    <row r="4932">
      <c r="A4932" s="173" t="n">
        <v>49853</v>
      </c>
      <c r="B4932" s="174" t="n">
        <v>49853</v>
      </c>
      <c r="C4932" s="174" t="n">
        <v>1415</v>
      </c>
      <c r="D4932" s="174" t="n">
        <v>4</v>
      </c>
      <c r="E4932" s="175" t="inlineStr">
        <is>
          <t>1415/04/07</t>
        </is>
      </c>
      <c r="F4932" s="128" t="inlineStr">
        <is>
          <t>1415/04</t>
        </is>
      </c>
      <c r="G4932" s="58" t="inlineStr">
        <is>
          <t>تیر</t>
        </is>
      </c>
      <c r="H4932" s="128" t="inlineStr">
        <is>
          <t>تابستان</t>
        </is>
      </c>
      <c r="I4932" s="128" t="inlineStr">
        <is>
          <t>جمعه</t>
        </is>
      </c>
      <c r="J4932" s="128" t="inlineStr">
        <is>
          <t>بله</t>
        </is>
      </c>
    </row>
    <row r="4933">
      <c r="A4933" s="176" t="n">
        <v>49854</v>
      </c>
      <c r="B4933" s="177" t="n">
        <v>49854</v>
      </c>
      <c r="C4933" s="177" t="n">
        <v>1415</v>
      </c>
      <c r="D4933" s="177" t="n">
        <v>4</v>
      </c>
      <c r="E4933" s="178" t="inlineStr">
        <is>
          <t>1415/04/08</t>
        </is>
      </c>
      <c r="F4933" s="134" t="inlineStr">
        <is>
          <t>1415/04</t>
        </is>
      </c>
      <c r="G4933" s="61" t="inlineStr">
        <is>
          <t>تیر</t>
        </is>
      </c>
      <c r="H4933" s="134" t="inlineStr">
        <is>
          <t>تابستان</t>
        </is>
      </c>
      <c r="I4933" s="134" t="inlineStr">
        <is>
          <t>شنبه</t>
        </is>
      </c>
      <c r="J4933" s="134" t="inlineStr">
        <is>
          <t>خیر</t>
        </is>
      </c>
    </row>
    <row r="4934">
      <c r="A4934" s="173" t="n">
        <v>49855</v>
      </c>
      <c r="B4934" s="174" t="n">
        <v>49855</v>
      </c>
      <c r="C4934" s="174" t="n">
        <v>1415</v>
      </c>
      <c r="D4934" s="174" t="n">
        <v>4</v>
      </c>
      <c r="E4934" s="175" t="inlineStr">
        <is>
          <t>1415/04/09</t>
        </is>
      </c>
      <c r="F4934" s="128" t="inlineStr">
        <is>
          <t>1415/04</t>
        </is>
      </c>
      <c r="G4934" s="58" t="inlineStr">
        <is>
          <t>تیر</t>
        </is>
      </c>
      <c r="H4934" s="128" t="inlineStr">
        <is>
          <t>تابستان</t>
        </is>
      </c>
      <c r="I4934" s="128" t="inlineStr">
        <is>
          <t>یکشنبه</t>
        </is>
      </c>
      <c r="J4934" s="128" t="inlineStr">
        <is>
          <t>خیر</t>
        </is>
      </c>
    </row>
    <row r="4935">
      <c r="A4935" s="176" t="n">
        <v>49856</v>
      </c>
      <c r="B4935" s="177" t="n">
        <v>49856</v>
      </c>
      <c r="C4935" s="177" t="n">
        <v>1415</v>
      </c>
      <c r="D4935" s="177" t="n">
        <v>4</v>
      </c>
      <c r="E4935" s="178" t="inlineStr">
        <is>
          <t>1415/04/10</t>
        </is>
      </c>
      <c r="F4935" s="134" t="inlineStr">
        <is>
          <t>1415/04</t>
        </is>
      </c>
      <c r="G4935" s="61" t="inlineStr">
        <is>
          <t>تیر</t>
        </is>
      </c>
      <c r="H4935" s="134" t="inlineStr">
        <is>
          <t>تابستان</t>
        </is>
      </c>
      <c r="I4935" s="134" t="inlineStr">
        <is>
          <t>دوشنبه</t>
        </is>
      </c>
      <c r="J4935" s="134" t="inlineStr">
        <is>
          <t>بله</t>
        </is>
      </c>
    </row>
    <row r="4936">
      <c r="A4936" s="173" t="n">
        <v>49857</v>
      </c>
      <c r="B4936" s="174" t="n">
        <v>49857</v>
      </c>
      <c r="C4936" s="174" t="n">
        <v>1415</v>
      </c>
      <c r="D4936" s="174" t="n">
        <v>4</v>
      </c>
      <c r="E4936" s="175" t="inlineStr">
        <is>
          <t>1415/04/11</t>
        </is>
      </c>
      <c r="F4936" s="128" t="inlineStr">
        <is>
          <t>1415/04</t>
        </is>
      </c>
      <c r="G4936" s="58" t="inlineStr">
        <is>
          <t>تیر</t>
        </is>
      </c>
      <c r="H4936" s="128" t="inlineStr">
        <is>
          <t>تابستان</t>
        </is>
      </c>
      <c r="I4936" s="128" t="inlineStr">
        <is>
          <t>سه‌شنبه</t>
        </is>
      </c>
      <c r="J4936" s="128" t="inlineStr">
        <is>
          <t>بله</t>
        </is>
      </c>
    </row>
    <row r="4937">
      <c r="A4937" s="176" t="n">
        <v>49858</v>
      </c>
      <c r="B4937" s="177" t="n">
        <v>49858</v>
      </c>
      <c r="C4937" s="177" t="n">
        <v>1415</v>
      </c>
      <c r="D4937" s="177" t="n">
        <v>4</v>
      </c>
      <c r="E4937" s="178" t="inlineStr">
        <is>
          <t>1415/04/12</t>
        </is>
      </c>
      <c r="F4937" s="134" t="inlineStr">
        <is>
          <t>1415/04</t>
        </is>
      </c>
      <c r="G4937" s="61" t="inlineStr">
        <is>
          <t>تیر</t>
        </is>
      </c>
      <c r="H4937" s="134" t="inlineStr">
        <is>
          <t>تابستان</t>
        </is>
      </c>
      <c r="I4937" s="134" t="inlineStr">
        <is>
          <t>چهارشنبه</t>
        </is>
      </c>
      <c r="J4937" s="134" t="inlineStr">
        <is>
          <t>بله</t>
        </is>
      </c>
    </row>
    <row r="4938">
      <c r="A4938" s="173" t="n">
        <v>49859</v>
      </c>
      <c r="B4938" s="174" t="n">
        <v>49859</v>
      </c>
      <c r="C4938" s="174" t="n">
        <v>1415</v>
      </c>
      <c r="D4938" s="174" t="n">
        <v>4</v>
      </c>
      <c r="E4938" s="175" t="inlineStr">
        <is>
          <t>1415/04/13</t>
        </is>
      </c>
      <c r="F4938" s="128" t="inlineStr">
        <is>
          <t>1415/04</t>
        </is>
      </c>
      <c r="G4938" s="58" t="inlineStr">
        <is>
          <t>تیر</t>
        </is>
      </c>
      <c r="H4938" s="128" t="inlineStr">
        <is>
          <t>تابستان</t>
        </is>
      </c>
      <c r="I4938" s="128" t="inlineStr">
        <is>
          <t>پنجشنبه</t>
        </is>
      </c>
      <c r="J4938" s="128" t="inlineStr">
        <is>
          <t>بله</t>
        </is>
      </c>
    </row>
    <row r="4939">
      <c r="A4939" s="176" t="n">
        <v>49860</v>
      </c>
      <c r="B4939" s="177" t="n">
        <v>49860</v>
      </c>
      <c r="C4939" s="177" t="n">
        <v>1415</v>
      </c>
      <c r="D4939" s="177" t="n">
        <v>4</v>
      </c>
      <c r="E4939" s="178" t="inlineStr">
        <is>
          <t>1415/04/14</t>
        </is>
      </c>
      <c r="F4939" s="134" t="inlineStr">
        <is>
          <t>1415/04</t>
        </is>
      </c>
      <c r="G4939" s="61" t="inlineStr">
        <is>
          <t>تیر</t>
        </is>
      </c>
      <c r="H4939" s="134" t="inlineStr">
        <is>
          <t>تابستان</t>
        </is>
      </c>
      <c r="I4939" s="134" t="inlineStr">
        <is>
          <t>جمعه</t>
        </is>
      </c>
      <c r="J4939" s="134" t="inlineStr">
        <is>
          <t>بله</t>
        </is>
      </c>
    </row>
    <row r="4940">
      <c r="A4940" s="173" t="n">
        <v>49861</v>
      </c>
      <c r="B4940" s="174" t="n">
        <v>49861</v>
      </c>
      <c r="C4940" s="174" t="n">
        <v>1415</v>
      </c>
      <c r="D4940" s="174" t="n">
        <v>4</v>
      </c>
      <c r="E4940" s="175" t="inlineStr">
        <is>
          <t>1415/04/15</t>
        </is>
      </c>
      <c r="F4940" s="128" t="inlineStr">
        <is>
          <t>1415/04</t>
        </is>
      </c>
      <c r="G4940" s="58" t="inlineStr">
        <is>
          <t>تیر</t>
        </is>
      </c>
      <c r="H4940" s="128" t="inlineStr">
        <is>
          <t>تابستان</t>
        </is>
      </c>
      <c r="I4940" s="128" t="inlineStr">
        <is>
          <t>شنبه</t>
        </is>
      </c>
      <c r="J4940" s="128" t="inlineStr">
        <is>
          <t>خیر</t>
        </is>
      </c>
    </row>
    <row r="4941">
      <c r="A4941" s="176" t="n">
        <v>49862</v>
      </c>
      <c r="B4941" s="177" t="n">
        <v>49862</v>
      </c>
      <c r="C4941" s="177" t="n">
        <v>1415</v>
      </c>
      <c r="D4941" s="177" t="n">
        <v>4</v>
      </c>
      <c r="E4941" s="178" t="inlineStr">
        <is>
          <t>1415/04/16</t>
        </is>
      </c>
      <c r="F4941" s="134" t="inlineStr">
        <is>
          <t>1415/04</t>
        </is>
      </c>
      <c r="G4941" s="61" t="inlineStr">
        <is>
          <t>تیر</t>
        </is>
      </c>
      <c r="H4941" s="134" t="inlineStr">
        <is>
          <t>تابستان</t>
        </is>
      </c>
      <c r="I4941" s="134" t="inlineStr">
        <is>
          <t>یکشنبه</t>
        </is>
      </c>
      <c r="J4941" s="134" t="inlineStr">
        <is>
          <t>خیر</t>
        </is>
      </c>
    </row>
    <row r="4942">
      <c r="A4942" s="173" t="n">
        <v>49863</v>
      </c>
      <c r="B4942" s="174" t="n">
        <v>49863</v>
      </c>
      <c r="C4942" s="174" t="n">
        <v>1415</v>
      </c>
      <c r="D4942" s="174" t="n">
        <v>4</v>
      </c>
      <c r="E4942" s="175" t="inlineStr">
        <is>
          <t>1415/04/17</t>
        </is>
      </c>
      <c r="F4942" s="128" t="inlineStr">
        <is>
          <t>1415/04</t>
        </is>
      </c>
      <c r="G4942" s="58" t="inlineStr">
        <is>
          <t>تیر</t>
        </is>
      </c>
      <c r="H4942" s="128" t="inlineStr">
        <is>
          <t>تابستان</t>
        </is>
      </c>
      <c r="I4942" s="128" t="inlineStr">
        <is>
          <t>دوشنبه</t>
        </is>
      </c>
      <c r="J4942" s="128" t="inlineStr">
        <is>
          <t>بله</t>
        </is>
      </c>
    </row>
    <row r="4943">
      <c r="A4943" s="176" t="n">
        <v>49864</v>
      </c>
      <c r="B4943" s="177" t="n">
        <v>49864</v>
      </c>
      <c r="C4943" s="177" t="n">
        <v>1415</v>
      </c>
      <c r="D4943" s="177" t="n">
        <v>4</v>
      </c>
      <c r="E4943" s="178" t="inlineStr">
        <is>
          <t>1415/04/18</t>
        </is>
      </c>
      <c r="F4943" s="134" t="inlineStr">
        <is>
          <t>1415/04</t>
        </is>
      </c>
      <c r="G4943" s="61" t="inlineStr">
        <is>
          <t>تیر</t>
        </is>
      </c>
      <c r="H4943" s="134" t="inlineStr">
        <is>
          <t>تابستان</t>
        </is>
      </c>
      <c r="I4943" s="134" t="inlineStr">
        <is>
          <t>سه‌شنبه</t>
        </is>
      </c>
      <c r="J4943" s="134" t="inlineStr">
        <is>
          <t>بله</t>
        </is>
      </c>
    </row>
    <row r="4944">
      <c r="A4944" s="173" t="n">
        <v>49865</v>
      </c>
      <c r="B4944" s="174" t="n">
        <v>49865</v>
      </c>
      <c r="C4944" s="174" t="n">
        <v>1415</v>
      </c>
      <c r="D4944" s="174" t="n">
        <v>4</v>
      </c>
      <c r="E4944" s="175" t="inlineStr">
        <is>
          <t>1415/04/19</t>
        </is>
      </c>
      <c r="F4944" s="128" t="inlineStr">
        <is>
          <t>1415/04</t>
        </is>
      </c>
      <c r="G4944" s="58" t="inlineStr">
        <is>
          <t>تیر</t>
        </is>
      </c>
      <c r="H4944" s="128" t="inlineStr">
        <is>
          <t>تابستان</t>
        </is>
      </c>
      <c r="I4944" s="128" t="inlineStr">
        <is>
          <t>چهارشنبه</t>
        </is>
      </c>
      <c r="J4944" s="128" t="inlineStr">
        <is>
          <t>بله</t>
        </is>
      </c>
    </row>
    <row r="4945">
      <c r="A4945" s="176" t="n">
        <v>49866</v>
      </c>
      <c r="B4945" s="177" t="n">
        <v>49866</v>
      </c>
      <c r="C4945" s="177" t="n">
        <v>1415</v>
      </c>
      <c r="D4945" s="177" t="n">
        <v>4</v>
      </c>
      <c r="E4945" s="178" t="inlineStr">
        <is>
          <t>1415/04/20</t>
        </is>
      </c>
      <c r="F4945" s="134" t="inlineStr">
        <is>
          <t>1415/04</t>
        </is>
      </c>
      <c r="G4945" s="61" t="inlineStr">
        <is>
          <t>تیر</t>
        </is>
      </c>
      <c r="H4945" s="134" t="inlineStr">
        <is>
          <t>تابستان</t>
        </is>
      </c>
      <c r="I4945" s="134" t="inlineStr">
        <is>
          <t>پنجشنبه</t>
        </is>
      </c>
      <c r="J4945" s="134" t="inlineStr">
        <is>
          <t>بله</t>
        </is>
      </c>
    </row>
    <row r="4946">
      <c r="A4946" s="173" t="n">
        <v>49867</v>
      </c>
      <c r="B4946" s="174" t="n">
        <v>49867</v>
      </c>
      <c r="C4946" s="174" t="n">
        <v>1415</v>
      </c>
      <c r="D4946" s="174" t="n">
        <v>4</v>
      </c>
      <c r="E4946" s="175" t="inlineStr">
        <is>
          <t>1415/04/21</t>
        </is>
      </c>
      <c r="F4946" s="128" t="inlineStr">
        <is>
          <t>1415/04</t>
        </is>
      </c>
      <c r="G4946" s="58" t="inlineStr">
        <is>
          <t>تیر</t>
        </is>
      </c>
      <c r="H4946" s="128" t="inlineStr">
        <is>
          <t>تابستان</t>
        </is>
      </c>
      <c r="I4946" s="128" t="inlineStr">
        <is>
          <t>جمعه</t>
        </is>
      </c>
      <c r="J4946" s="128" t="inlineStr">
        <is>
          <t>بله</t>
        </is>
      </c>
    </row>
    <row r="4947">
      <c r="A4947" s="176" t="n">
        <v>49868</v>
      </c>
      <c r="B4947" s="177" t="n">
        <v>49868</v>
      </c>
      <c r="C4947" s="177" t="n">
        <v>1415</v>
      </c>
      <c r="D4947" s="177" t="n">
        <v>4</v>
      </c>
      <c r="E4947" s="178" t="inlineStr">
        <is>
          <t>1415/04/22</t>
        </is>
      </c>
      <c r="F4947" s="134" t="inlineStr">
        <is>
          <t>1415/04</t>
        </is>
      </c>
      <c r="G4947" s="61" t="inlineStr">
        <is>
          <t>تیر</t>
        </is>
      </c>
      <c r="H4947" s="134" t="inlineStr">
        <is>
          <t>تابستان</t>
        </is>
      </c>
      <c r="I4947" s="134" t="inlineStr">
        <is>
          <t>شنبه</t>
        </is>
      </c>
      <c r="J4947" s="134" t="inlineStr">
        <is>
          <t>خیر</t>
        </is>
      </c>
    </row>
    <row r="4948">
      <c r="A4948" s="173" t="n">
        <v>49869</v>
      </c>
      <c r="B4948" s="174" t="n">
        <v>49869</v>
      </c>
      <c r="C4948" s="174" t="n">
        <v>1415</v>
      </c>
      <c r="D4948" s="174" t="n">
        <v>4</v>
      </c>
      <c r="E4948" s="175" t="inlineStr">
        <is>
          <t>1415/04/23</t>
        </is>
      </c>
      <c r="F4948" s="128" t="inlineStr">
        <is>
          <t>1415/04</t>
        </is>
      </c>
      <c r="G4948" s="58" t="inlineStr">
        <is>
          <t>تیر</t>
        </is>
      </c>
      <c r="H4948" s="128" t="inlineStr">
        <is>
          <t>تابستان</t>
        </is>
      </c>
      <c r="I4948" s="128" t="inlineStr">
        <is>
          <t>یکشنبه</t>
        </is>
      </c>
      <c r="J4948" s="128" t="inlineStr">
        <is>
          <t>خیر</t>
        </is>
      </c>
    </row>
    <row r="4949">
      <c r="A4949" s="176" t="n">
        <v>49870</v>
      </c>
      <c r="B4949" s="177" t="n">
        <v>49870</v>
      </c>
      <c r="C4949" s="177" t="n">
        <v>1415</v>
      </c>
      <c r="D4949" s="177" t="n">
        <v>4</v>
      </c>
      <c r="E4949" s="178" t="inlineStr">
        <is>
          <t>1415/04/24</t>
        </is>
      </c>
      <c r="F4949" s="134" t="inlineStr">
        <is>
          <t>1415/04</t>
        </is>
      </c>
      <c r="G4949" s="61" t="inlineStr">
        <is>
          <t>تیر</t>
        </is>
      </c>
      <c r="H4949" s="134" t="inlineStr">
        <is>
          <t>تابستان</t>
        </is>
      </c>
      <c r="I4949" s="134" t="inlineStr">
        <is>
          <t>دوشنبه</t>
        </is>
      </c>
      <c r="J4949" s="134" t="inlineStr">
        <is>
          <t>بله</t>
        </is>
      </c>
    </row>
    <row r="4950">
      <c r="A4950" s="173" t="n">
        <v>49871</v>
      </c>
      <c r="B4950" s="174" t="n">
        <v>49871</v>
      </c>
      <c r="C4950" s="174" t="n">
        <v>1415</v>
      </c>
      <c r="D4950" s="174" t="n">
        <v>4</v>
      </c>
      <c r="E4950" s="175" t="inlineStr">
        <is>
          <t>1415/04/25</t>
        </is>
      </c>
      <c r="F4950" s="128" t="inlineStr">
        <is>
          <t>1415/04</t>
        </is>
      </c>
      <c r="G4950" s="58" t="inlineStr">
        <is>
          <t>تیر</t>
        </is>
      </c>
      <c r="H4950" s="128" t="inlineStr">
        <is>
          <t>تابستان</t>
        </is>
      </c>
      <c r="I4950" s="128" t="inlineStr">
        <is>
          <t>سه‌شنبه</t>
        </is>
      </c>
      <c r="J4950" s="128" t="inlineStr">
        <is>
          <t>بله</t>
        </is>
      </c>
    </row>
    <row r="4951">
      <c r="A4951" s="176" t="n">
        <v>49872</v>
      </c>
      <c r="B4951" s="177" t="n">
        <v>49872</v>
      </c>
      <c r="C4951" s="177" t="n">
        <v>1415</v>
      </c>
      <c r="D4951" s="177" t="n">
        <v>4</v>
      </c>
      <c r="E4951" s="178" t="inlineStr">
        <is>
          <t>1415/04/26</t>
        </is>
      </c>
      <c r="F4951" s="134" t="inlineStr">
        <is>
          <t>1415/04</t>
        </is>
      </c>
      <c r="G4951" s="61" t="inlineStr">
        <is>
          <t>تیر</t>
        </is>
      </c>
      <c r="H4951" s="134" t="inlineStr">
        <is>
          <t>تابستان</t>
        </is>
      </c>
      <c r="I4951" s="134" t="inlineStr">
        <is>
          <t>چهارشنبه</t>
        </is>
      </c>
      <c r="J4951" s="134" t="inlineStr">
        <is>
          <t>بله</t>
        </is>
      </c>
    </row>
    <row r="4952">
      <c r="A4952" s="173" t="n">
        <v>49873</v>
      </c>
      <c r="B4952" s="174" t="n">
        <v>49873</v>
      </c>
      <c r="C4952" s="174" t="n">
        <v>1415</v>
      </c>
      <c r="D4952" s="174" t="n">
        <v>4</v>
      </c>
      <c r="E4952" s="175" t="inlineStr">
        <is>
          <t>1415/04/27</t>
        </is>
      </c>
      <c r="F4952" s="128" t="inlineStr">
        <is>
          <t>1415/04</t>
        </is>
      </c>
      <c r="G4952" s="58" t="inlineStr">
        <is>
          <t>تیر</t>
        </is>
      </c>
      <c r="H4952" s="128" t="inlineStr">
        <is>
          <t>تابستان</t>
        </is>
      </c>
      <c r="I4952" s="128" t="inlineStr">
        <is>
          <t>پنجشنبه</t>
        </is>
      </c>
      <c r="J4952" s="128" t="inlineStr">
        <is>
          <t>بله</t>
        </is>
      </c>
    </row>
    <row r="4953">
      <c r="A4953" s="176" t="n">
        <v>49874</v>
      </c>
      <c r="B4953" s="177" t="n">
        <v>49874</v>
      </c>
      <c r="C4953" s="177" t="n">
        <v>1415</v>
      </c>
      <c r="D4953" s="177" t="n">
        <v>4</v>
      </c>
      <c r="E4953" s="178" t="inlineStr">
        <is>
          <t>1415/04/28</t>
        </is>
      </c>
      <c r="F4953" s="134" t="inlineStr">
        <is>
          <t>1415/04</t>
        </is>
      </c>
      <c r="G4953" s="61" t="inlineStr">
        <is>
          <t>تیر</t>
        </is>
      </c>
      <c r="H4953" s="134" t="inlineStr">
        <is>
          <t>تابستان</t>
        </is>
      </c>
      <c r="I4953" s="134" t="inlineStr">
        <is>
          <t>جمعه</t>
        </is>
      </c>
      <c r="J4953" s="134" t="inlineStr">
        <is>
          <t>بله</t>
        </is>
      </c>
    </row>
    <row r="4954">
      <c r="A4954" s="173" t="n">
        <v>49875</v>
      </c>
      <c r="B4954" s="174" t="n">
        <v>49875</v>
      </c>
      <c r="C4954" s="174" t="n">
        <v>1415</v>
      </c>
      <c r="D4954" s="174" t="n">
        <v>4</v>
      </c>
      <c r="E4954" s="175" t="inlineStr">
        <is>
          <t>1415/04/29</t>
        </is>
      </c>
      <c r="F4954" s="128" t="inlineStr">
        <is>
          <t>1415/04</t>
        </is>
      </c>
      <c r="G4954" s="58" t="inlineStr">
        <is>
          <t>تیر</t>
        </is>
      </c>
      <c r="H4954" s="128" t="inlineStr">
        <is>
          <t>تابستان</t>
        </is>
      </c>
      <c r="I4954" s="128" t="inlineStr">
        <is>
          <t>شنبه</t>
        </is>
      </c>
      <c r="J4954" s="128" t="inlineStr">
        <is>
          <t>خیر</t>
        </is>
      </c>
    </row>
    <row r="4955">
      <c r="A4955" s="176" t="n">
        <v>49876</v>
      </c>
      <c r="B4955" s="177" t="n">
        <v>49876</v>
      </c>
      <c r="C4955" s="177" t="n">
        <v>1415</v>
      </c>
      <c r="D4955" s="177" t="n">
        <v>4</v>
      </c>
      <c r="E4955" s="178" t="inlineStr">
        <is>
          <t>1415/04/30</t>
        </is>
      </c>
      <c r="F4955" s="134" t="inlineStr">
        <is>
          <t>1415/04</t>
        </is>
      </c>
      <c r="G4955" s="61" t="inlineStr">
        <is>
          <t>تیر</t>
        </is>
      </c>
      <c r="H4955" s="134" t="inlineStr">
        <is>
          <t>تابستان</t>
        </is>
      </c>
      <c r="I4955" s="134" t="inlineStr">
        <is>
          <t>یکشنبه</t>
        </is>
      </c>
      <c r="J4955" s="134" t="inlineStr">
        <is>
          <t>خیر</t>
        </is>
      </c>
    </row>
    <row r="4956">
      <c r="A4956" s="173" t="n">
        <v>49877</v>
      </c>
      <c r="B4956" s="174" t="n">
        <v>49877</v>
      </c>
      <c r="C4956" s="174" t="n">
        <v>1415</v>
      </c>
      <c r="D4956" s="174" t="n">
        <v>4</v>
      </c>
      <c r="E4956" s="175" t="inlineStr">
        <is>
          <t>1415/04/31</t>
        </is>
      </c>
      <c r="F4956" s="128" t="inlineStr">
        <is>
          <t>1415/04</t>
        </is>
      </c>
      <c r="G4956" s="58" t="inlineStr">
        <is>
          <t>تیر</t>
        </is>
      </c>
      <c r="H4956" s="128" t="inlineStr">
        <is>
          <t>تابستان</t>
        </is>
      </c>
      <c r="I4956" s="128" t="inlineStr">
        <is>
          <t>دوشنبه</t>
        </is>
      </c>
      <c r="J4956" s="128" t="inlineStr">
        <is>
          <t>بله</t>
        </is>
      </c>
    </row>
    <row r="4957">
      <c r="A4957" s="176" t="n">
        <v>49878</v>
      </c>
      <c r="B4957" s="177" t="n">
        <v>49878</v>
      </c>
      <c r="C4957" s="177" t="n">
        <v>1415</v>
      </c>
      <c r="D4957" s="177" t="n">
        <v>5</v>
      </c>
      <c r="E4957" s="178" t="inlineStr">
        <is>
          <t>1415/05/01</t>
        </is>
      </c>
      <c r="F4957" s="134" t="inlineStr">
        <is>
          <t>1415/05</t>
        </is>
      </c>
      <c r="G4957" s="61" t="inlineStr">
        <is>
          <t>مرداد</t>
        </is>
      </c>
      <c r="H4957" s="134" t="inlineStr">
        <is>
          <t>تابستان</t>
        </is>
      </c>
      <c r="I4957" s="134" t="inlineStr">
        <is>
          <t>سه‌شنبه</t>
        </is>
      </c>
      <c r="J4957" s="134" t="inlineStr">
        <is>
          <t>بله</t>
        </is>
      </c>
    </row>
    <row r="4958">
      <c r="A4958" s="173" t="n">
        <v>49879</v>
      </c>
      <c r="B4958" s="174" t="n">
        <v>49879</v>
      </c>
      <c r="C4958" s="174" t="n">
        <v>1415</v>
      </c>
      <c r="D4958" s="174" t="n">
        <v>5</v>
      </c>
      <c r="E4958" s="175" t="inlineStr">
        <is>
          <t>1415/05/02</t>
        </is>
      </c>
      <c r="F4958" s="128" t="inlineStr">
        <is>
          <t>1415/05</t>
        </is>
      </c>
      <c r="G4958" s="58" t="inlineStr">
        <is>
          <t>مرداد</t>
        </is>
      </c>
      <c r="H4958" s="128" t="inlineStr">
        <is>
          <t>تابستان</t>
        </is>
      </c>
      <c r="I4958" s="128" t="inlineStr">
        <is>
          <t>چهارشنبه</t>
        </is>
      </c>
      <c r="J4958" s="128" t="inlineStr">
        <is>
          <t>بله</t>
        </is>
      </c>
    </row>
    <row r="4959">
      <c r="A4959" s="176" t="n">
        <v>49880</v>
      </c>
      <c r="B4959" s="177" t="n">
        <v>49880</v>
      </c>
      <c r="C4959" s="177" t="n">
        <v>1415</v>
      </c>
      <c r="D4959" s="177" t="n">
        <v>5</v>
      </c>
      <c r="E4959" s="178" t="inlineStr">
        <is>
          <t>1415/05/03</t>
        </is>
      </c>
      <c r="F4959" s="134" t="inlineStr">
        <is>
          <t>1415/05</t>
        </is>
      </c>
      <c r="G4959" s="61" t="inlineStr">
        <is>
          <t>مرداد</t>
        </is>
      </c>
      <c r="H4959" s="134" t="inlineStr">
        <is>
          <t>تابستان</t>
        </is>
      </c>
      <c r="I4959" s="134" t="inlineStr">
        <is>
          <t>پنجشنبه</t>
        </is>
      </c>
      <c r="J4959" s="134" t="inlineStr">
        <is>
          <t>بله</t>
        </is>
      </c>
    </row>
    <row r="4960">
      <c r="A4960" s="173" t="n">
        <v>49881</v>
      </c>
      <c r="B4960" s="174" t="n">
        <v>49881</v>
      </c>
      <c r="C4960" s="174" t="n">
        <v>1415</v>
      </c>
      <c r="D4960" s="174" t="n">
        <v>5</v>
      </c>
      <c r="E4960" s="175" t="inlineStr">
        <is>
          <t>1415/05/04</t>
        </is>
      </c>
      <c r="F4960" s="128" t="inlineStr">
        <is>
          <t>1415/05</t>
        </is>
      </c>
      <c r="G4960" s="58" t="inlineStr">
        <is>
          <t>مرداد</t>
        </is>
      </c>
      <c r="H4960" s="128" t="inlineStr">
        <is>
          <t>تابستان</t>
        </is>
      </c>
      <c r="I4960" s="128" t="inlineStr">
        <is>
          <t>جمعه</t>
        </is>
      </c>
      <c r="J4960" s="128" t="inlineStr">
        <is>
          <t>بله</t>
        </is>
      </c>
    </row>
    <row r="4961">
      <c r="A4961" s="176" t="n">
        <v>49882</v>
      </c>
      <c r="B4961" s="177" t="n">
        <v>49882</v>
      </c>
      <c r="C4961" s="177" t="n">
        <v>1415</v>
      </c>
      <c r="D4961" s="177" t="n">
        <v>5</v>
      </c>
      <c r="E4961" s="178" t="inlineStr">
        <is>
          <t>1415/05/05</t>
        </is>
      </c>
      <c r="F4961" s="134" t="inlineStr">
        <is>
          <t>1415/05</t>
        </is>
      </c>
      <c r="G4961" s="61" t="inlineStr">
        <is>
          <t>مرداد</t>
        </is>
      </c>
      <c r="H4961" s="134" t="inlineStr">
        <is>
          <t>تابستان</t>
        </is>
      </c>
      <c r="I4961" s="134" t="inlineStr">
        <is>
          <t>شنبه</t>
        </is>
      </c>
      <c r="J4961" s="134" t="inlineStr">
        <is>
          <t>خیر</t>
        </is>
      </c>
    </row>
    <row r="4962">
      <c r="A4962" s="173" t="n">
        <v>49883</v>
      </c>
      <c r="B4962" s="174" t="n">
        <v>49883</v>
      </c>
      <c r="C4962" s="174" t="n">
        <v>1415</v>
      </c>
      <c r="D4962" s="174" t="n">
        <v>5</v>
      </c>
      <c r="E4962" s="175" t="inlineStr">
        <is>
          <t>1415/05/06</t>
        </is>
      </c>
      <c r="F4962" s="128" t="inlineStr">
        <is>
          <t>1415/05</t>
        </is>
      </c>
      <c r="G4962" s="58" t="inlineStr">
        <is>
          <t>مرداد</t>
        </is>
      </c>
      <c r="H4962" s="128" t="inlineStr">
        <is>
          <t>تابستان</t>
        </is>
      </c>
      <c r="I4962" s="128" t="inlineStr">
        <is>
          <t>یکشنبه</t>
        </is>
      </c>
      <c r="J4962" s="128" t="inlineStr">
        <is>
          <t>خیر</t>
        </is>
      </c>
    </row>
    <row r="4963">
      <c r="A4963" s="176" t="n">
        <v>49884</v>
      </c>
      <c r="B4963" s="177" t="n">
        <v>49884</v>
      </c>
      <c r="C4963" s="177" t="n">
        <v>1415</v>
      </c>
      <c r="D4963" s="177" t="n">
        <v>5</v>
      </c>
      <c r="E4963" s="178" t="inlineStr">
        <is>
          <t>1415/05/07</t>
        </is>
      </c>
      <c r="F4963" s="134" t="inlineStr">
        <is>
          <t>1415/05</t>
        </is>
      </c>
      <c r="G4963" s="61" t="inlineStr">
        <is>
          <t>مرداد</t>
        </is>
      </c>
      <c r="H4963" s="134" t="inlineStr">
        <is>
          <t>تابستان</t>
        </is>
      </c>
      <c r="I4963" s="134" t="inlineStr">
        <is>
          <t>دوشنبه</t>
        </is>
      </c>
      <c r="J4963" s="134" t="inlineStr">
        <is>
          <t>بله</t>
        </is>
      </c>
    </row>
    <row r="4964">
      <c r="A4964" s="173" t="n">
        <v>49885</v>
      </c>
      <c r="B4964" s="174" t="n">
        <v>49885</v>
      </c>
      <c r="C4964" s="174" t="n">
        <v>1415</v>
      </c>
      <c r="D4964" s="174" t="n">
        <v>5</v>
      </c>
      <c r="E4964" s="175" t="inlineStr">
        <is>
          <t>1415/05/08</t>
        </is>
      </c>
      <c r="F4964" s="128" t="inlineStr">
        <is>
          <t>1415/05</t>
        </is>
      </c>
      <c r="G4964" s="58" t="inlineStr">
        <is>
          <t>مرداد</t>
        </is>
      </c>
      <c r="H4964" s="128" t="inlineStr">
        <is>
          <t>تابستان</t>
        </is>
      </c>
      <c r="I4964" s="128" t="inlineStr">
        <is>
          <t>سه‌شنبه</t>
        </is>
      </c>
      <c r="J4964" s="128" t="inlineStr">
        <is>
          <t>بله</t>
        </is>
      </c>
    </row>
    <row r="4965">
      <c r="A4965" s="176" t="n">
        <v>49886</v>
      </c>
      <c r="B4965" s="177" t="n">
        <v>49886</v>
      </c>
      <c r="C4965" s="177" t="n">
        <v>1415</v>
      </c>
      <c r="D4965" s="177" t="n">
        <v>5</v>
      </c>
      <c r="E4965" s="178" t="inlineStr">
        <is>
          <t>1415/05/09</t>
        </is>
      </c>
      <c r="F4965" s="134" t="inlineStr">
        <is>
          <t>1415/05</t>
        </is>
      </c>
      <c r="G4965" s="61" t="inlineStr">
        <is>
          <t>مرداد</t>
        </is>
      </c>
      <c r="H4965" s="134" t="inlineStr">
        <is>
          <t>تابستان</t>
        </is>
      </c>
      <c r="I4965" s="134" t="inlineStr">
        <is>
          <t>چهارشنبه</t>
        </is>
      </c>
      <c r="J4965" s="134" t="inlineStr">
        <is>
          <t>بله</t>
        </is>
      </c>
    </row>
    <row r="4966">
      <c r="A4966" s="173" t="n">
        <v>49887</v>
      </c>
      <c r="B4966" s="174" t="n">
        <v>49887</v>
      </c>
      <c r="C4966" s="174" t="n">
        <v>1415</v>
      </c>
      <c r="D4966" s="174" t="n">
        <v>5</v>
      </c>
      <c r="E4966" s="175" t="inlineStr">
        <is>
          <t>1415/05/10</t>
        </is>
      </c>
      <c r="F4966" s="128" t="inlineStr">
        <is>
          <t>1415/05</t>
        </is>
      </c>
      <c r="G4966" s="58" t="inlineStr">
        <is>
          <t>مرداد</t>
        </is>
      </c>
      <c r="H4966" s="128" t="inlineStr">
        <is>
          <t>تابستان</t>
        </is>
      </c>
      <c r="I4966" s="128" t="inlineStr">
        <is>
          <t>پنجشنبه</t>
        </is>
      </c>
      <c r="J4966" s="128" t="inlineStr">
        <is>
          <t>بله</t>
        </is>
      </c>
    </row>
    <row r="4967">
      <c r="A4967" s="176" t="n">
        <v>49888</v>
      </c>
      <c r="B4967" s="177" t="n">
        <v>49888</v>
      </c>
      <c r="C4967" s="177" t="n">
        <v>1415</v>
      </c>
      <c r="D4967" s="177" t="n">
        <v>5</v>
      </c>
      <c r="E4967" s="178" t="inlineStr">
        <is>
          <t>1415/05/11</t>
        </is>
      </c>
      <c r="F4967" s="134" t="inlineStr">
        <is>
          <t>1415/05</t>
        </is>
      </c>
      <c r="G4967" s="61" t="inlineStr">
        <is>
          <t>مرداد</t>
        </is>
      </c>
      <c r="H4967" s="134" t="inlineStr">
        <is>
          <t>تابستان</t>
        </is>
      </c>
      <c r="I4967" s="134" t="inlineStr">
        <is>
          <t>جمعه</t>
        </is>
      </c>
      <c r="J4967" s="134" t="inlineStr">
        <is>
          <t>بله</t>
        </is>
      </c>
    </row>
    <row r="4968">
      <c r="A4968" s="173" t="n">
        <v>49889</v>
      </c>
      <c r="B4968" s="174" t="n">
        <v>49889</v>
      </c>
      <c r="C4968" s="174" t="n">
        <v>1415</v>
      </c>
      <c r="D4968" s="174" t="n">
        <v>5</v>
      </c>
      <c r="E4968" s="175" t="inlineStr">
        <is>
          <t>1415/05/12</t>
        </is>
      </c>
      <c r="F4968" s="128" t="inlineStr">
        <is>
          <t>1415/05</t>
        </is>
      </c>
      <c r="G4968" s="58" t="inlineStr">
        <is>
          <t>مرداد</t>
        </is>
      </c>
      <c r="H4968" s="128" t="inlineStr">
        <is>
          <t>تابستان</t>
        </is>
      </c>
      <c r="I4968" s="128" t="inlineStr">
        <is>
          <t>شنبه</t>
        </is>
      </c>
      <c r="J4968" s="128" t="inlineStr">
        <is>
          <t>خیر</t>
        </is>
      </c>
    </row>
    <row r="4969">
      <c r="A4969" s="176" t="n">
        <v>49890</v>
      </c>
      <c r="B4969" s="177" t="n">
        <v>49890</v>
      </c>
      <c r="C4969" s="177" t="n">
        <v>1415</v>
      </c>
      <c r="D4969" s="177" t="n">
        <v>5</v>
      </c>
      <c r="E4969" s="178" t="inlineStr">
        <is>
          <t>1415/05/13</t>
        </is>
      </c>
      <c r="F4969" s="134" t="inlineStr">
        <is>
          <t>1415/05</t>
        </is>
      </c>
      <c r="G4969" s="61" t="inlineStr">
        <is>
          <t>مرداد</t>
        </is>
      </c>
      <c r="H4969" s="134" t="inlineStr">
        <is>
          <t>تابستان</t>
        </is>
      </c>
      <c r="I4969" s="134" t="inlineStr">
        <is>
          <t>یکشنبه</t>
        </is>
      </c>
      <c r="J4969" s="134" t="inlineStr">
        <is>
          <t>خیر</t>
        </is>
      </c>
    </row>
    <row r="4970">
      <c r="A4970" s="173" t="n">
        <v>49891</v>
      </c>
      <c r="B4970" s="174" t="n">
        <v>49891</v>
      </c>
      <c r="C4970" s="174" t="n">
        <v>1415</v>
      </c>
      <c r="D4970" s="174" t="n">
        <v>5</v>
      </c>
      <c r="E4970" s="175" t="inlineStr">
        <is>
          <t>1415/05/14</t>
        </is>
      </c>
      <c r="F4970" s="128" t="inlineStr">
        <is>
          <t>1415/05</t>
        </is>
      </c>
      <c r="G4970" s="58" t="inlineStr">
        <is>
          <t>مرداد</t>
        </is>
      </c>
      <c r="H4970" s="128" t="inlineStr">
        <is>
          <t>تابستان</t>
        </is>
      </c>
      <c r="I4970" s="128" t="inlineStr">
        <is>
          <t>دوشنبه</t>
        </is>
      </c>
      <c r="J4970" s="128" t="inlineStr">
        <is>
          <t>بله</t>
        </is>
      </c>
    </row>
    <row r="4971">
      <c r="A4971" s="176" t="n">
        <v>49892</v>
      </c>
      <c r="B4971" s="177" t="n">
        <v>49892</v>
      </c>
      <c r="C4971" s="177" t="n">
        <v>1415</v>
      </c>
      <c r="D4971" s="177" t="n">
        <v>5</v>
      </c>
      <c r="E4971" s="178" t="inlineStr">
        <is>
          <t>1415/05/15</t>
        </is>
      </c>
      <c r="F4971" s="134" t="inlineStr">
        <is>
          <t>1415/05</t>
        </is>
      </c>
      <c r="G4971" s="61" t="inlineStr">
        <is>
          <t>مرداد</t>
        </is>
      </c>
      <c r="H4971" s="134" t="inlineStr">
        <is>
          <t>تابستان</t>
        </is>
      </c>
      <c r="I4971" s="134" t="inlineStr">
        <is>
          <t>سه‌شنبه</t>
        </is>
      </c>
      <c r="J4971" s="134" t="inlineStr">
        <is>
          <t>بله</t>
        </is>
      </c>
    </row>
    <row r="4972">
      <c r="A4972" s="173" t="n">
        <v>49893</v>
      </c>
      <c r="B4972" s="174" t="n">
        <v>49893</v>
      </c>
      <c r="C4972" s="174" t="n">
        <v>1415</v>
      </c>
      <c r="D4972" s="174" t="n">
        <v>5</v>
      </c>
      <c r="E4972" s="175" t="inlineStr">
        <is>
          <t>1415/05/16</t>
        </is>
      </c>
      <c r="F4972" s="128" t="inlineStr">
        <is>
          <t>1415/05</t>
        </is>
      </c>
      <c r="G4972" s="58" t="inlineStr">
        <is>
          <t>مرداد</t>
        </is>
      </c>
      <c r="H4972" s="128" t="inlineStr">
        <is>
          <t>تابستان</t>
        </is>
      </c>
      <c r="I4972" s="128" t="inlineStr">
        <is>
          <t>چهارشنبه</t>
        </is>
      </c>
      <c r="J4972" s="128" t="inlineStr">
        <is>
          <t>بله</t>
        </is>
      </c>
    </row>
    <row r="4973">
      <c r="A4973" s="176" t="n">
        <v>49894</v>
      </c>
      <c r="B4973" s="177" t="n">
        <v>49894</v>
      </c>
      <c r="C4973" s="177" t="n">
        <v>1415</v>
      </c>
      <c r="D4973" s="177" t="n">
        <v>5</v>
      </c>
      <c r="E4973" s="178" t="inlineStr">
        <is>
          <t>1415/05/17</t>
        </is>
      </c>
      <c r="F4973" s="134" t="inlineStr">
        <is>
          <t>1415/05</t>
        </is>
      </c>
      <c r="G4973" s="61" t="inlineStr">
        <is>
          <t>مرداد</t>
        </is>
      </c>
      <c r="H4973" s="134" t="inlineStr">
        <is>
          <t>تابستان</t>
        </is>
      </c>
      <c r="I4973" s="134" t="inlineStr">
        <is>
          <t>پنجشنبه</t>
        </is>
      </c>
      <c r="J4973" s="134" t="inlineStr">
        <is>
          <t>بله</t>
        </is>
      </c>
    </row>
    <row r="4974">
      <c r="A4974" s="173" t="n">
        <v>49895</v>
      </c>
      <c r="B4974" s="174" t="n">
        <v>49895</v>
      </c>
      <c r="C4974" s="174" t="n">
        <v>1415</v>
      </c>
      <c r="D4974" s="174" t="n">
        <v>5</v>
      </c>
      <c r="E4974" s="175" t="inlineStr">
        <is>
          <t>1415/05/18</t>
        </is>
      </c>
      <c r="F4974" s="128" t="inlineStr">
        <is>
          <t>1415/05</t>
        </is>
      </c>
      <c r="G4974" s="58" t="inlineStr">
        <is>
          <t>مرداد</t>
        </is>
      </c>
      <c r="H4974" s="128" t="inlineStr">
        <is>
          <t>تابستان</t>
        </is>
      </c>
      <c r="I4974" s="128" t="inlineStr">
        <is>
          <t>جمعه</t>
        </is>
      </c>
      <c r="J4974" s="128" t="inlineStr">
        <is>
          <t>بله</t>
        </is>
      </c>
    </row>
    <row r="4975">
      <c r="A4975" s="176" t="n">
        <v>49896</v>
      </c>
      <c r="B4975" s="177" t="n">
        <v>49896</v>
      </c>
      <c r="C4975" s="177" t="n">
        <v>1415</v>
      </c>
      <c r="D4975" s="177" t="n">
        <v>5</v>
      </c>
      <c r="E4975" s="178" t="inlineStr">
        <is>
          <t>1415/05/19</t>
        </is>
      </c>
      <c r="F4975" s="134" t="inlineStr">
        <is>
          <t>1415/05</t>
        </is>
      </c>
      <c r="G4975" s="61" t="inlineStr">
        <is>
          <t>مرداد</t>
        </is>
      </c>
      <c r="H4975" s="134" t="inlineStr">
        <is>
          <t>تابستان</t>
        </is>
      </c>
      <c r="I4975" s="134" t="inlineStr">
        <is>
          <t>شنبه</t>
        </is>
      </c>
      <c r="J4975" s="134" t="inlineStr">
        <is>
          <t>خیر</t>
        </is>
      </c>
    </row>
    <row r="4976">
      <c r="A4976" s="173" t="n">
        <v>49897</v>
      </c>
      <c r="B4976" s="174" t="n">
        <v>49897</v>
      </c>
      <c r="C4976" s="174" t="n">
        <v>1415</v>
      </c>
      <c r="D4976" s="174" t="n">
        <v>5</v>
      </c>
      <c r="E4976" s="175" t="inlineStr">
        <is>
          <t>1415/05/20</t>
        </is>
      </c>
      <c r="F4976" s="128" t="inlineStr">
        <is>
          <t>1415/05</t>
        </is>
      </c>
      <c r="G4976" s="58" t="inlineStr">
        <is>
          <t>مرداد</t>
        </is>
      </c>
      <c r="H4976" s="128" t="inlineStr">
        <is>
          <t>تابستان</t>
        </is>
      </c>
      <c r="I4976" s="128" t="inlineStr">
        <is>
          <t>یکشنبه</t>
        </is>
      </c>
      <c r="J4976" s="128" t="inlineStr">
        <is>
          <t>خیر</t>
        </is>
      </c>
    </row>
    <row r="4977">
      <c r="A4977" s="176" t="n">
        <v>49898</v>
      </c>
      <c r="B4977" s="177" t="n">
        <v>49898</v>
      </c>
      <c r="C4977" s="177" t="n">
        <v>1415</v>
      </c>
      <c r="D4977" s="177" t="n">
        <v>5</v>
      </c>
      <c r="E4977" s="178" t="inlineStr">
        <is>
          <t>1415/05/21</t>
        </is>
      </c>
      <c r="F4977" s="134" t="inlineStr">
        <is>
          <t>1415/05</t>
        </is>
      </c>
      <c r="G4977" s="61" t="inlineStr">
        <is>
          <t>مرداد</t>
        </is>
      </c>
      <c r="H4977" s="134" t="inlineStr">
        <is>
          <t>تابستان</t>
        </is>
      </c>
      <c r="I4977" s="134" t="inlineStr">
        <is>
          <t>دوشنبه</t>
        </is>
      </c>
      <c r="J4977" s="134" t="inlineStr">
        <is>
          <t>بله</t>
        </is>
      </c>
    </row>
    <row r="4978">
      <c r="A4978" s="173" t="n">
        <v>49899</v>
      </c>
      <c r="B4978" s="174" t="n">
        <v>49899</v>
      </c>
      <c r="C4978" s="174" t="n">
        <v>1415</v>
      </c>
      <c r="D4978" s="174" t="n">
        <v>5</v>
      </c>
      <c r="E4978" s="175" t="inlineStr">
        <is>
          <t>1415/05/22</t>
        </is>
      </c>
      <c r="F4978" s="128" t="inlineStr">
        <is>
          <t>1415/05</t>
        </is>
      </c>
      <c r="G4978" s="58" t="inlineStr">
        <is>
          <t>مرداد</t>
        </is>
      </c>
      <c r="H4978" s="128" t="inlineStr">
        <is>
          <t>تابستان</t>
        </is>
      </c>
      <c r="I4978" s="128" t="inlineStr">
        <is>
          <t>سه‌شنبه</t>
        </is>
      </c>
      <c r="J4978" s="128" t="inlineStr">
        <is>
          <t>بله</t>
        </is>
      </c>
    </row>
    <row r="4979">
      <c r="A4979" s="176" t="n">
        <v>49900</v>
      </c>
      <c r="B4979" s="177" t="n">
        <v>49900</v>
      </c>
      <c r="C4979" s="177" t="n">
        <v>1415</v>
      </c>
      <c r="D4979" s="177" t="n">
        <v>5</v>
      </c>
      <c r="E4979" s="178" t="inlineStr">
        <is>
          <t>1415/05/23</t>
        </is>
      </c>
      <c r="F4979" s="134" t="inlineStr">
        <is>
          <t>1415/05</t>
        </is>
      </c>
      <c r="G4979" s="61" t="inlineStr">
        <is>
          <t>مرداد</t>
        </is>
      </c>
      <c r="H4979" s="134" t="inlineStr">
        <is>
          <t>تابستان</t>
        </is>
      </c>
      <c r="I4979" s="134" t="inlineStr">
        <is>
          <t>چهارشنبه</t>
        </is>
      </c>
      <c r="J4979" s="134" t="inlineStr">
        <is>
          <t>بله</t>
        </is>
      </c>
    </row>
    <row r="4980">
      <c r="A4980" s="173" t="n">
        <v>49901</v>
      </c>
      <c r="B4980" s="174" t="n">
        <v>49901</v>
      </c>
      <c r="C4980" s="174" t="n">
        <v>1415</v>
      </c>
      <c r="D4980" s="174" t="n">
        <v>5</v>
      </c>
      <c r="E4980" s="175" t="inlineStr">
        <is>
          <t>1415/05/24</t>
        </is>
      </c>
      <c r="F4980" s="128" t="inlineStr">
        <is>
          <t>1415/05</t>
        </is>
      </c>
      <c r="G4980" s="58" t="inlineStr">
        <is>
          <t>مرداد</t>
        </is>
      </c>
      <c r="H4980" s="128" t="inlineStr">
        <is>
          <t>تابستان</t>
        </is>
      </c>
      <c r="I4980" s="128" t="inlineStr">
        <is>
          <t>پنجشنبه</t>
        </is>
      </c>
      <c r="J4980" s="128" t="inlineStr">
        <is>
          <t>بله</t>
        </is>
      </c>
    </row>
    <row r="4981">
      <c r="A4981" s="176" t="n">
        <v>49902</v>
      </c>
      <c r="B4981" s="177" t="n">
        <v>49902</v>
      </c>
      <c r="C4981" s="177" t="n">
        <v>1415</v>
      </c>
      <c r="D4981" s="177" t="n">
        <v>5</v>
      </c>
      <c r="E4981" s="178" t="inlineStr">
        <is>
          <t>1415/05/25</t>
        </is>
      </c>
      <c r="F4981" s="134" t="inlineStr">
        <is>
          <t>1415/05</t>
        </is>
      </c>
      <c r="G4981" s="61" t="inlineStr">
        <is>
          <t>مرداد</t>
        </is>
      </c>
      <c r="H4981" s="134" t="inlineStr">
        <is>
          <t>تابستان</t>
        </is>
      </c>
      <c r="I4981" s="134" t="inlineStr">
        <is>
          <t>جمعه</t>
        </is>
      </c>
      <c r="J4981" s="134" t="inlineStr">
        <is>
          <t>بله</t>
        </is>
      </c>
    </row>
    <row r="4982">
      <c r="A4982" s="173" t="n">
        <v>49903</v>
      </c>
      <c r="B4982" s="174" t="n">
        <v>49903</v>
      </c>
      <c r="C4982" s="174" t="n">
        <v>1415</v>
      </c>
      <c r="D4982" s="174" t="n">
        <v>5</v>
      </c>
      <c r="E4982" s="175" t="inlineStr">
        <is>
          <t>1415/05/26</t>
        </is>
      </c>
      <c r="F4982" s="128" t="inlineStr">
        <is>
          <t>1415/05</t>
        </is>
      </c>
      <c r="G4982" s="58" t="inlineStr">
        <is>
          <t>مرداد</t>
        </is>
      </c>
      <c r="H4982" s="128" t="inlineStr">
        <is>
          <t>تابستان</t>
        </is>
      </c>
      <c r="I4982" s="128" t="inlineStr">
        <is>
          <t>شنبه</t>
        </is>
      </c>
      <c r="J4982" s="128" t="inlineStr">
        <is>
          <t>خیر</t>
        </is>
      </c>
    </row>
    <row r="4983">
      <c r="A4983" s="176" t="n">
        <v>49904</v>
      </c>
      <c r="B4983" s="177" t="n">
        <v>49904</v>
      </c>
      <c r="C4983" s="177" t="n">
        <v>1415</v>
      </c>
      <c r="D4983" s="177" t="n">
        <v>5</v>
      </c>
      <c r="E4983" s="178" t="inlineStr">
        <is>
          <t>1415/05/27</t>
        </is>
      </c>
      <c r="F4983" s="134" t="inlineStr">
        <is>
          <t>1415/05</t>
        </is>
      </c>
      <c r="G4983" s="61" t="inlineStr">
        <is>
          <t>مرداد</t>
        </is>
      </c>
      <c r="H4983" s="134" t="inlineStr">
        <is>
          <t>تابستان</t>
        </is>
      </c>
      <c r="I4983" s="134" t="inlineStr">
        <is>
          <t>یکشنبه</t>
        </is>
      </c>
      <c r="J4983" s="134" t="inlineStr">
        <is>
          <t>خیر</t>
        </is>
      </c>
    </row>
    <row r="4984">
      <c r="A4984" s="173" t="n">
        <v>49905</v>
      </c>
      <c r="B4984" s="174" t="n">
        <v>49905</v>
      </c>
      <c r="C4984" s="174" t="n">
        <v>1415</v>
      </c>
      <c r="D4984" s="174" t="n">
        <v>5</v>
      </c>
      <c r="E4984" s="175" t="inlineStr">
        <is>
          <t>1415/05/28</t>
        </is>
      </c>
      <c r="F4984" s="128" t="inlineStr">
        <is>
          <t>1415/05</t>
        </is>
      </c>
      <c r="G4984" s="58" t="inlineStr">
        <is>
          <t>مرداد</t>
        </is>
      </c>
      <c r="H4984" s="128" t="inlineStr">
        <is>
          <t>تابستان</t>
        </is>
      </c>
      <c r="I4984" s="128" t="inlineStr">
        <is>
          <t>دوشنبه</t>
        </is>
      </c>
      <c r="J4984" s="128" t="inlineStr">
        <is>
          <t>بله</t>
        </is>
      </c>
    </row>
    <row r="4985">
      <c r="A4985" s="176" t="n">
        <v>49906</v>
      </c>
      <c r="B4985" s="177" t="n">
        <v>49906</v>
      </c>
      <c r="C4985" s="177" t="n">
        <v>1415</v>
      </c>
      <c r="D4985" s="177" t="n">
        <v>5</v>
      </c>
      <c r="E4985" s="178" t="inlineStr">
        <is>
          <t>1415/05/29</t>
        </is>
      </c>
      <c r="F4985" s="134" t="inlineStr">
        <is>
          <t>1415/05</t>
        </is>
      </c>
      <c r="G4985" s="61" t="inlineStr">
        <is>
          <t>مرداد</t>
        </is>
      </c>
      <c r="H4985" s="134" t="inlineStr">
        <is>
          <t>تابستان</t>
        </is>
      </c>
      <c r="I4985" s="134" t="inlineStr">
        <is>
          <t>سه‌شنبه</t>
        </is>
      </c>
      <c r="J4985" s="134" t="inlineStr">
        <is>
          <t>بله</t>
        </is>
      </c>
    </row>
    <row r="4986">
      <c r="A4986" s="173" t="n">
        <v>49907</v>
      </c>
      <c r="B4986" s="174" t="n">
        <v>49907</v>
      </c>
      <c r="C4986" s="174" t="n">
        <v>1415</v>
      </c>
      <c r="D4986" s="174" t="n">
        <v>5</v>
      </c>
      <c r="E4986" s="175" t="inlineStr">
        <is>
          <t>1415/05/30</t>
        </is>
      </c>
      <c r="F4986" s="128" t="inlineStr">
        <is>
          <t>1415/05</t>
        </is>
      </c>
      <c r="G4986" s="58" t="inlineStr">
        <is>
          <t>مرداد</t>
        </is>
      </c>
      <c r="H4986" s="128" t="inlineStr">
        <is>
          <t>تابستان</t>
        </is>
      </c>
      <c r="I4986" s="128" t="inlineStr">
        <is>
          <t>چهارشنبه</t>
        </is>
      </c>
      <c r="J4986" s="128" t="inlineStr">
        <is>
          <t>بله</t>
        </is>
      </c>
    </row>
    <row r="4987">
      <c r="A4987" s="176" t="n">
        <v>49908</v>
      </c>
      <c r="B4987" s="177" t="n">
        <v>49908</v>
      </c>
      <c r="C4987" s="177" t="n">
        <v>1415</v>
      </c>
      <c r="D4987" s="177" t="n">
        <v>5</v>
      </c>
      <c r="E4987" s="178" t="inlineStr">
        <is>
          <t>1415/05/31</t>
        </is>
      </c>
      <c r="F4987" s="134" t="inlineStr">
        <is>
          <t>1415/05</t>
        </is>
      </c>
      <c r="G4987" s="61" t="inlineStr">
        <is>
          <t>مرداد</t>
        </is>
      </c>
      <c r="H4987" s="134" t="inlineStr">
        <is>
          <t>تابستان</t>
        </is>
      </c>
      <c r="I4987" s="134" t="inlineStr">
        <is>
          <t>پنجشنبه</t>
        </is>
      </c>
      <c r="J4987" s="134" t="inlineStr">
        <is>
          <t>بله</t>
        </is>
      </c>
    </row>
    <row r="4988">
      <c r="A4988" s="173" t="n">
        <v>49909</v>
      </c>
      <c r="B4988" s="174" t="n">
        <v>49909</v>
      </c>
      <c r="C4988" s="174" t="n">
        <v>1415</v>
      </c>
      <c r="D4988" s="174" t="n">
        <v>6</v>
      </c>
      <c r="E4988" s="175" t="inlineStr">
        <is>
          <t>1415/06/01</t>
        </is>
      </c>
      <c r="F4988" s="128" t="inlineStr">
        <is>
          <t>1415/06</t>
        </is>
      </c>
      <c r="G4988" s="58" t="inlineStr">
        <is>
          <t>شهریور</t>
        </is>
      </c>
      <c r="H4988" s="128" t="inlineStr">
        <is>
          <t>تابستان</t>
        </is>
      </c>
      <c r="I4988" s="128" t="inlineStr">
        <is>
          <t>جمعه</t>
        </is>
      </c>
      <c r="J4988" s="128" t="inlineStr">
        <is>
          <t>بله</t>
        </is>
      </c>
    </row>
    <row r="4989">
      <c r="A4989" s="176" t="n">
        <v>49910</v>
      </c>
      <c r="B4989" s="177" t="n">
        <v>49910</v>
      </c>
      <c r="C4989" s="177" t="n">
        <v>1415</v>
      </c>
      <c r="D4989" s="177" t="n">
        <v>6</v>
      </c>
      <c r="E4989" s="178" t="inlineStr">
        <is>
          <t>1415/06/02</t>
        </is>
      </c>
      <c r="F4989" s="134" t="inlineStr">
        <is>
          <t>1415/06</t>
        </is>
      </c>
      <c r="G4989" s="61" t="inlineStr">
        <is>
          <t>شهریور</t>
        </is>
      </c>
      <c r="H4989" s="134" t="inlineStr">
        <is>
          <t>تابستان</t>
        </is>
      </c>
      <c r="I4989" s="134" t="inlineStr">
        <is>
          <t>شنبه</t>
        </is>
      </c>
      <c r="J4989" s="134" t="inlineStr">
        <is>
          <t>خیر</t>
        </is>
      </c>
    </row>
    <row r="4990">
      <c r="A4990" s="173" t="n">
        <v>49911</v>
      </c>
      <c r="B4990" s="174" t="n">
        <v>49911</v>
      </c>
      <c r="C4990" s="174" t="n">
        <v>1415</v>
      </c>
      <c r="D4990" s="174" t="n">
        <v>6</v>
      </c>
      <c r="E4990" s="175" t="inlineStr">
        <is>
          <t>1415/06/03</t>
        </is>
      </c>
      <c r="F4990" s="128" t="inlineStr">
        <is>
          <t>1415/06</t>
        </is>
      </c>
      <c r="G4990" s="58" t="inlineStr">
        <is>
          <t>شهریور</t>
        </is>
      </c>
      <c r="H4990" s="128" t="inlineStr">
        <is>
          <t>تابستان</t>
        </is>
      </c>
      <c r="I4990" s="128" t="inlineStr">
        <is>
          <t>یکشنبه</t>
        </is>
      </c>
      <c r="J4990" s="128" t="inlineStr">
        <is>
          <t>خیر</t>
        </is>
      </c>
    </row>
    <row r="4991">
      <c r="A4991" s="176" t="n">
        <v>49912</v>
      </c>
      <c r="B4991" s="177" t="n">
        <v>49912</v>
      </c>
      <c r="C4991" s="177" t="n">
        <v>1415</v>
      </c>
      <c r="D4991" s="177" t="n">
        <v>6</v>
      </c>
      <c r="E4991" s="178" t="inlineStr">
        <is>
          <t>1415/06/04</t>
        </is>
      </c>
      <c r="F4991" s="134" t="inlineStr">
        <is>
          <t>1415/06</t>
        </is>
      </c>
      <c r="G4991" s="61" t="inlineStr">
        <is>
          <t>شهریور</t>
        </is>
      </c>
      <c r="H4991" s="134" t="inlineStr">
        <is>
          <t>تابستان</t>
        </is>
      </c>
      <c r="I4991" s="134" t="inlineStr">
        <is>
          <t>دوشنبه</t>
        </is>
      </c>
      <c r="J4991" s="134" t="inlineStr">
        <is>
          <t>بله</t>
        </is>
      </c>
    </row>
    <row r="4992">
      <c r="A4992" s="173" t="n">
        <v>49913</v>
      </c>
      <c r="B4992" s="174" t="n">
        <v>49913</v>
      </c>
      <c r="C4992" s="174" t="n">
        <v>1415</v>
      </c>
      <c r="D4992" s="174" t="n">
        <v>6</v>
      </c>
      <c r="E4992" s="175" t="inlineStr">
        <is>
          <t>1415/06/05</t>
        </is>
      </c>
      <c r="F4992" s="128" t="inlineStr">
        <is>
          <t>1415/06</t>
        </is>
      </c>
      <c r="G4992" s="58" t="inlineStr">
        <is>
          <t>شهریور</t>
        </is>
      </c>
      <c r="H4992" s="128" t="inlineStr">
        <is>
          <t>تابستان</t>
        </is>
      </c>
      <c r="I4992" s="128" t="inlineStr">
        <is>
          <t>سه‌شنبه</t>
        </is>
      </c>
      <c r="J4992" s="128" t="inlineStr">
        <is>
          <t>بله</t>
        </is>
      </c>
    </row>
    <row r="4993">
      <c r="A4993" s="176" t="n">
        <v>49914</v>
      </c>
      <c r="B4993" s="177" t="n">
        <v>49914</v>
      </c>
      <c r="C4993" s="177" t="n">
        <v>1415</v>
      </c>
      <c r="D4993" s="177" t="n">
        <v>6</v>
      </c>
      <c r="E4993" s="178" t="inlineStr">
        <is>
          <t>1415/06/06</t>
        </is>
      </c>
      <c r="F4993" s="134" t="inlineStr">
        <is>
          <t>1415/06</t>
        </is>
      </c>
      <c r="G4993" s="61" t="inlineStr">
        <is>
          <t>شهریور</t>
        </is>
      </c>
      <c r="H4993" s="134" t="inlineStr">
        <is>
          <t>تابستان</t>
        </is>
      </c>
      <c r="I4993" s="134" t="inlineStr">
        <is>
          <t>چهارشنبه</t>
        </is>
      </c>
      <c r="J4993" s="134" t="inlineStr">
        <is>
          <t>بله</t>
        </is>
      </c>
    </row>
    <row r="4994">
      <c r="A4994" s="173" t="n">
        <v>49915</v>
      </c>
      <c r="B4994" s="174" t="n">
        <v>49915</v>
      </c>
      <c r="C4994" s="174" t="n">
        <v>1415</v>
      </c>
      <c r="D4994" s="174" t="n">
        <v>6</v>
      </c>
      <c r="E4994" s="175" t="inlineStr">
        <is>
          <t>1415/06/07</t>
        </is>
      </c>
      <c r="F4994" s="128" t="inlineStr">
        <is>
          <t>1415/06</t>
        </is>
      </c>
      <c r="G4994" s="58" t="inlineStr">
        <is>
          <t>شهریور</t>
        </is>
      </c>
      <c r="H4994" s="128" t="inlineStr">
        <is>
          <t>تابستان</t>
        </is>
      </c>
      <c r="I4994" s="128" t="inlineStr">
        <is>
          <t>پنجشنبه</t>
        </is>
      </c>
      <c r="J4994" s="128" t="inlineStr">
        <is>
          <t>بله</t>
        </is>
      </c>
    </row>
    <row r="4995">
      <c r="A4995" s="176" t="n">
        <v>49916</v>
      </c>
      <c r="B4995" s="177" t="n">
        <v>49916</v>
      </c>
      <c r="C4995" s="177" t="n">
        <v>1415</v>
      </c>
      <c r="D4995" s="177" t="n">
        <v>6</v>
      </c>
      <c r="E4995" s="178" t="inlineStr">
        <is>
          <t>1415/06/08</t>
        </is>
      </c>
      <c r="F4995" s="134" t="inlineStr">
        <is>
          <t>1415/06</t>
        </is>
      </c>
      <c r="G4995" s="61" t="inlineStr">
        <is>
          <t>شهریور</t>
        </is>
      </c>
      <c r="H4995" s="134" t="inlineStr">
        <is>
          <t>تابستان</t>
        </is>
      </c>
      <c r="I4995" s="134" t="inlineStr">
        <is>
          <t>جمعه</t>
        </is>
      </c>
      <c r="J4995" s="134" t="inlineStr">
        <is>
          <t>بله</t>
        </is>
      </c>
    </row>
    <row r="4996">
      <c r="A4996" s="173" t="n">
        <v>49917</v>
      </c>
      <c r="B4996" s="174" t="n">
        <v>49917</v>
      </c>
      <c r="C4996" s="174" t="n">
        <v>1415</v>
      </c>
      <c r="D4996" s="174" t="n">
        <v>6</v>
      </c>
      <c r="E4996" s="175" t="inlineStr">
        <is>
          <t>1415/06/09</t>
        </is>
      </c>
      <c r="F4996" s="128" t="inlineStr">
        <is>
          <t>1415/06</t>
        </is>
      </c>
      <c r="G4996" s="58" t="inlineStr">
        <is>
          <t>شهریور</t>
        </is>
      </c>
      <c r="H4996" s="128" t="inlineStr">
        <is>
          <t>تابستان</t>
        </is>
      </c>
      <c r="I4996" s="128" t="inlineStr">
        <is>
          <t>شنبه</t>
        </is>
      </c>
      <c r="J4996" s="128" t="inlineStr">
        <is>
          <t>خیر</t>
        </is>
      </c>
    </row>
    <row r="4997">
      <c r="A4997" s="176" t="n">
        <v>49918</v>
      </c>
      <c r="B4997" s="177" t="n">
        <v>49918</v>
      </c>
      <c r="C4997" s="177" t="n">
        <v>1415</v>
      </c>
      <c r="D4997" s="177" t="n">
        <v>6</v>
      </c>
      <c r="E4997" s="178" t="inlineStr">
        <is>
          <t>1415/06/10</t>
        </is>
      </c>
      <c r="F4997" s="134" t="inlineStr">
        <is>
          <t>1415/06</t>
        </is>
      </c>
      <c r="G4997" s="61" t="inlineStr">
        <is>
          <t>شهریور</t>
        </is>
      </c>
      <c r="H4997" s="134" t="inlineStr">
        <is>
          <t>تابستان</t>
        </is>
      </c>
      <c r="I4997" s="134" t="inlineStr">
        <is>
          <t>یکشنبه</t>
        </is>
      </c>
      <c r="J4997" s="134" t="inlineStr">
        <is>
          <t>خیر</t>
        </is>
      </c>
    </row>
    <row r="4998">
      <c r="A4998" s="173" t="n">
        <v>49919</v>
      </c>
      <c r="B4998" s="174" t="n">
        <v>49919</v>
      </c>
      <c r="C4998" s="174" t="n">
        <v>1415</v>
      </c>
      <c r="D4998" s="174" t="n">
        <v>6</v>
      </c>
      <c r="E4998" s="175" t="inlineStr">
        <is>
          <t>1415/06/11</t>
        </is>
      </c>
      <c r="F4998" s="128" t="inlineStr">
        <is>
          <t>1415/06</t>
        </is>
      </c>
      <c r="G4998" s="58" t="inlineStr">
        <is>
          <t>شهریور</t>
        </is>
      </c>
      <c r="H4998" s="128" t="inlineStr">
        <is>
          <t>تابستان</t>
        </is>
      </c>
      <c r="I4998" s="128" t="inlineStr">
        <is>
          <t>دوشنبه</t>
        </is>
      </c>
      <c r="J4998" s="128" t="inlineStr">
        <is>
          <t>بله</t>
        </is>
      </c>
    </row>
    <row r="4999">
      <c r="A4999" s="176" t="n">
        <v>49920</v>
      </c>
      <c r="B4999" s="177" t="n">
        <v>49920</v>
      </c>
      <c r="C4999" s="177" t="n">
        <v>1415</v>
      </c>
      <c r="D4999" s="177" t="n">
        <v>6</v>
      </c>
      <c r="E4999" s="178" t="inlineStr">
        <is>
          <t>1415/06/12</t>
        </is>
      </c>
      <c r="F4999" s="134" t="inlineStr">
        <is>
          <t>1415/06</t>
        </is>
      </c>
      <c r="G4999" s="61" t="inlineStr">
        <is>
          <t>شهریور</t>
        </is>
      </c>
      <c r="H4999" s="134" t="inlineStr">
        <is>
          <t>تابستان</t>
        </is>
      </c>
      <c r="I4999" s="134" t="inlineStr">
        <is>
          <t>سه‌شنبه</t>
        </is>
      </c>
      <c r="J4999" s="134" t="inlineStr">
        <is>
          <t>بله</t>
        </is>
      </c>
    </row>
    <row r="5000">
      <c r="A5000" s="173" t="n">
        <v>49921</v>
      </c>
      <c r="B5000" s="174" t="n">
        <v>49921</v>
      </c>
      <c r="C5000" s="174" t="n">
        <v>1415</v>
      </c>
      <c r="D5000" s="174" t="n">
        <v>6</v>
      </c>
      <c r="E5000" s="175" t="inlineStr">
        <is>
          <t>1415/06/13</t>
        </is>
      </c>
      <c r="F5000" s="128" t="inlineStr">
        <is>
          <t>1415/06</t>
        </is>
      </c>
      <c r="G5000" s="58" t="inlineStr">
        <is>
          <t>شهریور</t>
        </is>
      </c>
      <c r="H5000" s="128" t="inlineStr">
        <is>
          <t>تابستان</t>
        </is>
      </c>
      <c r="I5000" s="128" t="inlineStr">
        <is>
          <t>چهارشنبه</t>
        </is>
      </c>
      <c r="J5000" s="128" t="inlineStr">
        <is>
          <t>بله</t>
        </is>
      </c>
    </row>
    <row r="5001">
      <c r="A5001" s="176" t="n">
        <v>49922</v>
      </c>
      <c r="B5001" s="177" t="n">
        <v>49922</v>
      </c>
      <c r="C5001" s="177" t="n">
        <v>1415</v>
      </c>
      <c r="D5001" s="177" t="n">
        <v>6</v>
      </c>
      <c r="E5001" s="178" t="inlineStr">
        <is>
          <t>1415/06/14</t>
        </is>
      </c>
      <c r="F5001" s="134" t="inlineStr">
        <is>
          <t>1415/06</t>
        </is>
      </c>
      <c r="G5001" s="61" t="inlineStr">
        <is>
          <t>شهریور</t>
        </is>
      </c>
      <c r="H5001" s="134" t="inlineStr">
        <is>
          <t>تابستان</t>
        </is>
      </c>
      <c r="I5001" s="134" t="inlineStr">
        <is>
          <t>پنجشنبه</t>
        </is>
      </c>
      <c r="J5001" s="134" t="inlineStr">
        <is>
          <t>بله</t>
        </is>
      </c>
    </row>
    <row r="5002">
      <c r="A5002" s="173" t="n">
        <v>49923</v>
      </c>
      <c r="B5002" s="174" t="n">
        <v>49923</v>
      </c>
      <c r="C5002" s="174" t="n">
        <v>1415</v>
      </c>
      <c r="D5002" s="174" t="n">
        <v>6</v>
      </c>
      <c r="E5002" s="175" t="inlineStr">
        <is>
          <t>1415/06/15</t>
        </is>
      </c>
      <c r="F5002" s="128" t="inlineStr">
        <is>
          <t>1415/06</t>
        </is>
      </c>
      <c r="G5002" s="58" t="inlineStr">
        <is>
          <t>شهریور</t>
        </is>
      </c>
      <c r="H5002" s="128" t="inlineStr">
        <is>
          <t>تابستان</t>
        </is>
      </c>
      <c r="I5002" s="128" t="inlineStr">
        <is>
          <t>جمعه</t>
        </is>
      </c>
      <c r="J5002" s="128" t="inlineStr">
        <is>
          <t>بله</t>
        </is>
      </c>
    </row>
    <row r="5003">
      <c r="A5003" s="176" t="n">
        <v>49924</v>
      </c>
      <c r="B5003" s="177" t="n">
        <v>49924</v>
      </c>
      <c r="C5003" s="177" t="n">
        <v>1415</v>
      </c>
      <c r="D5003" s="177" t="n">
        <v>6</v>
      </c>
      <c r="E5003" s="178" t="inlineStr">
        <is>
          <t>1415/06/16</t>
        </is>
      </c>
      <c r="F5003" s="134" t="inlineStr">
        <is>
          <t>1415/06</t>
        </is>
      </c>
      <c r="G5003" s="61" t="inlineStr">
        <is>
          <t>شهریور</t>
        </is>
      </c>
      <c r="H5003" s="134" t="inlineStr">
        <is>
          <t>تابستان</t>
        </is>
      </c>
      <c r="I5003" s="134" t="inlineStr">
        <is>
          <t>شنبه</t>
        </is>
      </c>
      <c r="J5003" s="134" t="inlineStr">
        <is>
          <t>خیر</t>
        </is>
      </c>
    </row>
    <row r="5004">
      <c r="A5004" s="173" t="n">
        <v>49925</v>
      </c>
      <c r="B5004" s="174" t="n">
        <v>49925</v>
      </c>
      <c r="C5004" s="174" t="n">
        <v>1415</v>
      </c>
      <c r="D5004" s="174" t="n">
        <v>6</v>
      </c>
      <c r="E5004" s="175" t="inlineStr">
        <is>
          <t>1415/06/17</t>
        </is>
      </c>
      <c r="F5004" s="128" t="inlineStr">
        <is>
          <t>1415/06</t>
        </is>
      </c>
      <c r="G5004" s="58" t="inlineStr">
        <is>
          <t>شهریور</t>
        </is>
      </c>
      <c r="H5004" s="128" t="inlineStr">
        <is>
          <t>تابستان</t>
        </is>
      </c>
      <c r="I5004" s="128" t="inlineStr">
        <is>
          <t>یکشنبه</t>
        </is>
      </c>
      <c r="J5004" s="128" t="inlineStr">
        <is>
          <t>خیر</t>
        </is>
      </c>
    </row>
    <row r="5005">
      <c r="A5005" s="176" t="n">
        <v>49926</v>
      </c>
      <c r="B5005" s="177" t="n">
        <v>49926</v>
      </c>
      <c r="C5005" s="177" t="n">
        <v>1415</v>
      </c>
      <c r="D5005" s="177" t="n">
        <v>6</v>
      </c>
      <c r="E5005" s="178" t="inlineStr">
        <is>
          <t>1415/06/18</t>
        </is>
      </c>
      <c r="F5005" s="134" t="inlineStr">
        <is>
          <t>1415/06</t>
        </is>
      </c>
      <c r="G5005" s="61" t="inlineStr">
        <is>
          <t>شهریور</t>
        </is>
      </c>
      <c r="H5005" s="134" t="inlineStr">
        <is>
          <t>تابستان</t>
        </is>
      </c>
      <c r="I5005" s="134" t="inlineStr">
        <is>
          <t>دوشنبه</t>
        </is>
      </c>
      <c r="J5005" s="134" t="inlineStr">
        <is>
          <t>بله</t>
        </is>
      </c>
    </row>
    <row r="5006">
      <c r="A5006" s="173" t="n">
        <v>49927</v>
      </c>
      <c r="B5006" s="174" t="n">
        <v>49927</v>
      </c>
      <c r="C5006" s="174" t="n">
        <v>1415</v>
      </c>
      <c r="D5006" s="174" t="n">
        <v>6</v>
      </c>
      <c r="E5006" s="175" t="inlineStr">
        <is>
          <t>1415/06/19</t>
        </is>
      </c>
      <c r="F5006" s="128" t="inlineStr">
        <is>
          <t>1415/06</t>
        </is>
      </c>
      <c r="G5006" s="58" t="inlineStr">
        <is>
          <t>شهریور</t>
        </is>
      </c>
      <c r="H5006" s="128" t="inlineStr">
        <is>
          <t>تابستان</t>
        </is>
      </c>
      <c r="I5006" s="128" t="inlineStr">
        <is>
          <t>سه‌شنبه</t>
        </is>
      </c>
      <c r="J5006" s="128" t="inlineStr">
        <is>
          <t>بله</t>
        </is>
      </c>
    </row>
    <row r="5007">
      <c r="A5007" s="176" t="n">
        <v>49928</v>
      </c>
      <c r="B5007" s="177" t="n">
        <v>49928</v>
      </c>
      <c r="C5007" s="177" t="n">
        <v>1415</v>
      </c>
      <c r="D5007" s="177" t="n">
        <v>6</v>
      </c>
      <c r="E5007" s="178" t="inlineStr">
        <is>
          <t>1415/06/20</t>
        </is>
      </c>
      <c r="F5007" s="134" t="inlineStr">
        <is>
          <t>1415/06</t>
        </is>
      </c>
      <c r="G5007" s="61" t="inlineStr">
        <is>
          <t>شهریور</t>
        </is>
      </c>
      <c r="H5007" s="134" t="inlineStr">
        <is>
          <t>تابستان</t>
        </is>
      </c>
      <c r="I5007" s="134" t="inlineStr">
        <is>
          <t>چهارشنبه</t>
        </is>
      </c>
      <c r="J5007" s="134" t="inlineStr">
        <is>
          <t>بله</t>
        </is>
      </c>
    </row>
    <row r="5008">
      <c r="A5008" s="173" t="n">
        <v>49929</v>
      </c>
      <c r="B5008" s="174" t="n">
        <v>49929</v>
      </c>
      <c r="C5008" s="174" t="n">
        <v>1415</v>
      </c>
      <c r="D5008" s="174" t="n">
        <v>6</v>
      </c>
      <c r="E5008" s="175" t="inlineStr">
        <is>
          <t>1415/06/21</t>
        </is>
      </c>
      <c r="F5008" s="128" t="inlineStr">
        <is>
          <t>1415/06</t>
        </is>
      </c>
      <c r="G5008" s="58" t="inlineStr">
        <is>
          <t>شهریور</t>
        </is>
      </c>
      <c r="H5008" s="128" t="inlineStr">
        <is>
          <t>تابستان</t>
        </is>
      </c>
      <c r="I5008" s="128" t="inlineStr">
        <is>
          <t>پنجشنبه</t>
        </is>
      </c>
      <c r="J5008" s="128" t="inlineStr">
        <is>
          <t>بله</t>
        </is>
      </c>
    </row>
    <row r="5009">
      <c r="A5009" s="176" t="n">
        <v>49930</v>
      </c>
      <c r="B5009" s="177" t="n">
        <v>49930</v>
      </c>
      <c r="C5009" s="177" t="n">
        <v>1415</v>
      </c>
      <c r="D5009" s="177" t="n">
        <v>6</v>
      </c>
      <c r="E5009" s="178" t="inlineStr">
        <is>
          <t>1415/06/22</t>
        </is>
      </c>
      <c r="F5009" s="134" t="inlineStr">
        <is>
          <t>1415/06</t>
        </is>
      </c>
      <c r="G5009" s="61" t="inlineStr">
        <is>
          <t>شهریور</t>
        </is>
      </c>
      <c r="H5009" s="134" t="inlineStr">
        <is>
          <t>تابستان</t>
        </is>
      </c>
      <c r="I5009" s="134" t="inlineStr">
        <is>
          <t>جمعه</t>
        </is>
      </c>
      <c r="J5009" s="134" t="inlineStr">
        <is>
          <t>بله</t>
        </is>
      </c>
    </row>
    <row r="5010">
      <c r="A5010" s="173" t="n">
        <v>49931</v>
      </c>
      <c r="B5010" s="174" t="n">
        <v>49931</v>
      </c>
      <c r="C5010" s="174" t="n">
        <v>1415</v>
      </c>
      <c r="D5010" s="174" t="n">
        <v>6</v>
      </c>
      <c r="E5010" s="175" t="inlineStr">
        <is>
          <t>1415/06/23</t>
        </is>
      </c>
      <c r="F5010" s="128" t="inlineStr">
        <is>
          <t>1415/06</t>
        </is>
      </c>
      <c r="G5010" s="58" t="inlineStr">
        <is>
          <t>شهریور</t>
        </is>
      </c>
      <c r="H5010" s="128" t="inlineStr">
        <is>
          <t>تابستان</t>
        </is>
      </c>
      <c r="I5010" s="128" t="inlineStr">
        <is>
          <t>شنبه</t>
        </is>
      </c>
      <c r="J5010" s="128" t="inlineStr">
        <is>
          <t>خیر</t>
        </is>
      </c>
    </row>
    <row r="5011">
      <c r="A5011" s="176" t="n">
        <v>49932</v>
      </c>
      <c r="B5011" s="177" t="n">
        <v>49932</v>
      </c>
      <c r="C5011" s="177" t="n">
        <v>1415</v>
      </c>
      <c r="D5011" s="177" t="n">
        <v>6</v>
      </c>
      <c r="E5011" s="178" t="inlineStr">
        <is>
          <t>1415/06/24</t>
        </is>
      </c>
      <c r="F5011" s="134" t="inlineStr">
        <is>
          <t>1415/06</t>
        </is>
      </c>
      <c r="G5011" s="61" t="inlineStr">
        <is>
          <t>شهریور</t>
        </is>
      </c>
      <c r="H5011" s="134" t="inlineStr">
        <is>
          <t>تابستان</t>
        </is>
      </c>
      <c r="I5011" s="134" t="inlineStr">
        <is>
          <t>یکشنبه</t>
        </is>
      </c>
      <c r="J5011" s="134" t="inlineStr">
        <is>
          <t>خیر</t>
        </is>
      </c>
    </row>
    <row r="5012">
      <c r="A5012" s="173" t="n">
        <v>49933</v>
      </c>
      <c r="B5012" s="174" t="n">
        <v>49933</v>
      </c>
      <c r="C5012" s="174" t="n">
        <v>1415</v>
      </c>
      <c r="D5012" s="174" t="n">
        <v>6</v>
      </c>
      <c r="E5012" s="175" t="inlineStr">
        <is>
          <t>1415/06/25</t>
        </is>
      </c>
      <c r="F5012" s="128" t="inlineStr">
        <is>
          <t>1415/06</t>
        </is>
      </c>
      <c r="G5012" s="58" t="inlineStr">
        <is>
          <t>شهریور</t>
        </is>
      </c>
      <c r="H5012" s="128" t="inlineStr">
        <is>
          <t>تابستان</t>
        </is>
      </c>
      <c r="I5012" s="128" t="inlineStr">
        <is>
          <t>دوشنبه</t>
        </is>
      </c>
      <c r="J5012" s="128" t="inlineStr">
        <is>
          <t>بله</t>
        </is>
      </c>
    </row>
    <row r="5013">
      <c r="A5013" s="176" t="n">
        <v>49934</v>
      </c>
      <c r="B5013" s="177" t="n">
        <v>49934</v>
      </c>
      <c r="C5013" s="177" t="n">
        <v>1415</v>
      </c>
      <c r="D5013" s="177" t="n">
        <v>6</v>
      </c>
      <c r="E5013" s="178" t="inlineStr">
        <is>
          <t>1415/06/26</t>
        </is>
      </c>
      <c r="F5013" s="134" t="inlineStr">
        <is>
          <t>1415/06</t>
        </is>
      </c>
      <c r="G5013" s="61" t="inlineStr">
        <is>
          <t>شهریور</t>
        </is>
      </c>
      <c r="H5013" s="134" t="inlineStr">
        <is>
          <t>تابستان</t>
        </is>
      </c>
      <c r="I5013" s="134" t="inlineStr">
        <is>
          <t>سه‌شنبه</t>
        </is>
      </c>
      <c r="J5013" s="134" t="inlineStr">
        <is>
          <t>بله</t>
        </is>
      </c>
    </row>
    <row r="5014">
      <c r="A5014" s="173" t="n">
        <v>49935</v>
      </c>
      <c r="B5014" s="174" t="n">
        <v>49935</v>
      </c>
      <c r="C5014" s="174" t="n">
        <v>1415</v>
      </c>
      <c r="D5014" s="174" t="n">
        <v>6</v>
      </c>
      <c r="E5014" s="175" t="inlineStr">
        <is>
          <t>1415/06/27</t>
        </is>
      </c>
      <c r="F5014" s="128" t="inlineStr">
        <is>
          <t>1415/06</t>
        </is>
      </c>
      <c r="G5014" s="58" t="inlineStr">
        <is>
          <t>شهریور</t>
        </is>
      </c>
      <c r="H5014" s="128" t="inlineStr">
        <is>
          <t>تابستان</t>
        </is>
      </c>
      <c r="I5014" s="128" t="inlineStr">
        <is>
          <t>چهارشنبه</t>
        </is>
      </c>
      <c r="J5014" s="128" t="inlineStr">
        <is>
          <t>بله</t>
        </is>
      </c>
    </row>
    <row r="5015">
      <c r="A5015" s="176" t="n">
        <v>49936</v>
      </c>
      <c r="B5015" s="177" t="n">
        <v>49936</v>
      </c>
      <c r="C5015" s="177" t="n">
        <v>1415</v>
      </c>
      <c r="D5015" s="177" t="n">
        <v>6</v>
      </c>
      <c r="E5015" s="178" t="inlineStr">
        <is>
          <t>1415/06/28</t>
        </is>
      </c>
      <c r="F5015" s="134" t="inlineStr">
        <is>
          <t>1415/06</t>
        </is>
      </c>
      <c r="G5015" s="61" t="inlineStr">
        <is>
          <t>شهریور</t>
        </is>
      </c>
      <c r="H5015" s="134" t="inlineStr">
        <is>
          <t>تابستان</t>
        </is>
      </c>
      <c r="I5015" s="134" t="inlineStr">
        <is>
          <t>پنجشنبه</t>
        </is>
      </c>
      <c r="J5015" s="134" t="inlineStr">
        <is>
          <t>بله</t>
        </is>
      </c>
    </row>
    <row r="5016">
      <c r="A5016" s="173" t="n">
        <v>49937</v>
      </c>
      <c r="B5016" s="174" t="n">
        <v>49937</v>
      </c>
      <c r="C5016" s="174" t="n">
        <v>1415</v>
      </c>
      <c r="D5016" s="174" t="n">
        <v>6</v>
      </c>
      <c r="E5016" s="175" t="inlineStr">
        <is>
          <t>1415/06/29</t>
        </is>
      </c>
      <c r="F5016" s="128" t="inlineStr">
        <is>
          <t>1415/06</t>
        </is>
      </c>
      <c r="G5016" s="58" t="inlineStr">
        <is>
          <t>شهریور</t>
        </is>
      </c>
      <c r="H5016" s="128" t="inlineStr">
        <is>
          <t>تابستان</t>
        </is>
      </c>
      <c r="I5016" s="128" t="inlineStr">
        <is>
          <t>جمعه</t>
        </is>
      </c>
      <c r="J5016" s="128" t="inlineStr">
        <is>
          <t>بله</t>
        </is>
      </c>
    </row>
    <row r="5017">
      <c r="A5017" s="176" t="n">
        <v>49938</v>
      </c>
      <c r="B5017" s="177" t="n">
        <v>49938</v>
      </c>
      <c r="C5017" s="177" t="n">
        <v>1415</v>
      </c>
      <c r="D5017" s="177" t="n">
        <v>6</v>
      </c>
      <c r="E5017" s="178" t="inlineStr">
        <is>
          <t>1415/06/30</t>
        </is>
      </c>
      <c r="F5017" s="134" t="inlineStr">
        <is>
          <t>1415/06</t>
        </is>
      </c>
      <c r="G5017" s="61" t="inlineStr">
        <is>
          <t>شهریور</t>
        </is>
      </c>
      <c r="H5017" s="134" t="inlineStr">
        <is>
          <t>تابستان</t>
        </is>
      </c>
      <c r="I5017" s="134" t="inlineStr">
        <is>
          <t>شنبه</t>
        </is>
      </c>
      <c r="J5017" s="134" t="inlineStr">
        <is>
          <t>خیر</t>
        </is>
      </c>
    </row>
    <row r="5018">
      <c r="A5018" s="173" t="n">
        <v>49939</v>
      </c>
      <c r="B5018" s="174" t="n">
        <v>49939</v>
      </c>
      <c r="C5018" s="174" t="n">
        <v>1415</v>
      </c>
      <c r="D5018" s="174" t="n">
        <v>6</v>
      </c>
      <c r="E5018" s="175" t="inlineStr">
        <is>
          <t>1415/06/31</t>
        </is>
      </c>
      <c r="F5018" s="128" t="inlineStr">
        <is>
          <t>1415/06</t>
        </is>
      </c>
      <c r="G5018" s="58" t="inlineStr">
        <is>
          <t>شهریور</t>
        </is>
      </c>
      <c r="H5018" s="128" t="inlineStr">
        <is>
          <t>تابستان</t>
        </is>
      </c>
      <c r="I5018" s="128" t="inlineStr">
        <is>
          <t>یکشنبه</t>
        </is>
      </c>
      <c r="J5018" s="128" t="inlineStr">
        <is>
          <t>خیر</t>
        </is>
      </c>
    </row>
    <row r="5019">
      <c r="A5019" s="176" t="n">
        <v>49940</v>
      </c>
      <c r="B5019" s="177" t="n">
        <v>49940</v>
      </c>
      <c r="C5019" s="177" t="n">
        <v>1415</v>
      </c>
      <c r="D5019" s="177" t="n">
        <v>7</v>
      </c>
      <c r="E5019" s="178" t="inlineStr">
        <is>
          <t>1415/07/01</t>
        </is>
      </c>
      <c r="F5019" s="134" t="inlineStr">
        <is>
          <t>1415/07</t>
        </is>
      </c>
      <c r="G5019" s="61" t="inlineStr">
        <is>
          <t>مهر</t>
        </is>
      </c>
      <c r="H5019" s="134" t="inlineStr">
        <is>
          <t>پاییز</t>
        </is>
      </c>
      <c r="I5019" s="134" t="inlineStr">
        <is>
          <t>دوشنبه</t>
        </is>
      </c>
      <c r="J5019" s="134" t="inlineStr">
        <is>
          <t>بله</t>
        </is>
      </c>
    </row>
    <row r="5020">
      <c r="A5020" s="173" t="n">
        <v>49941</v>
      </c>
      <c r="B5020" s="174" t="n">
        <v>49941</v>
      </c>
      <c r="C5020" s="174" t="n">
        <v>1415</v>
      </c>
      <c r="D5020" s="174" t="n">
        <v>7</v>
      </c>
      <c r="E5020" s="175" t="inlineStr">
        <is>
          <t>1415/07/02</t>
        </is>
      </c>
      <c r="F5020" s="128" t="inlineStr">
        <is>
          <t>1415/07</t>
        </is>
      </c>
      <c r="G5020" s="58" t="inlineStr">
        <is>
          <t>مهر</t>
        </is>
      </c>
      <c r="H5020" s="128" t="inlineStr">
        <is>
          <t>پاییز</t>
        </is>
      </c>
      <c r="I5020" s="128" t="inlineStr">
        <is>
          <t>سه‌شنبه</t>
        </is>
      </c>
      <c r="J5020" s="128" t="inlineStr">
        <is>
          <t>بله</t>
        </is>
      </c>
    </row>
    <row r="5021">
      <c r="A5021" s="176" t="n">
        <v>49942</v>
      </c>
      <c r="B5021" s="177" t="n">
        <v>49942</v>
      </c>
      <c r="C5021" s="177" t="n">
        <v>1415</v>
      </c>
      <c r="D5021" s="177" t="n">
        <v>7</v>
      </c>
      <c r="E5021" s="178" t="inlineStr">
        <is>
          <t>1415/07/03</t>
        </is>
      </c>
      <c r="F5021" s="134" t="inlineStr">
        <is>
          <t>1415/07</t>
        </is>
      </c>
      <c r="G5021" s="61" t="inlineStr">
        <is>
          <t>مهر</t>
        </is>
      </c>
      <c r="H5021" s="134" t="inlineStr">
        <is>
          <t>پاییز</t>
        </is>
      </c>
      <c r="I5021" s="134" t="inlineStr">
        <is>
          <t>چهارشنبه</t>
        </is>
      </c>
      <c r="J5021" s="134" t="inlineStr">
        <is>
          <t>بله</t>
        </is>
      </c>
    </row>
    <row r="5022">
      <c r="A5022" s="173" t="n">
        <v>49943</v>
      </c>
      <c r="B5022" s="174" t="n">
        <v>49943</v>
      </c>
      <c r="C5022" s="174" t="n">
        <v>1415</v>
      </c>
      <c r="D5022" s="174" t="n">
        <v>7</v>
      </c>
      <c r="E5022" s="175" t="inlineStr">
        <is>
          <t>1415/07/04</t>
        </is>
      </c>
      <c r="F5022" s="128" t="inlineStr">
        <is>
          <t>1415/07</t>
        </is>
      </c>
      <c r="G5022" s="58" t="inlineStr">
        <is>
          <t>مهر</t>
        </is>
      </c>
      <c r="H5022" s="128" t="inlineStr">
        <is>
          <t>پاییز</t>
        </is>
      </c>
      <c r="I5022" s="128" t="inlineStr">
        <is>
          <t>پنجشنبه</t>
        </is>
      </c>
      <c r="J5022" s="128" t="inlineStr">
        <is>
          <t>بله</t>
        </is>
      </c>
    </row>
    <row r="5023">
      <c r="A5023" s="176" t="n">
        <v>49944</v>
      </c>
      <c r="B5023" s="177" t="n">
        <v>49944</v>
      </c>
      <c r="C5023" s="177" t="n">
        <v>1415</v>
      </c>
      <c r="D5023" s="177" t="n">
        <v>7</v>
      </c>
      <c r="E5023" s="178" t="inlineStr">
        <is>
          <t>1415/07/05</t>
        </is>
      </c>
      <c r="F5023" s="134" t="inlineStr">
        <is>
          <t>1415/07</t>
        </is>
      </c>
      <c r="G5023" s="61" t="inlineStr">
        <is>
          <t>مهر</t>
        </is>
      </c>
      <c r="H5023" s="134" t="inlineStr">
        <is>
          <t>پاییز</t>
        </is>
      </c>
      <c r="I5023" s="134" t="inlineStr">
        <is>
          <t>جمعه</t>
        </is>
      </c>
      <c r="J5023" s="134" t="inlineStr">
        <is>
          <t>بله</t>
        </is>
      </c>
    </row>
    <row r="5024">
      <c r="A5024" s="173" t="n">
        <v>49945</v>
      </c>
      <c r="B5024" s="174" t="n">
        <v>49945</v>
      </c>
      <c r="C5024" s="174" t="n">
        <v>1415</v>
      </c>
      <c r="D5024" s="174" t="n">
        <v>7</v>
      </c>
      <c r="E5024" s="175" t="inlineStr">
        <is>
          <t>1415/07/06</t>
        </is>
      </c>
      <c r="F5024" s="128" t="inlineStr">
        <is>
          <t>1415/07</t>
        </is>
      </c>
      <c r="G5024" s="58" t="inlineStr">
        <is>
          <t>مهر</t>
        </is>
      </c>
      <c r="H5024" s="128" t="inlineStr">
        <is>
          <t>پاییز</t>
        </is>
      </c>
      <c r="I5024" s="128" t="inlineStr">
        <is>
          <t>شنبه</t>
        </is>
      </c>
      <c r="J5024" s="128" t="inlineStr">
        <is>
          <t>خیر</t>
        </is>
      </c>
    </row>
    <row r="5025">
      <c r="A5025" s="176" t="n">
        <v>49946</v>
      </c>
      <c r="B5025" s="177" t="n">
        <v>49946</v>
      </c>
      <c r="C5025" s="177" t="n">
        <v>1415</v>
      </c>
      <c r="D5025" s="177" t="n">
        <v>7</v>
      </c>
      <c r="E5025" s="178" t="inlineStr">
        <is>
          <t>1415/07/07</t>
        </is>
      </c>
      <c r="F5025" s="134" t="inlineStr">
        <is>
          <t>1415/07</t>
        </is>
      </c>
      <c r="G5025" s="61" t="inlineStr">
        <is>
          <t>مهر</t>
        </is>
      </c>
      <c r="H5025" s="134" t="inlineStr">
        <is>
          <t>پاییز</t>
        </is>
      </c>
      <c r="I5025" s="134" t="inlineStr">
        <is>
          <t>یکشنبه</t>
        </is>
      </c>
      <c r="J5025" s="134" t="inlineStr">
        <is>
          <t>خیر</t>
        </is>
      </c>
    </row>
    <row r="5026">
      <c r="A5026" s="173" t="n">
        <v>49947</v>
      </c>
      <c r="B5026" s="174" t="n">
        <v>49947</v>
      </c>
      <c r="C5026" s="174" t="n">
        <v>1415</v>
      </c>
      <c r="D5026" s="174" t="n">
        <v>7</v>
      </c>
      <c r="E5026" s="175" t="inlineStr">
        <is>
          <t>1415/07/08</t>
        </is>
      </c>
      <c r="F5026" s="128" t="inlineStr">
        <is>
          <t>1415/07</t>
        </is>
      </c>
      <c r="G5026" s="58" t="inlineStr">
        <is>
          <t>مهر</t>
        </is>
      </c>
      <c r="H5026" s="128" t="inlineStr">
        <is>
          <t>پاییز</t>
        </is>
      </c>
      <c r="I5026" s="128" t="inlineStr">
        <is>
          <t>دوشنبه</t>
        </is>
      </c>
      <c r="J5026" s="128" t="inlineStr">
        <is>
          <t>بله</t>
        </is>
      </c>
    </row>
    <row r="5027">
      <c r="A5027" s="176" t="n">
        <v>49948</v>
      </c>
      <c r="B5027" s="177" t="n">
        <v>49948</v>
      </c>
      <c r="C5027" s="177" t="n">
        <v>1415</v>
      </c>
      <c r="D5027" s="177" t="n">
        <v>7</v>
      </c>
      <c r="E5027" s="178" t="inlineStr">
        <is>
          <t>1415/07/09</t>
        </is>
      </c>
      <c r="F5027" s="134" t="inlineStr">
        <is>
          <t>1415/07</t>
        </is>
      </c>
      <c r="G5027" s="61" t="inlineStr">
        <is>
          <t>مهر</t>
        </is>
      </c>
      <c r="H5027" s="134" t="inlineStr">
        <is>
          <t>پاییز</t>
        </is>
      </c>
      <c r="I5027" s="134" t="inlineStr">
        <is>
          <t>سه‌شنبه</t>
        </is>
      </c>
      <c r="J5027" s="134" t="inlineStr">
        <is>
          <t>بله</t>
        </is>
      </c>
    </row>
    <row r="5028">
      <c r="A5028" s="173" t="n">
        <v>49949</v>
      </c>
      <c r="B5028" s="174" t="n">
        <v>49949</v>
      </c>
      <c r="C5028" s="174" t="n">
        <v>1415</v>
      </c>
      <c r="D5028" s="174" t="n">
        <v>7</v>
      </c>
      <c r="E5028" s="175" t="inlineStr">
        <is>
          <t>1415/07/10</t>
        </is>
      </c>
      <c r="F5028" s="128" t="inlineStr">
        <is>
          <t>1415/07</t>
        </is>
      </c>
      <c r="G5028" s="58" t="inlineStr">
        <is>
          <t>مهر</t>
        </is>
      </c>
      <c r="H5028" s="128" t="inlineStr">
        <is>
          <t>پاییز</t>
        </is>
      </c>
      <c r="I5028" s="128" t="inlineStr">
        <is>
          <t>چهارشنبه</t>
        </is>
      </c>
      <c r="J5028" s="128" t="inlineStr">
        <is>
          <t>بله</t>
        </is>
      </c>
    </row>
    <row r="5029">
      <c r="A5029" s="176" t="n">
        <v>49950</v>
      </c>
      <c r="B5029" s="177" t="n">
        <v>49950</v>
      </c>
      <c r="C5029" s="177" t="n">
        <v>1415</v>
      </c>
      <c r="D5029" s="177" t="n">
        <v>7</v>
      </c>
      <c r="E5029" s="178" t="inlineStr">
        <is>
          <t>1415/07/11</t>
        </is>
      </c>
      <c r="F5029" s="134" t="inlineStr">
        <is>
          <t>1415/07</t>
        </is>
      </c>
      <c r="G5029" s="61" t="inlineStr">
        <is>
          <t>مهر</t>
        </is>
      </c>
      <c r="H5029" s="134" t="inlineStr">
        <is>
          <t>پاییز</t>
        </is>
      </c>
      <c r="I5029" s="134" t="inlineStr">
        <is>
          <t>پنجشنبه</t>
        </is>
      </c>
      <c r="J5029" s="134" t="inlineStr">
        <is>
          <t>بله</t>
        </is>
      </c>
    </row>
    <row r="5030">
      <c r="A5030" s="173" t="n">
        <v>49951</v>
      </c>
      <c r="B5030" s="174" t="n">
        <v>49951</v>
      </c>
      <c r="C5030" s="174" t="n">
        <v>1415</v>
      </c>
      <c r="D5030" s="174" t="n">
        <v>7</v>
      </c>
      <c r="E5030" s="175" t="inlineStr">
        <is>
          <t>1415/07/12</t>
        </is>
      </c>
      <c r="F5030" s="128" t="inlineStr">
        <is>
          <t>1415/07</t>
        </is>
      </c>
      <c r="G5030" s="58" t="inlineStr">
        <is>
          <t>مهر</t>
        </is>
      </c>
      <c r="H5030" s="128" t="inlineStr">
        <is>
          <t>پاییز</t>
        </is>
      </c>
      <c r="I5030" s="128" t="inlineStr">
        <is>
          <t>جمعه</t>
        </is>
      </c>
      <c r="J5030" s="128" t="inlineStr">
        <is>
          <t>بله</t>
        </is>
      </c>
    </row>
    <row r="5031">
      <c r="A5031" s="176" t="n">
        <v>49952</v>
      </c>
      <c r="B5031" s="177" t="n">
        <v>49952</v>
      </c>
      <c r="C5031" s="177" t="n">
        <v>1415</v>
      </c>
      <c r="D5031" s="177" t="n">
        <v>7</v>
      </c>
      <c r="E5031" s="178" t="inlineStr">
        <is>
          <t>1415/07/13</t>
        </is>
      </c>
      <c r="F5031" s="134" t="inlineStr">
        <is>
          <t>1415/07</t>
        </is>
      </c>
      <c r="G5031" s="61" t="inlineStr">
        <is>
          <t>مهر</t>
        </is>
      </c>
      <c r="H5031" s="134" t="inlineStr">
        <is>
          <t>پاییز</t>
        </is>
      </c>
      <c r="I5031" s="134" t="inlineStr">
        <is>
          <t>شنبه</t>
        </is>
      </c>
      <c r="J5031" s="134" t="inlineStr">
        <is>
          <t>خیر</t>
        </is>
      </c>
    </row>
    <row r="5032">
      <c r="A5032" s="173" t="n">
        <v>49953</v>
      </c>
      <c r="B5032" s="174" t="n">
        <v>49953</v>
      </c>
      <c r="C5032" s="174" t="n">
        <v>1415</v>
      </c>
      <c r="D5032" s="174" t="n">
        <v>7</v>
      </c>
      <c r="E5032" s="175" t="inlineStr">
        <is>
          <t>1415/07/14</t>
        </is>
      </c>
      <c r="F5032" s="128" t="inlineStr">
        <is>
          <t>1415/07</t>
        </is>
      </c>
      <c r="G5032" s="58" t="inlineStr">
        <is>
          <t>مهر</t>
        </is>
      </c>
      <c r="H5032" s="128" t="inlineStr">
        <is>
          <t>پاییز</t>
        </is>
      </c>
      <c r="I5032" s="128" t="inlineStr">
        <is>
          <t>یکشنبه</t>
        </is>
      </c>
      <c r="J5032" s="128" t="inlineStr">
        <is>
          <t>خیر</t>
        </is>
      </c>
    </row>
    <row r="5033">
      <c r="A5033" s="176" t="n">
        <v>49954</v>
      </c>
      <c r="B5033" s="177" t="n">
        <v>49954</v>
      </c>
      <c r="C5033" s="177" t="n">
        <v>1415</v>
      </c>
      <c r="D5033" s="177" t="n">
        <v>7</v>
      </c>
      <c r="E5033" s="178" t="inlineStr">
        <is>
          <t>1415/07/15</t>
        </is>
      </c>
      <c r="F5033" s="134" t="inlineStr">
        <is>
          <t>1415/07</t>
        </is>
      </c>
      <c r="G5033" s="61" t="inlineStr">
        <is>
          <t>مهر</t>
        </is>
      </c>
      <c r="H5033" s="134" t="inlineStr">
        <is>
          <t>پاییز</t>
        </is>
      </c>
      <c r="I5033" s="134" t="inlineStr">
        <is>
          <t>دوشنبه</t>
        </is>
      </c>
      <c r="J5033" s="134" t="inlineStr">
        <is>
          <t>بله</t>
        </is>
      </c>
    </row>
    <row r="5034">
      <c r="A5034" s="173" t="n">
        <v>49955</v>
      </c>
      <c r="B5034" s="174" t="n">
        <v>49955</v>
      </c>
      <c r="C5034" s="174" t="n">
        <v>1415</v>
      </c>
      <c r="D5034" s="174" t="n">
        <v>7</v>
      </c>
      <c r="E5034" s="175" t="inlineStr">
        <is>
          <t>1415/07/16</t>
        </is>
      </c>
      <c r="F5034" s="128" t="inlineStr">
        <is>
          <t>1415/07</t>
        </is>
      </c>
      <c r="G5034" s="58" t="inlineStr">
        <is>
          <t>مهر</t>
        </is>
      </c>
      <c r="H5034" s="128" t="inlineStr">
        <is>
          <t>پاییز</t>
        </is>
      </c>
      <c r="I5034" s="128" t="inlineStr">
        <is>
          <t>سه‌شنبه</t>
        </is>
      </c>
      <c r="J5034" s="128" t="inlineStr">
        <is>
          <t>بله</t>
        </is>
      </c>
    </row>
    <row r="5035">
      <c r="A5035" s="176" t="n">
        <v>49956</v>
      </c>
      <c r="B5035" s="177" t="n">
        <v>49956</v>
      </c>
      <c r="C5035" s="177" t="n">
        <v>1415</v>
      </c>
      <c r="D5035" s="177" t="n">
        <v>7</v>
      </c>
      <c r="E5035" s="178" t="inlineStr">
        <is>
          <t>1415/07/17</t>
        </is>
      </c>
      <c r="F5035" s="134" t="inlineStr">
        <is>
          <t>1415/07</t>
        </is>
      </c>
      <c r="G5035" s="61" t="inlineStr">
        <is>
          <t>مهر</t>
        </is>
      </c>
      <c r="H5035" s="134" t="inlineStr">
        <is>
          <t>پاییز</t>
        </is>
      </c>
      <c r="I5035" s="134" t="inlineStr">
        <is>
          <t>چهارشنبه</t>
        </is>
      </c>
      <c r="J5035" s="134" t="inlineStr">
        <is>
          <t>بله</t>
        </is>
      </c>
    </row>
    <row r="5036">
      <c r="A5036" s="173" t="n">
        <v>49957</v>
      </c>
      <c r="B5036" s="174" t="n">
        <v>49957</v>
      </c>
      <c r="C5036" s="174" t="n">
        <v>1415</v>
      </c>
      <c r="D5036" s="174" t="n">
        <v>7</v>
      </c>
      <c r="E5036" s="175" t="inlineStr">
        <is>
          <t>1415/07/18</t>
        </is>
      </c>
      <c r="F5036" s="128" t="inlineStr">
        <is>
          <t>1415/07</t>
        </is>
      </c>
      <c r="G5036" s="58" t="inlineStr">
        <is>
          <t>مهر</t>
        </is>
      </c>
      <c r="H5036" s="128" t="inlineStr">
        <is>
          <t>پاییز</t>
        </is>
      </c>
      <c r="I5036" s="128" t="inlineStr">
        <is>
          <t>پنجشنبه</t>
        </is>
      </c>
      <c r="J5036" s="128" t="inlineStr">
        <is>
          <t>بله</t>
        </is>
      </c>
    </row>
    <row r="5037">
      <c r="A5037" s="176" t="n">
        <v>49958</v>
      </c>
      <c r="B5037" s="177" t="n">
        <v>49958</v>
      </c>
      <c r="C5037" s="177" t="n">
        <v>1415</v>
      </c>
      <c r="D5037" s="177" t="n">
        <v>7</v>
      </c>
      <c r="E5037" s="178" t="inlineStr">
        <is>
          <t>1415/07/19</t>
        </is>
      </c>
      <c r="F5037" s="134" t="inlineStr">
        <is>
          <t>1415/07</t>
        </is>
      </c>
      <c r="G5037" s="61" t="inlineStr">
        <is>
          <t>مهر</t>
        </is>
      </c>
      <c r="H5037" s="134" t="inlineStr">
        <is>
          <t>پاییز</t>
        </is>
      </c>
      <c r="I5037" s="134" t="inlineStr">
        <is>
          <t>جمعه</t>
        </is>
      </c>
      <c r="J5037" s="134" t="inlineStr">
        <is>
          <t>بله</t>
        </is>
      </c>
    </row>
    <row r="5038">
      <c r="A5038" s="173" t="n">
        <v>49959</v>
      </c>
      <c r="B5038" s="174" t="n">
        <v>49959</v>
      </c>
      <c r="C5038" s="174" t="n">
        <v>1415</v>
      </c>
      <c r="D5038" s="174" t="n">
        <v>7</v>
      </c>
      <c r="E5038" s="175" t="inlineStr">
        <is>
          <t>1415/07/20</t>
        </is>
      </c>
      <c r="F5038" s="128" t="inlineStr">
        <is>
          <t>1415/07</t>
        </is>
      </c>
      <c r="G5038" s="58" t="inlineStr">
        <is>
          <t>مهر</t>
        </is>
      </c>
      <c r="H5038" s="128" t="inlineStr">
        <is>
          <t>پاییز</t>
        </is>
      </c>
      <c r="I5038" s="128" t="inlineStr">
        <is>
          <t>شنبه</t>
        </is>
      </c>
      <c r="J5038" s="128" t="inlineStr">
        <is>
          <t>خیر</t>
        </is>
      </c>
    </row>
    <row r="5039">
      <c r="A5039" s="176" t="n">
        <v>49960</v>
      </c>
      <c r="B5039" s="177" t="n">
        <v>49960</v>
      </c>
      <c r="C5039" s="177" t="n">
        <v>1415</v>
      </c>
      <c r="D5039" s="177" t="n">
        <v>7</v>
      </c>
      <c r="E5039" s="178" t="inlineStr">
        <is>
          <t>1415/07/21</t>
        </is>
      </c>
      <c r="F5039" s="134" t="inlineStr">
        <is>
          <t>1415/07</t>
        </is>
      </c>
      <c r="G5039" s="61" t="inlineStr">
        <is>
          <t>مهر</t>
        </is>
      </c>
      <c r="H5039" s="134" t="inlineStr">
        <is>
          <t>پاییز</t>
        </is>
      </c>
      <c r="I5039" s="134" t="inlineStr">
        <is>
          <t>یکشنبه</t>
        </is>
      </c>
      <c r="J5039" s="134" t="inlineStr">
        <is>
          <t>خیر</t>
        </is>
      </c>
    </row>
    <row r="5040">
      <c r="A5040" s="173" t="n">
        <v>49961</v>
      </c>
      <c r="B5040" s="174" t="n">
        <v>49961</v>
      </c>
      <c r="C5040" s="174" t="n">
        <v>1415</v>
      </c>
      <c r="D5040" s="174" t="n">
        <v>7</v>
      </c>
      <c r="E5040" s="175" t="inlineStr">
        <is>
          <t>1415/07/22</t>
        </is>
      </c>
      <c r="F5040" s="128" t="inlineStr">
        <is>
          <t>1415/07</t>
        </is>
      </c>
      <c r="G5040" s="58" t="inlineStr">
        <is>
          <t>مهر</t>
        </is>
      </c>
      <c r="H5040" s="128" t="inlineStr">
        <is>
          <t>پاییز</t>
        </is>
      </c>
      <c r="I5040" s="128" t="inlineStr">
        <is>
          <t>دوشنبه</t>
        </is>
      </c>
      <c r="J5040" s="128" t="inlineStr">
        <is>
          <t>بله</t>
        </is>
      </c>
    </row>
    <row r="5041">
      <c r="A5041" s="176" t="n">
        <v>49962</v>
      </c>
      <c r="B5041" s="177" t="n">
        <v>49962</v>
      </c>
      <c r="C5041" s="177" t="n">
        <v>1415</v>
      </c>
      <c r="D5041" s="177" t="n">
        <v>7</v>
      </c>
      <c r="E5041" s="178" t="inlineStr">
        <is>
          <t>1415/07/23</t>
        </is>
      </c>
      <c r="F5041" s="134" t="inlineStr">
        <is>
          <t>1415/07</t>
        </is>
      </c>
      <c r="G5041" s="61" t="inlineStr">
        <is>
          <t>مهر</t>
        </is>
      </c>
      <c r="H5041" s="134" t="inlineStr">
        <is>
          <t>پاییز</t>
        </is>
      </c>
      <c r="I5041" s="134" t="inlineStr">
        <is>
          <t>سه‌شنبه</t>
        </is>
      </c>
      <c r="J5041" s="134" t="inlineStr">
        <is>
          <t>بله</t>
        </is>
      </c>
    </row>
    <row r="5042">
      <c r="A5042" s="173" t="n">
        <v>49963</v>
      </c>
      <c r="B5042" s="174" t="n">
        <v>49963</v>
      </c>
      <c r="C5042" s="174" t="n">
        <v>1415</v>
      </c>
      <c r="D5042" s="174" t="n">
        <v>7</v>
      </c>
      <c r="E5042" s="175" t="inlineStr">
        <is>
          <t>1415/07/24</t>
        </is>
      </c>
      <c r="F5042" s="128" t="inlineStr">
        <is>
          <t>1415/07</t>
        </is>
      </c>
      <c r="G5042" s="58" t="inlineStr">
        <is>
          <t>مهر</t>
        </is>
      </c>
      <c r="H5042" s="128" t="inlineStr">
        <is>
          <t>پاییز</t>
        </is>
      </c>
      <c r="I5042" s="128" t="inlineStr">
        <is>
          <t>چهارشنبه</t>
        </is>
      </c>
      <c r="J5042" s="128" t="inlineStr">
        <is>
          <t>بله</t>
        </is>
      </c>
    </row>
    <row r="5043">
      <c r="A5043" s="176" t="n">
        <v>49964</v>
      </c>
      <c r="B5043" s="177" t="n">
        <v>49964</v>
      </c>
      <c r="C5043" s="177" t="n">
        <v>1415</v>
      </c>
      <c r="D5043" s="177" t="n">
        <v>7</v>
      </c>
      <c r="E5043" s="178" t="inlineStr">
        <is>
          <t>1415/07/25</t>
        </is>
      </c>
      <c r="F5043" s="134" t="inlineStr">
        <is>
          <t>1415/07</t>
        </is>
      </c>
      <c r="G5043" s="61" t="inlineStr">
        <is>
          <t>مهر</t>
        </is>
      </c>
      <c r="H5043" s="134" t="inlineStr">
        <is>
          <t>پاییز</t>
        </is>
      </c>
      <c r="I5043" s="134" t="inlineStr">
        <is>
          <t>پنجشنبه</t>
        </is>
      </c>
      <c r="J5043" s="134" t="inlineStr">
        <is>
          <t>بله</t>
        </is>
      </c>
    </row>
    <row r="5044">
      <c r="A5044" s="173" t="n">
        <v>49965</v>
      </c>
      <c r="B5044" s="174" t="n">
        <v>49965</v>
      </c>
      <c r="C5044" s="174" t="n">
        <v>1415</v>
      </c>
      <c r="D5044" s="174" t="n">
        <v>7</v>
      </c>
      <c r="E5044" s="175" t="inlineStr">
        <is>
          <t>1415/07/26</t>
        </is>
      </c>
      <c r="F5044" s="128" t="inlineStr">
        <is>
          <t>1415/07</t>
        </is>
      </c>
      <c r="G5044" s="58" t="inlineStr">
        <is>
          <t>مهر</t>
        </is>
      </c>
      <c r="H5044" s="128" t="inlineStr">
        <is>
          <t>پاییز</t>
        </is>
      </c>
      <c r="I5044" s="128" t="inlineStr">
        <is>
          <t>جمعه</t>
        </is>
      </c>
      <c r="J5044" s="128" t="inlineStr">
        <is>
          <t>بله</t>
        </is>
      </c>
    </row>
    <row r="5045">
      <c r="A5045" s="176" t="n">
        <v>49966</v>
      </c>
      <c r="B5045" s="177" t="n">
        <v>49966</v>
      </c>
      <c r="C5045" s="177" t="n">
        <v>1415</v>
      </c>
      <c r="D5045" s="177" t="n">
        <v>7</v>
      </c>
      <c r="E5045" s="178" t="inlineStr">
        <is>
          <t>1415/07/27</t>
        </is>
      </c>
      <c r="F5045" s="134" t="inlineStr">
        <is>
          <t>1415/07</t>
        </is>
      </c>
      <c r="G5045" s="61" t="inlineStr">
        <is>
          <t>مهر</t>
        </is>
      </c>
      <c r="H5045" s="134" t="inlineStr">
        <is>
          <t>پاییز</t>
        </is>
      </c>
      <c r="I5045" s="134" t="inlineStr">
        <is>
          <t>شنبه</t>
        </is>
      </c>
      <c r="J5045" s="134" t="inlineStr">
        <is>
          <t>خیر</t>
        </is>
      </c>
    </row>
    <row r="5046">
      <c r="A5046" s="173" t="n">
        <v>49967</v>
      </c>
      <c r="B5046" s="174" t="n">
        <v>49967</v>
      </c>
      <c r="C5046" s="174" t="n">
        <v>1415</v>
      </c>
      <c r="D5046" s="174" t="n">
        <v>7</v>
      </c>
      <c r="E5046" s="175" t="inlineStr">
        <is>
          <t>1415/07/28</t>
        </is>
      </c>
      <c r="F5046" s="128" t="inlineStr">
        <is>
          <t>1415/07</t>
        </is>
      </c>
      <c r="G5046" s="58" t="inlineStr">
        <is>
          <t>مهر</t>
        </is>
      </c>
      <c r="H5046" s="128" t="inlineStr">
        <is>
          <t>پاییز</t>
        </is>
      </c>
      <c r="I5046" s="128" t="inlineStr">
        <is>
          <t>یکشنبه</t>
        </is>
      </c>
      <c r="J5046" s="128" t="inlineStr">
        <is>
          <t>خیر</t>
        </is>
      </c>
    </row>
    <row r="5047">
      <c r="A5047" s="176" t="n">
        <v>49968</v>
      </c>
      <c r="B5047" s="177" t="n">
        <v>49968</v>
      </c>
      <c r="C5047" s="177" t="n">
        <v>1415</v>
      </c>
      <c r="D5047" s="177" t="n">
        <v>7</v>
      </c>
      <c r="E5047" s="178" t="inlineStr">
        <is>
          <t>1415/07/29</t>
        </is>
      </c>
      <c r="F5047" s="134" t="inlineStr">
        <is>
          <t>1415/07</t>
        </is>
      </c>
      <c r="G5047" s="61" t="inlineStr">
        <is>
          <t>مهر</t>
        </is>
      </c>
      <c r="H5047" s="134" t="inlineStr">
        <is>
          <t>پاییز</t>
        </is>
      </c>
      <c r="I5047" s="134" t="inlineStr">
        <is>
          <t>دوشنبه</t>
        </is>
      </c>
      <c r="J5047" s="134" t="inlineStr">
        <is>
          <t>بله</t>
        </is>
      </c>
    </row>
    <row r="5048">
      <c r="A5048" s="173" t="n">
        <v>49969</v>
      </c>
      <c r="B5048" s="174" t="n">
        <v>49969</v>
      </c>
      <c r="C5048" s="174" t="n">
        <v>1415</v>
      </c>
      <c r="D5048" s="174" t="n">
        <v>7</v>
      </c>
      <c r="E5048" s="175" t="inlineStr">
        <is>
          <t>1415/07/30</t>
        </is>
      </c>
      <c r="F5048" s="128" t="inlineStr">
        <is>
          <t>1415/07</t>
        </is>
      </c>
      <c r="G5048" s="58" t="inlineStr">
        <is>
          <t>مهر</t>
        </is>
      </c>
      <c r="H5048" s="128" t="inlineStr">
        <is>
          <t>پاییز</t>
        </is>
      </c>
      <c r="I5048" s="128" t="inlineStr">
        <is>
          <t>سه‌شنبه</t>
        </is>
      </c>
      <c r="J5048" s="128" t="inlineStr">
        <is>
          <t>بله</t>
        </is>
      </c>
    </row>
    <row r="5049">
      <c r="A5049" s="176" t="n">
        <v>49970</v>
      </c>
      <c r="B5049" s="177" t="n">
        <v>49970</v>
      </c>
      <c r="C5049" s="177" t="n">
        <v>1415</v>
      </c>
      <c r="D5049" s="177" t="n">
        <v>8</v>
      </c>
      <c r="E5049" s="178" t="inlineStr">
        <is>
          <t>1415/08/01</t>
        </is>
      </c>
      <c r="F5049" s="134" t="inlineStr">
        <is>
          <t>1415/08</t>
        </is>
      </c>
      <c r="G5049" s="61" t="inlineStr">
        <is>
          <t>آبان</t>
        </is>
      </c>
      <c r="H5049" s="134" t="inlineStr">
        <is>
          <t>پاییز</t>
        </is>
      </c>
      <c r="I5049" s="134" t="inlineStr">
        <is>
          <t>چهارشنبه</t>
        </is>
      </c>
      <c r="J5049" s="134" t="inlineStr">
        <is>
          <t>بله</t>
        </is>
      </c>
    </row>
    <row r="5050">
      <c r="A5050" s="173" t="n">
        <v>49971</v>
      </c>
      <c r="B5050" s="174" t="n">
        <v>49971</v>
      </c>
      <c r="C5050" s="174" t="n">
        <v>1415</v>
      </c>
      <c r="D5050" s="174" t="n">
        <v>8</v>
      </c>
      <c r="E5050" s="175" t="inlineStr">
        <is>
          <t>1415/08/02</t>
        </is>
      </c>
      <c r="F5050" s="128" t="inlineStr">
        <is>
          <t>1415/08</t>
        </is>
      </c>
      <c r="G5050" s="58" t="inlineStr">
        <is>
          <t>آبان</t>
        </is>
      </c>
      <c r="H5050" s="128" t="inlineStr">
        <is>
          <t>پاییز</t>
        </is>
      </c>
      <c r="I5050" s="128" t="inlineStr">
        <is>
          <t>پنجشنبه</t>
        </is>
      </c>
      <c r="J5050" s="128" t="inlineStr">
        <is>
          <t>بله</t>
        </is>
      </c>
    </row>
    <row r="5051">
      <c r="A5051" s="176" t="n">
        <v>49972</v>
      </c>
      <c r="B5051" s="177" t="n">
        <v>49972</v>
      </c>
      <c r="C5051" s="177" t="n">
        <v>1415</v>
      </c>
      <c r="D5051" s="177" t="n">
        <v>8</v>
      </c>
      <c r="E5051" s="178" t="inlineStr">
        <is>
          <t>1415/08/03</t>
        </is>
      </c>
      <c r="F5051" s="134" t="inlineStr">
        <is>
          <t>1415/08</t>
        </is>
      </c>
      <c r="G5051" s="61" t="inlineStr">
        <is>
          <t>آبان</t>
        </is>
      </c>
      <c r="H5051" s="134" t="inlineStr">
        <is>
          <t>پاییز</t>
        </is>
      </c>
      <c r="I5051" s="134" t="inlineStr">
        <is>
          <t>جمعه</t>
        </is>
      </c>
      <c r="J5051" s="134" t="inlineStr">
        <is>
          <t>بله</t>
        </is>
      </c>
    </row>
    <row r="5052">
      <c r="A5052" s="173" t="n">
        <v>49973</v>
      </c>
      <c r="B5052" s="174" t="n">
        <v>49973</v>
      </c>
      <c r="C5052" s="174" t="n">
        <v>1415</v>
      </c>
      <c r="D5052" s="174" t="n">
        <v>8</v>
      </c>
      <c r="E5052" s="175" t="inlineStr">
        <is>
          <t>1415/08/04</t>
        </is>
      </c>
      <c r="F5052" s="128" t="inlineStr">
        <is>
          <t>1415/08</t>
        </is>
      </c>
      <c r="G5052" s="58" t="inlineStr">
        <is>
          <t>آبان</t>
        </is>
      </c>
      <c r="H5052" s="128" t="inlineStr">
        <is>
          <t>پاییز</t>
        </is>
      </c>
      <c r="I5052" s="128" t="inlineStr">
        <is>
          <t>شنبه</t>
        </is>
      </c>
      <c r="J5052" s="128" t="inlineStr">
        <is>
          <t>خیر</t>
        </is>
      </c>
    </row>
    <row r="5053">
      <c r="A5053" s="176" t="n">
        <v>49974</v>
      </c>
      <c r="B5053" s="177" t="n">
        <v>49974</v>
      </c>
      <c r="C5053" s="177" t="n">
        <v>1415</v>
      </c>
      <c r="D5053" s="177" t="n">
        <v>8</v>
      </c>
      <c r="E5053" s="178" t="inlineStr">
        <is>
          <t>1415/08/05</t>
        </is>
      </c>
      <c r="F5053" s="134" t="inlineStr">
        <is>
          <t>1415/08</t>
        </is>
      </c>
      <c r="G5053" s="61" t="inlineStr">
        <is>
          <t>آبان</t>
        </is>
      </c>
      <c r="H5053" s="134" t="inlineStr">
        <is>
          <t>پاییز</t>
        </is>
      </c>
      <c r="I5053" s="134" t="inlineStr">
        <is>
          <t>یکشنبه</t>
        </is>
      </c>
      <c r="J5053" s="134" t="inlineStr">
        <is>
          <t>خیر</t>
        </is>
      </c>
    </row>
    <row r="5054">
      <c r="A5054" s="173" t="n">
        <v>49975</v>
      </c>
      <c r="B5054" s="174" t="n">
        <v>49975</v>
      </c>
      <c r="C5054" s="174" t="n">
        <v>1415</v>
      </c>
      <c r="D5054" s="174" t="n">
        <v>8</v>
      </c>
      <c r="E5054" s="175" t="inlineStr">
        <is>
          <t>1415/08/06</t>
        </is>
      </c>
      <c r="F5054" s="128" t="inlineStr">
        <is>
          <t>1415/08</t>
        </is>
      </c>
      <c r="G5054" s="58" t="inlineStr">
        <is>
          <t>آبان</t>
        </is>
      </c>
      <c r="H5054" s="128" t="inlineStr">
        <is>
          <t>پاییز</t>
        </is>
      </c>
      <c r="I5054" s="128" t="inlineStr">
        <is>
          <t>دوشنبه</t>
        </is>
      </c>
      <c r="J5054" s="128" t="inlineStr">
        <is>
          <t>بله</t>
        </is>
      </c>
    </row>
    <row r="5055">
      <c r="A5055" s="176" t="n">
        <v>49976</v>
      </c>
      <c r="B5055" s="177" t="n">
        <v>49976</v>
      </c>
      <c r="C5055" s="177" t="n">
        <v>1415</v>
      </c>
      <c r="D5055" s="177" t="n">
        <v>8</v>
      </c>
      <c r="E5055" s="178" t="inlineStr">
        <is>
          <t>1415/08/07</t>
        </is>
      </c>
      <c r="F5055" s="134" t="inlineStr">
        <is>
          <t>1415/08</t>
        </is>
      </c>
      <c r="G5055" s="61" t="inlineStr">
        <is>
          <t>آبان</t>
        </is>
      </c>
      <c r="H5055" s="134" t="inlineStr">
        <is>
          <t>پاییز</t>
        </is>
      </c>
      <c r="I5055" s="134" t="inlineStr">
        <is>
          <t>سه‌شنبه</t>
        </is>
      </c>
      <c r="J5055" s="134" t="inlineStr">
        <is>
          <t>بله</t>
        </is>
      </c>
    </row>
    <row r="5056">
      <c r="A5056" s="173" t="n">
        <v>49977</v>
      </c>
      <c r="B5056" s="174" t="n">
        <v>49977</v>
      </c>
      <c r="C5056" s="174" t="n">
        <v>1415</v>
      </c>
      <c r="D5056" s="174" t="n">
        <v>8</v>
      </c>
      <c r="E5056" s="175" t="inlineStr">
        <is>
          <t>1415/08/08</t>
        </is>
      </c>
      <c r="F5056" s="128" t="inlineStr">
        <is>
          <t>1415/08</t>
        </is>
      </c>
      <c r="G5056" s="58" t="inlineStr">
        <is>
          <t>آبان</t>
        </is>
      </c>
      <c r="H5056" s="128" t="inlineStr">
        <is>
          <t>پاییز</t>
        </is>
      </c>
      <c r="I5056" s="128" t="inlineStr">
        <is>
          <t>چهارشنبه</t>
        </is>
      </c>
      <c r="J5056" s="128" t="inlineStr">
        <is>
          <t>بله</t>
        </is>
      </c>
    </row>
    <row r="5057">
      <c r="A5057" s="176" t="n">
        <v>49978</v>
      </c>
      <c r="B5057" s="177" t="n">
        <v>49978</v>
      </c>
      <c r="C5057" s="177" t="n">
        <v>1415</v>
      </c>
      <c r="D5057" s="177" t="n">
        <v>8</v>
      </c>
      <c r="E5057" s="178" t="inlineStr">
        <is>
          <t>1415/08/09</t>
        </is>
      </c>
      <c r="F5057" s="134" t="inlineStr">
        <is>
          <t>1415/08</t>
        </is>
      </c>
      <c r="G5057" s="61" t="inlineStr">
        <is>
          <t>آبان</t>
        </is>
      </c>
      <c r="H5057" s="134" t="inlineStr">
        <is>
          <t>پاییز</t>
        </is>
      </c>
      <c r="I5057" s="134" t="inlineStr">
        <is>
          <t>پنجشنبه</t>
        </is>
      </c>
      <c r="J5057" s="134" t="inlineStr">
        <is>
          <t>بله</t>
        </is>
      </c>
    </row>
    <row r="5058">
      <c r="A5058" s="173" t="n">
        <v>49979</v>
      </c>
      <c r="B5058" s="174" t="n">
        <v>49979</v>
      </c>
      <c r="C5058" s="174" t="n">
        <v>1415</v>
      </c>
      <c r="D5058" s="174" t="n">
        <v>8</v>
      </c>
      <c r="E5058" s="175" t="inlineStr">
        <is>
          <t>1415/08/10</t>
        </is>
      </c>
      <c r="F5058" s="128" t="inlineStr">
        <is>
          <t>1415/08</t>
        </is>
      </c>
      <c r="G5058" s="58" t="inlineStr">
        <is>
          <t>آبان</t>
        </is>
      </c>
      <c r="H5058" s="128" t="inlineStr">
        <is>
          <t>پاییز</t>
        </is>
      </c>
      <c r="I5058" s="128" t="inlineStr">
        <is>
          <t>جمعه</t>
        </is>
      </c>
      <c r="J5058" s="128" t="inlineStr">
        <is>
          <t>بله</t>
        </is>
      </c>
    </row>
    <row r="5059">
      <c r="A5059" s="176" t="n">
        <v>49980</v>
      </c>
      <c r="B5059" s="177" t="n">
        <v>49980</v>
      </c>
      <c r="C5059" s="177" t="n">
        <v>1415</v>
      </c>
      <c r="D5059" s="177" t="n">
        <v>8</v>
      </c>
      <c r="E5059" s="178" t="inlineStr">
        <is>
          <t>1415/08/11</t>
        </is>
      </c>
      <c r="F5059" s="134" t="inlineStr">
        <is>
          <t>1415/08</t>
        </is>
      </c>
      <c r="G5059" s="61" t="inlineStr">
        <is>
          <t>آبان</t>
        </is>
      </c>
      <c r="H5059" s="134" t="inlineStr">
        <is>
          <t>پاییز</t>
        </is>
      </c>
      <c r="I5059" s="134" t="inlineStr">
        <is>
          <t>شنبه</t>
        </is>
      </c>
      <c r="J5059" s="134" t="inlineStr">
        <is>
          <t>خیر</t>
        </is>
      </c>
    </row>
    <row r="5060">
      <c r="A5060" s="173" t="n">
        <v>49981</v>
      </c>
      <c r="B5060" s="174" t="n">
        <v>49981</v>
      </c>
      <c r="C5060" s="174" t="n">
        <v>1415</v>
      </c>
      <c r="D5060" s="174" t="n">
        <v>8</v>
      </c>
      <c r="E5060" s="175" t="inlineStr">
        <is>
          <t>1415/08/12</t>
        </is>
      </c>
      <c r="F5060" s="128" t="inlineStr">
        <is>
          <t>1415/08</t>
        </is>
      </c>
      <c r="G5060" s="58" t="inlineStr">
        <is>
          <t>آبان</t>
        </is>
      </c>
      <c r="H5060" s="128" t="inlineStr">
        <is>
          <t>پاییز</t>
        </is>
      </c>
      <c r="I5060" s="128" t="inlineStr">
        <is>
          <t>یکشنبه</t>
        </is>
      </c>
      <c r="J5060" s="128" t="inlineStr">
        <is>
          <t>خیر</t>
        </is>
      </c>
    </row>
    <row r="5061">
      <c r="A5061" s="176" t="n">
        <v>49982</v>
      </c>
      <c r="B5061" s="177" t="n">
        <v>49982</v>
      </c>
      <c r="C5061" s="177" t="n">
        <v>1415</v>
      </c>
      <c r="D5061" s="177" t="n">
        <v>8</v>
      </c>
      <c r="E5061" s="178" t="inlineStr">
        <is>
          <t>1415/08/13</t>
        </is>
      </c>
      <c r="F5061" s="134" t="inlineStr">
        <is>
          <t>1415/08</t>
        </is>
      </c>
      <c r="G5061" s="61" t="inlineStr">
        <is>
          <t>آبان</t>
        </is>
      </c>
      <c r="H5061" s="134" t="inlineStr">
        <is>
          <t>پاییز</t>
        </is>
      </c>
      <c r="I5061" s="134" t="inlineStr">
        <is>
          <t>دوشنبه</t>
        </is>
      </c>
      <c r="J5061" s="134" t="inlineStr">
        <is>
          <t>بله</t>
        </is>
      </c>
    </row>
    <row r="5062">
      <c r="A5062" s="173" t="n">
        <v>49983</v>
      </c>
      <c r="B5062" s="174" t="n">
        <v>49983</v>
      </c>
      <c r="C5062" s="174" t="n">
        <v>1415</v>
      </c>
      <c r="D5062" s="174" t="n">
        <v>8</v>
      </c>
      <c r="E5062" s="175" t="inlineStr">
        <is>
          <t>1415/08/14</t>
        </is>
      </c>
      <c r="F5062" s="128" t="inlineStr">
        <is>
          <t>1415/08</t>
        </is>
      </c>
      <c r="G5062" s="58" t="inlineStr">
        <is>
          <t>آبان</t>
        </is>
      </c>
      <c r="H5062" s="128" t="inlineStr">
        <is>
          <t>پاییز</t>
        </is>
      </c>
      <c r="I5062" s="128" t="inlineStr">
        <is>
          <t>سه‌شنبه</t>
        </is>
      </c>
      <c r="J5062" s="128" t="inlineStr">
        <is>
          <t>بله</t>
        </is>
      </c>
    </row>
    <row r="5063">
      <c r="A5063" s="176" t="n">
        <v>49984</v>
      </c>
      <c r="B5063" s="177" t="n">
        <v>49984</v>
      </c>
      <c r="C5063" s="177" t="n">
        <v>1415</v>
      </c>
      <c r="D5063" s="177" t="n">
        <v>8</v>
      </c>
      <c r="E5063" s="178" t="inlineStr">
        <is>
          <t>1415/08/15</t>
        </is>
      </c>
      <c r="F5063" s="134" t="inlineStr">
        <is>
          <t>1415/08</t>
        </is>
      </c>
      <c r="G5063" s="61" t="inlineStr">
        <is>
          <t>آبان</t>
        </is>
      </c>
      <c r="H5063" s="134" t="inlineStr">
        <is>
          <t>پاییز</t>
        </is>
      </c>
      <c r="I5063" s="134" t="inlineStr">
        <is>
          <t>چهارشنبه</t>
        </is>
      </c>
      <c r="J5063" s="134" t="inlineStr">
        <is>
          <t>بله</t>
        </is>
      </c>
    </row>
    <row r="5064">
      <c r="A5064" s="173" t="n">
        <v>49985</v>
      </c>
      <c r="B5064" s="174" t="n">
        <v>49985</v>
      </c>
      <c r="C5064" s="174" t="n">
        <v>1415</v>
      </c>
      <c r="D5064" s="174" t="n">
        <v>8</v>
      </c>
      <c r="E5064" s="175" t="inlineStr">
        <is>
          <t>1415/08/16</t>
        </is>
      </c>
      <c r="F5064" s="128" t="inlineStr">
        <is>
          <t>1415/08</t>
        </is>
      </c>
      <c r="G5064" s="58" t="inlineStr">
        <is>
          <t>آبان</t>
        </is>
      </c>
      <c r="H5064" s="128" t="inlineStr">
        <is>
          <t>پاییز</t>
        </is>
      </c>
      <c r="I5064" s="128" t="inlineStr">
        <is>
          <t>پنجشنبه</t>
        </is>
      </c>
      <c r="J5064" s="128" t="inlineStr">
        <is>
          <t>بله</t>
        </is>
      </c>
    </row>
    <row r="5065">
      <c r="A5065" s="176" t="n">
        <v>49986</v>
      </c>
      <c r="B5065" s="177" t="n">
        <v>49986</v>
      </c>
      <c r="C5065" s="177" t="n">
        <v>1415</v>
      </c>
      <c r="D5065" s="177" t="n">
        <v>8</v>
      </c>
      <c r="E5065" s="178" t="inlineStr">
        <is>
          <t>1415/08/17</t>
        </is>
      </c>
      <c r="F5065" s="134" t="inlineStr">
        <is>
          <t>1415/08</t>
        </is>
      </c>
      <c r="G5065" s="61" t="inlineStr">
        <is>
          <t>آبان</t>
        </is>
      </c>
      <c r="H5065" s="134" t="inlineStr">
        <is>
          <t>پاییز</t>
        </is>
      </c>
      <c r="I5065" s="134" t="inlineStr">
        <is>
          <t>جمعه</t>
        </is>
      </c>
      <c r="J5065" s="134" t="inlineStr">
        <is>
          <t>بله</t>
        </is>
      </c>
    </row>
    <row r="5066">
      <c r="A5066" s="173" t="n">
        <v>49987</v>
      </c>
      <c r="B5066" s="174" t="n">
        <v>49987</v>
      </c>
      <c r="C5066" s="174" t="n">
        <v>1415</v>
      </c>
      <c r="D5066" s="174" t="n">
        <v>8</v>
      </c>
      <c r="E5066" s="175" t="inlineStr">
        <is>
          <t>1415/08/18</t>
        </is>
      </c>
      <c r="F5066" s="128" t="inlineStr">
        <is>
          <t>1415/08</t>
        </is>
      </c>
      <c r="G5066" s="58" t="inlineStr">
        <is>
          <t>آبان</t>
        </is>
      </c>
      <c r="H5066" s="128" t="inlineStr">
        <is>
          <t>پاییز</t>
        </is>
      </c>
      <c r="I5066" s="128" t="inlineStr">
        <is>
          <t>شنبه</t>
        </is>
      </c>
      <c r="J5066" s="128" t="inlineStr">
        <is>
          <t>خیر</t>
        </is>
      </c>
    </row>
    <row r="5067">
      <c r="A5067" s="176" t="n">
        <v>49988</v>
      </c>
      <c r="B5067" s="177" t="n">
        <v>49988</v>
      </c>
      <c r="C5067" s="177" t="n">
        <v>1415</v>
      </c>
      <c r="D5067" s="177" t="n">
        <v>8</v>
      </c>
      <c r="E5067" s="178" t="inlineStr">
        <is>
          <t>1415/08/19</t>
        </is>
      </c>
      <c r="F5067" s="134" t="inlineStr">
        <is>
          <t>1415/08</t>
        </is>
      </c>
      <c r="G5067" s="61" t="inlineStr">
        <is>
          <t>آبان</t>
        </is>
      </c>
      <c r="H5067" s="134" t="inlineStr">
        <is>
          <t>پاییز</t>
        </is>
      </c>
      <c r="I5067" s="134" t="inlineStr">
        <is>
          <t>یکشنبه</t>
        </is>
      </c>
      <c r="J5067" s="134" t="inlineStr">
        <is>
          <t>خیر</t>
        </is>
      </c>
    </row>
    <row r="5068">
      <c r="A5068" s="173" t="n">
        <v>49989</v>
      </c>
      <c r="B5068" s="174" t="n">
        <v>49989</v>
      </c>
      <c r="C5068" s="174" t="n">
        <v>1415</v>
      </c>
      <c r="D5068" s="174" t="n">
        <v>8</v>
      </c>
      <c r="E5068" s="175" t="inlineStr">
        <is>
          <t>1415/08/20</t>
        </is>
      </c>
      <c r="F5068" s="128" t="inlineStr">
        <is>
          <t>1415/08</t>
        </is>
      </c>
      <c r="G5068" s="58" t="inlineStr">
        <is>
          <t>آبان</t>
        </is>
      </c>
      <c r="H5068" s="128" t="inlineStr">
        <is>
          <t>پاییز</t>
        </is>
      </c>
      <c r="I5068" s="128" t="inlineStr">
        <is>
          <t>دوشنبه</t>
        </is>
      </c>
      <c r="J5068" s="128" t="inlineStr">
        <is>
          <t>بله</t>
        </is>
      </c>
    </row>
    <row r="5069">
      <c r="A5069" s="176" t="n">
        <v>49990</v>
      </c>
      <c r="B5069" s="177" t="n">
        <v>49990</v>
      </c>
      <c r="C5069" s="177" t="n">
        <v>1415</v>
      </c>
      <c r="D5069" s="177" t="n">
        <v>8</v>
      </c>
      <c r="E5069" s="178" t="inlineStr">
        <is>
          <t>1415/08/21</t>
        </is>
      </c>
      <c r="F5069" s="134" t="inlineStr">
        <is>
          <t>1415/08</t>
        </is>
      </c>
      <c r="G5069" s="61" t="inlineStr">
        <is>
          <t>آبان</t>
        </is>
      </c>
      <c r="H5069" s="134" t="inlineStr">
        <is>
          <t>پاییز</t>
        </is>
      </c>
      <c r="I5069" s="134" t="inlineStr">
        <is>
          <t>سه‌شنبه</t>
        </is>
      </c>
      <c r="J5069" s="134" t="inlineStr">
        <is>
          <t>بله</t>
        </is>
      </c>
    </row>
    <row r="5070">
      <c r="A5070" s="173" t="n">
        <v>49991</v>
      </c>
      <c r="B5070" s="174" t="n">
        <v>49991</v>
      </c>
      <c r="C5070" s="174" t="n">
        <v>1415</v>
      </c>
      <c r="D5070" s="174" t="n">
        <v>8</v>
      </c>
      <c r="E5070" s="175" t="inlineStr">
        <is>
          <t>1415/08/22</t>
        </is>
      </c>
      <c r="F5070" s="128" t="inlineStr">
        <is>
          <t>1415/08</t>
        </is>
      </c>
      <c r="G5070" s="58" t="inlineStr">
        <is>
          <t>آبان</t>
        </is>
      </c>
      <c r="H5070" s="128" t="inlineStr">
        <is>
          <t>پاییز</t>
        </is>
      </c>
      <c r="I5070" s="128" t="inlineStr">
        <is>
          <t>چهارشنبه</t>
        </is>
      </c>
      <c r="J5070" s="128" t="inlineStr">
        <is>
          <t>بله</t>
        </is>
      </c>
    </row>
    <row r="5071">
      <c r="A5071" s="176" t="n">
        <v>49992</v>
      </c>
      <c r="B5071" s="177" t="n">
        <v>49992</v>
      </c>
      <c r="C5071" s="177" t="n">
        <v>1415</v>
      </c>
      <c r="D5071" s="177" t="n">
        <v>8</v>
      </c>
      <c r="E5071" s="178" t="inlineStr">
        <is>
          <t>1415/08/23</t>
        </is>
      </c>
      <c r="F5071" s="134" t="inlineStr">
        <is>
          <t>1415/08</t>
        </is>
      </c>
      <c r="G5071" s="61" t="inlineStr">
        <is>
          <t>آبان</t>
        </is>
      </c>
      <c r="H5071" s="134" t="inlineStr">
        <is>
          <t>پاییز</t>
        </is>
      </c>
      <c r="I5071" s="134" t="inlineStr">
        <is>
          <t>پنجشنبه</t>
        </is>
      </c>
      <c r="J5071" s="134" t="inlineStr">
        <is>
          <t>بله</t>
        </is>
      </c>
    </row>
    <row r="5072">
      <c r="A5072" s="173" t="n">
        <v>49993</v>
      </c>
      <c r="B5072" s="174" t="n">
        <v>49993</v>
      </c>
      <c r="C5072" s="174" t="n">
        <v>1415</v>
      </c>
      <c r="D5072" s="174" t="n">
        <v>8</v>
      </c>
      <c r="E5072" s="175" t="inlineStr">
        <is>
          <t>1415/08/24</t>
        </is>
      </c>
      <c r="F5072" s="128" t="inlineStr">
        <is>
          <t>1415/08</t>
        </is>
      </c>
      <c r="G5072" s="58" t="inlineStr">
        <is>
          <t>آبان</t>
        </is>
      </c>
      <c r="H5072" s="128" t="inlineStr">
        <is>
          <t>پاییز</t>
        </is>
      </c>
      <c r="I5072" s="128" t="inlineStr">
        <is>
          <t>جمعه</t>
        </is>
      </c>
      <c r="J5072" s="128" t="inlineStr">
        <is>
          <t>بله</t>
        </is>
      </c>
    </row>
    <row r="5073">
      <c r="A5073" s="176" t="n">
        <v>49994</v>
      </c>
      <c r="B5073" s="177" t="n">
        <v>49994</v>
      </c>
      <c r="C5073" s="177" t="n">
        <v>1415</v>
      </c>
      <c r="D5073" s="177" t="n">
        <v>8</v>
      </c>
      <c r="E5073" s="178" t="inlineStr">
        <is>
          <t>1415/08/25</t>
        </is>
      </c>
      <c r="F5073" s="134" t="inlineStr">
        <is>
          <t>1415/08</t>
        </is>
      </c>
      <c r="G5073" s="61" t="inlineStr">
        <is>
          <t>آبان</t>
        </is>
      </c>
      <c r="H5073" s="134" t="inlineStr">
        <is>
          <t>پاییز</t>
        </is>
      </c>
      <c r="I5073" s="134" t="inlineStr">
        <is>
          <t>شنبه</t>
        </is>
      </c>
      <c r="J5073" s="134" t="inlineStr">
        <is>
          <t>خیر</t>
        </is>
      </c>
    </row>
    <row r="5074">
      <c r="A5074" s="173" t="n">
        <v>49995</v>
      </c>
      <c r="B5074" s="174" t="n">
        <v>49995</v>
      </c>
      <c r="C5074" s="174" t="n">
        <v>1415</v>
      </c>
      <c r="D5074" s="174" t="n">
        <v>8</v>
      </c>
      <c r="E5074" s="175" t="inlineStr">
        <is>
          <t>1415/08/26</t>
        </is>
      </c>
      <c r="F5074" s="128" t="inlineStr">
        <is>
          <t>1415/08</t>
        </is>
      </c>
      <c r="G5074" s="58" t="inlineStr">
        <is>
          <t>آبان</t>
        </is>
      </c>
      <c r="H5074" s="128" t="inlineStr">
        <is>
          <t>پاییز</t>
        </is>
      </c>
      <c r="I5074" s="128" t="inlineStr">
        <is>
          <t>یکشنبه</t>
        </is>
      </c>
      <c r="J5074" s="128" t="inlineStr">
        <is>
          <t>خیر</t>
        </is>
      </c>
    </row>
    <row r="5075">
      <c r="A5075" s="176" t="n">
        <v>49996</v>
      </c>
      <c r="B5075" s="177" t="n">
        <v>49996</v>
      </c>
      <c r="C5075" s="177" t="n">
        <v>1415</v>
      </c>
      <c r="D5075" s="177" t="n">
        <v>8</v>
      </c>
      <c r="E5075" s="178" t="inlineStr">
        <is>
          <t>1415/08/27</t>
        </is>
      </c>
      <c r="F5075" s="134" t="inlineStr">
        <is>
          <t>1415/08</t>
        </is>
      </c>
      <c r="G5075" s="61" t="inlineStr">
        <is>
          <t>آبان</t>
        </is>
      </c>
      <c r="H5075" s="134" t="inlineStr">
        <is>
          <t>پاییز</t>
        </is>
      </c>
      <c r="I5075" s="134" t="inlineStr">
        <is>
          <t>دوشنبه</t>
        </is>
      </c>
      <c r="J5075" s="134" t="inlineStr">
        <is>
          <t>بله</t>
        </is>
      </c>
    </row>
    <row r="5076">
      <c r="A5076" s="173" t="n">
        <v>49997</v>
      </c>
      <c r="B5076" s="174" t="n">
        <v>49997</v>
      </c>
      <c r="C5076" s="174" t="n">
        <v>1415</v>
      </c>
      <c r="D5076" s="174" t="n">
        <v>8</v>
      </c>
      <c r="E5076" s="175" t="inlineStr">
        <is>
          <t>1415/08/28</t>
        </is>
      </c>
      <c r="F5076" s="128" t="inlineStr">
        <is>
          <t>1415/08</t>
        </is>
      </c>
      <c r="G5076" s="58" t="inlineStr">
        <is>
          <t>آبان</t>
        </is>
      </c>
      <c r="H5076" s="128" t="inlineStr">
        <is>
          <t>پاییز</t>
        </is>
      </c>
      <c r="I5076" s="128" t="inlineStr">
        <is>
          <t>سه‌شنبه</t>
        </is>
      </c>
      <c r="J5076" s="128" t="inlineStr">
        <is>
          <t>بله</t>
        </is>
      </c>
    </row>
    <row r="5077">
      <c r="A5077" s="176" t="n">
        <v>49998</v>
      </c>
      <c r="B5077" s="177" t="n">
        <v>49998</v>
      </c>
      <c r="C5077" s="177" t="n">
        <v>1415</v>
      </c>
      <c r="D5077" s="177" t="n">
        <v>8</v>
      </c>
      <c r="E5077" s="178" t="inlineStr">
        <is>
          <t>1415/08/29</t>
        </is>
      </c>
      <c r="F5077" s="134" t="inlineStr">
        <is>
          <t>1415/08</t>
        </is>
      </c>
      <c r="G5077" s="61" t="inlineStr">
        <is>
          <t>آبان</t>
        </is>
      </c>
      <c r="H5077" s="134" t="inlineStr">
        <is>
          <t>پاییز</t>
        </is>
      </c>
      <c r="I5077" s="134" t="inlineStr">
        <is>
          <t>چهارشنبه</t>
        </is>
      </c>
      <c r="J5077" s="134" t="inlineStr">
        <is>
          <t>بله</t>
        </is>
      </c>
    </row>
    <row r="5078">
      <c r="A5078" s="173" t="n">
        <v>49999</v>
      </c>
      <c r="B5078" s="174" t="n">
        <v>49999</v>
      </c>
      <c r="C5078" s="174" t="n">
        <v>1415</v>
      </c>
      <c r="D5078" s="174" t="n">
        <v>8</v>
      </c>
      <c r="E5078" s="175" t="inlineStr">
        <is>
          <t>1415/08/30</t>
        </is>
      </c>
      <c r="F5078" s="128" t="inlineStr">
        <is>
          <t>1415/08</t>
        </is>
      </c>
      <c r="G5078" s="58" t="inlineStr">
        <is>
          <t>آبان</t>
        </is>
      </c>
      <c r="H5078" s="128" t="inlineStr">
        <is>
          <t>پاییز</t>
        </is>
      </c>
      <c r="I5078" s="128" t="inlineStr">
        <is>
          <t>پنجشنبه</t>
        </is>
      </c>
      <c r="J5078" s="128" t="inlineStr">
        <is>
          <t>بله</t>
        </is>
      </c>
    </row>
    <row r="5079">
      <c r="A5079" s="176" t="n">
        <v>50000</v>
      </c>
      <c r="B5079" s="177" t="n">
        <v>50000</v>
      </c>
      <c r="C5079" s="177" t="n">
        <v>1415</v>
      </c>
      <c r="D5079" s="177" t="n">
        <v>9</v>
      </c>
      <c r="E5079" s="178" t="inlineStr">
        <is>
          <t>1415/09/01</t>
        </is>
      </c>
      <c r="F5079" s="134" t="inlineStr">
        <is>
          <t>1415/09</t>
        </is>
      </c>
      <c r="G5079" s="61" t="inlineStr">
        <is>
          <t>آذر</t>
        </is>
      </c>
      <c r="H5079" s="134" t="inlineStr">
        <is>
          <t>پاییز</t>
        </is>
      </c>
      <c r="I5079" s="134" t="inlineStr">
        <is>
          <t>جمعه</t>
        </is>
      </c>
      <c r="J5079" s="134" t="inlineStr">
        <is>
          <t>بله</t>
        </is>
      </c>
    </row>
    <row r="5080">
      <c r="A5080" s="173" t="n">
        <v>50001</v>
      </c>
      <c r="B5080" s="174" t="n">
        <v>50001</v>
      </c>
      <c r="C5080" s="174" t="n">
        <v>1415</v>
      </c>
      <c r="D5080" s="174" t="n">
        <v>9</v>
      </c>
      <c r="E5080" s="175" t="inlineStr">
        <is>
          <t>1415/09/02</t>
        </is>
      </c>
      <c r="F5080" s="128" t="inlineStr">
        <is>
          <t>1415/09</t>
        </is>
      </c>
      <c r="G5080" s="58" t="inlineStr">
        <is>
          <t>آذر</t>
        </is>
      </c>
      <c r="H5080" s="128" t="inlineStr">
        <is>
          <t>پاییز</t>
        </is>
      </c>
      <c r="I5080" s="128" t="inlineStr">
        <is>
          <t>شنبه</t>
        </is>
      </c>
      <c r="J5080" s="128" t="inlineStr">
        <is>
          <t>خیر</t>
        </is>
      </c>
    </row>
    <row r="5081">
      <c r="A5081" s="176" t="n">
        <v>50002</v>
      </c>
      <c r="B5081" s="177" t="n">
        <v>50002</v>
      </c>
      <c r="C5081" s="177" t="n">
        <v>1415</v>
      </c>
      <c r="D5081" s="177" t="n">
        <v>9</v>
      </c>
      <c r="E5081" s="178" t="inlineStr">
        <is>
          <t>1415/09/03</t>
        </is>
      </c>
      <c r="F5081" s="134" t="inlineStr">
        <is>
          <t>1415/09</t>
        </is>
      </c>
      <c r="G5081" s="61" t="inlineStr">
        <is>
          <t>آذر</t>
        </is>
      </c>
      <c r="H5081" s="134" t="inlineStr">
        <is>
          <t>پاییز</t>
        </is>
      </c>
      <c r="I5081" s="134" t="inlineStr">
        <is>
          <t>یکشنبه</t>
        </is>
      </c>
      <c r="J5081" s="134" t="inlineStr">
        <is>
          <t>خیر</t>
        </is>
      </c>
    </row>
    <row r="5082">
      <c r="A5082" s="173" t="n">
        <v>50003</v>
      </c>
      <c r="B5082" s="174" t="n">
        <v>50003</v>
      </c>
      <c r="C5082" s="174" t="n">
        <v>1415</v>
      </c>
      <c r="D5082" s="174" t="n">
        <v>9</v>
      </c>
      <c r="E5082" s="175" t="inlineStr">
        <is>
          <t>1415/09/04</t>
        </is>
      </c>
      <c r="F5082" s="128" t="inlineStr">
        <is>
          <t>1415/09</t>
        </is>
      </c>
      <c r="G5082" s="58" t="inlineStr">
        <is>
          <t>آذر</t>
        </is>
      </c>
      <c r="H5082" s="128" t="inlineStr">
        <is>
          <t>پاییز</t>
        </is>
      </c>
      <c r="I5082" s="128" t="inlineStr">
        <is>
          <t>دوشنبه</t>
        </is>
      </c>
      <c r="J5082" s="128" t="inlineStr">
        <is>
          <t>بله</t>
        </is>
      </c>
    </row>
    <row r="5083">
      <c r="A5083" s="176" t="n">
        <v>50004</v>
      </c>
      <c r="B5083" s="177" t="n">
        <v>50004</v>
      </c>
      <c r="C5083" s="177" t="n">
        <v>1415</v>
      </c>
      <c r="D5083" s="177" t="n">
        <v>9</v>
      </c>
      <c r="E5083" s="178" t="inlineStr">
        <is>
          <t>1415/09/05</t>
        </is>
      </c>
      <c r="F5083" s="134" t="inlineStr">
        <is>
          <t>1415/09</t>
        </is>
      </c>
      <c r="G5083" s="61" t="inlineStr">
        <is>
          <t>آذر</t>
        </is>
      </c>
      <c r="H5083" s="134" t="inlineStr">
        <is>
          <t>پاییز</t>
        </is>
      </c>
      <c r="I5083" s="134" t="inlineStr">
        <is>
          <t>سه‌شنبه</t>
        </is>
      </c>
      <c r="J5083" s="134" t="inlineStr">
        <is>
          <t>بله</t>
        </is>
      </c>
    </row>
    <row r="5084">
      <c r="A5084" s="173" t="n">
        <v>50005</v>
      </c>
      <c r="B5084" s="174" t="n">
        <v>50005</v>
      </c>
      <c r="C5084" s="174" t="n">
        <v>1415</v>
      </c>
      <c r="D5084" s="174" t="n">
        <v>9</v>
      </c>
      <c r="E5084" s="175" t="inlineStr">
        <is>
          <t>1415/09/06</t>
        </is>
      </c>
      <c r="F5084" s="128" t="inlineStr">
        <is>
          <t>1415/09</t>
        </is>
      </c>
      <c r="G5084" s="58" t="inlineStr">
        <is>
          <t>آذر</t>
        </is>
      </c>
      <c r="H5084" s="128" t="inlineStr">
        <is>
          <t>پاییز</t>
        </is>
      </c>
      <c r="I5084" s="128" t="inlineStr">
        <is>
          <t>چهارشنبه</t>
        </is>
      </c>
      <c r="J5084" s="128" t="inlineStr">
        <is>
          <t>بله</t>
        </is>
      </c>
    </row>
    <row r="5085">
      <c r="A5085" s="176" t="n">
        <v>50006</v>
      </c>
      <c r="B5085" s="177" t="n">
        <v>50006</v>
      </c>
      <c r="C5085" s="177" t="n">
        <v>1415</v>
      </c>
      <c r="D5085" s="177" t="n">
        <v>9</v>
      </c>
      <c r="E5085" s="178" t="inlineStr">
        <is>
          <t>1415/09/07</t>
        </is>
      </c>
      <c r="F5085" s="134" t="inlineStr">
        <is>
          <t>1415/09</t>
        </is>
      </c>
      <c r="G5085" s="61" t="inlineStr">
        <is>
          <t>آذر</t>
        </is>
      </c>
      <c r="H5085" s="134" t="inlineStr">
        <is>
          <t>پاییز</t>
        </is>
      </c>
      <c r="I5085" s="134" t="inlineStr">
        <is>
          <t>پنجشنبه</t>
        </is>
      </c>
      <c r="J5085" s="134" t="inlineStr">
        <is>
          <t>بله</t>
        </is>
      </c>
    </row>
    <row r="5086">
      <c r="A5086" s="173" t="n">
        <v>50007</v>
      </c>
      <c r="B5086" s="174" t="n">
        <v>50007</v>
      </c>
      <c r="C5086" s="174" t="n">
        <v>1415</v>
      </c>
      <c r="D5086" s="174" t="n">
        <v>9</v>
      </c>
      <c r="E5086" s="175" t="inlineStr">
        <is>
          <t>1415/09/08</t>
        </is>
      </c>
      <c r="F5086" s="128" t="inlineStr">
        <is>
          <t>1415/09</t>
        </is>
      </c>
      <c r="G5086" s="58" t="inlineStr">
        <is>
          <t>آذر</t>
        </is>
      </c>
      <c r="H5086" s="128" t="inlineStr">
        <is>
          <t>پاییز</t>
        </is>
      </c>
      <c r="I5086" s="128" t="inlineStr">
        <is>
          <t>جمعه</t>
        </is>
      </c>
      <c r="J5086" s="128" t="inlineStr">
        <is>
          <t>بله</t>
        </is>
      </c>
    </row>
    <row r="5087">
      <c r="A5087" s="176" t="n">
        <v>50008</v>
      </c>
      <c r="B5087" s="177" t="n">
        <v>50008</v>
      </c>
      <c r="C5087" s="177" t="n">
        <v>1415</v>
      </c>
      <c r="D5087" s="177" t="n">
        <v>9</v>
      </c>
      <c r="E5087" s="178" t="inlineStr">
        <is>
          <t>1415/09/09</t>
        </is>
      </c>
      <c r="F5087" s="134" t="inlineStr">
        <is>
          <t>1415/09</t>
        </is>
      </c>
      <c r="G5087" s="61" t="inlineStr">
        <is>
          <t>آذر</t>
        </is>
      </c>
      <c r="H5087" s="134" t="inlineStr">
        <is>
          <t>پاییز</t>
        </is>
      </c>
      <c r="I5087" s="134" t="inlineStr">
        <is>
          <t>شنبه</t>
        </is>
      </c>
      <c r="J5087" s="134" t="inlineStr">
        <is>
          <t>خیر</t>
        </is>
      </c>
    </row>
    <row r="5088">
      <c r="A5088" s="173" t="n">
        <v>50009</v>
      </c>
      <c r="B5088" s="174" t="n">
        <v>50009</v>
      </c>
      <c r="C5088" s="174" t="n">
        <v>1415</v>
      </c>
      <c r="D5088" s="174" t="n">
        <v>9</v>
      </c>
      <c r="E5088" s="175" t="inlineStr">
        <is>
          <t>1415/09/10</t>
        </is>
      </c>
      <c r="F5088" s="128" t="inlineStr">
        <is>
          <t>1415/09</t>
        </is>
      </c>
      <c r="G5088" s="58" t="inlineStr">
        <is>
          <t>آذر</t>
        </is>
      </c>
      <c r="H5088" s="128" t="inlineStr">
        <is>
          <t>پاییز</t>
        </is>
      </c>
      <c r="I5088" s="128" t="inlineStr">
        <is>
          <t>یکشنبه</t>
        </is>
      </c>
      <c r="J5088" s="128" t="inlineStr">
        <is>
          <t>خیر</t>
        </is>
      </c>
    </row>
    <row r="5089">
      <c r="A5089" s="176" t="n">
        <v>50010</v>
      </c>
      <c r="B5089" s="177" t="n">
        <v>50010</v>
      </c>
      <c r="C5089" s="177" t="n">
        <v>1415</v>
      </c>
      <c r="D5089" s="177" t="n">
        <v>9</v>
      </c>
      <c r="E5089" s="178" t="inlineStr">
        <is>
          <t>1415/09/11</t>
        </is>
      </c>
      <c r="F5089" s="134" t="inlineStr">
        <is>
          <t>1415/09</t>
        </is>
      </c>
      <c r="G5089" s="61" t="inlineStr">
        <is>
          <t>آذر</t>
        </is>
      </c>
      <c r="H5089" s="134" t="inlineStr">
        <is>
          <t>پاییز</t>
        </is>
      </c>
      <c r="I5089" s="134" t="inlineStr">
        <is>
          <t>دوشنبه</t>
        </is>
      </c>
      <c r="J5089" s="134" t="inlineStr">
        <is>
          <t>بله</t>
        </is>
      </c>
    </row>
    <row r="5090">
      <c r="A5090" s="173" t="n">
        <v>50011</v>
      </c>
      <c r="B5090" s="174" t="n">
        <v>50011</v>
      </c>
      <c r="C5090" s="174" t="n">
        <v>1415</v>
      </c>
      <c r="D5090" s="174" t="n">
        <v>9</v>
      </c>
      <c r="E5090" s="175" t="inlineStr">
        <is>
          <t>1415/09/12</t>
        </is>
      </c>
      <c r="F5090" s="128" t="inlineStr">
        <is>
          <t>1415/09</t>
        </is>
      </c>
      <c r="G5090" s="58" t="inlineStr">
        <is>
          <t>آذر</t>
        </is>
      </c>
      <c r="H5090" s="128" t="inlineStr">
        <is>
          <t>پاییز</t>
        </is>
      </c>
      <c r="I5090" s="128" t="inlineStr">
        <is>
          <t>سه‌شنبه</t>
        </is>
      </c>
      <c r="J5090" s="128" t="inlineStr">
        <is>
          <t>بله</t>
        </is>
      </c>
    </row>
    <row r="5091">
      <c r="A5091" s="176" t="n">
        <v>50012</v>
      </c>
      <c r="B5091" s="177" t="n">
        <v>50012</v>
      </c>
      <c r="C5091" s="177" t="n">
        <v>1415</v>
      </c>
      <c r="D5091" s="177" t="n">
        <v>9</v>
      </c>
      <c r="E5091" s="178" t="inlineStr">
        <is>
          <t>1415/09/13</t>
        </is>
      </c>
      <c r="F5091" s="134" t="inlineStr">
        <is>
          <t>1415/09</t>
        </is>
      </c>
      <c r="G5091" s="61" t="inlineStr">
        <is>
          <t>آذر</t>
        </is>
      </c>
      <c r="H5091" s="134" t="inlineStr">
        <is>
          <t>پاییز</t>
        </is>
      </c>
      <c r="I5091" s="134" t="inlineStr">
        <is>
          <t>چهارشنبه</t>
        </is>
      </c>
      <c r="J5091" s="134" t="inlineStr">
        <is>
          <t>بله</t>
        </is>
      </c>
    </row>
    <row r="5092">
      <c r="A5092" s="173" t="n">
        <v>50013</v>
      </c>
      <c r="B5092" s="174" t="n">
        <v>50013</v>
      </c>
      <c r="C5092" s="174" t="n">
        <v>1415</v>
      </c>
      <c r="D5092" s="174" t="n">
        <v>9</v>
      </c>
      <c r="E5092" s="175" t="inlineStr">
        <is>
          <t>1415/09/14</t>
        </is>
      </c>
      <c r="F5092" s="128" t="inlineStr">
        <is>
          <t>1415/09</t>
        </is>
      </c>
      <c r="G5092" s="58" t="inlineStr">
        <is>
          <t>آذر</t>
        </is>
      </c>
      <c r="H5092" s="128" t="inlineStr">
        <is>
          <t>پاییز</t>
        </is>
      </c>
      <c r="I5092" s="128" t="inlineStr">
        <is>
          <t>پنجشنبه</t>
        </is>
      </c>
      <c r="J5092" s="128" t="inlineStr">
        <is>
          <t>بله</t>
        </is>
      </c>
    </row>
    <row r="5093">
      <c r="A5093" s="176" t="n">
        <v>50014</v>
      </c>
      <c r="B5093" s="177" t="n">
        <v>50014</v>
      </c>
      <c r="C5093" s="177" t="n">
        <v>1415</v>
      </c>
      <c r="D5093" s="177" t="n">
        <v>9</v>
      </c>
      <c r="E5093" s="178" t="inlineStr">
        <is>
          <t>1415/09/15</t>
        </is>
      </c>
      <c r="F5093" s="134" t="inlineStr">
        <is>
          <t>1415/09</t>
        </is>
      </c>
      <c r="G5093" s="61" t="inlineStr">
        <is>
          <t>آذر</t>
        </is>
      </c>
      <c r="H5093" s="134" t="inlineStr">
        <is>
          <t>پاییز</t>
        </is>
      </c>
      <c r="I5093" s="134" t="inlineStr">
        <is>
          <t>جمعه</t>
        </is>
      </c>
      <c r="J5093" s="134" t="inlineStr">
        <is>
          <t>بله</t>
        </is>
      </c>
    </row>
    <row r="5094">
      <c r="A5094" s="173" t="n">
        <v>50015</v>
      </c>
      <c r="B5094" s="174" t="n">
        <v>50015</v>
      </c>
      <c r="C5094" s="174" t="n">
        <v>1415</v>
      </c>
      <c r="D5094" s="174" t="n">
        <v>9</v>
      </c>
      <c r="E5094" s="175" t="inlineStr">
        <is>
          <t>1415/09/16</t>
        </is>
      </c>
      <c r="F5094" s="128" t="inlineStr">
        <is>
          <t>1415/09</t>
        </is>
      </c>
      <c r="G5094" s="58" t="inlineStr">
        <is>
          <t>آذر</t>
        </is>
      </c>
      <c r="H5094" s="128" t="inlineStr">
        <is>
          <t>پاییز</t>
        </is>
      </c>
      <c r="I5094" s="128" t="inlineStr">
        <is>
          <t>شنبه</t>
        </is>
      </c>
      <c r="J5094" s="128" t="inlineStr">
        <is>
          <t>خیر</t>
        </is>
      </c>
    </row>
    <row r="5095">
      <c r="A5095" s="176" t="n">
        <v>50016</v>
      </c>
      <c r="B5095" s="177" t="n">
        <v>50016</v>
      </c>
      <c r="C5095" s="177" t="n">
        <v>1415</v>
      </c>
      <c r="D5095" s="177" t="n">
        <v>9</v>
      </c>
      <c r="E5095" s="178" t="inlineStr">
        <is>
          <t>1415/09/17</t>
        </is>
      </c>
      <c r="F5095" s="134" t="inlineStr">
        <is>
          <t>1415/09</t>
        </is>
      </c>
      <c r="G5095" s="61" t="inlineStr">
        <is>
          <t>آذر</t>
        </is>
      </c>
      <c r="H5095" s="134" t="inlineStr">
        <is>
          <t>پاییز</t>
        </is>
      </c>
      <c r="I5095" s="134" t="inlineStr">
        <is>
          <t>یکشنبه</t>
        </is>
      </c>
      <c r="J5095" s="134" t="inlineStr">
        <is>
          <t>خیر</t>
        </is>
      </c>
    </row>
    <row r="5096">
      <c r="A5096" s="173" t="n">
        <v>50017</v>
      </c>
      <c r="B5096" s="174" t="n">
        <v>50017</v>
      </c>
      <c r="C5096" s="174" t="n">
        <v>1415</v>
      </c>
      <c r="D5096" s="174" t="n">
        <v>9</v>
      </c>
      <c r="E5096" s="175" t="inlineStr">
        <is>
          <t>1415/09/18</t>
        </is>
      </c>
      <c r="F5096" s="128" t="inlineStr">
        <is>
          <t>1415/09</t>
        </is>
      </c>
      <c r="G5096" s="58" t="inlineStr">
        <is>
          <t>آذر</t>
        </is>
      </c>
      <c r="H5096" s="128" t="inlineStr">
        <is>
          <t>پاییز</t>
        </is>
      </c>
      <c r="I5096" s="128" t="inlineStr">
        <is>
          <t>دوشنبه</t>
        </is>
      </c>
      <c r="J5096" s="128" t="inlineStr">
        <is>
          <t>بله</t>
        </is>
      </c>
    </row>
    <row r="5097">
      <c r="A5097" s="176" t="n">
        <v>50018</v>
      </c>
      <c r="B5097" s="177" t="n">
        <v>50018</v>
      </c>
      <c r="C5097" s="177" t="n">
        <v>1415</v>
      </c>
      <c r="D5097" s="177" t="n">
        <v>9</v>
      </c>
      <c r="E5097" s="178" t="inlineStr">
        <is>
          <t>1415/09/19</t>
        </is>
      </c>
      <c r="F5097" s="134" t="inlineStr">
        <is>
          <t>1415/09</t>
        </is>
      </c>
      <c r="G5097" s="61" t="inlineStr">
        <is>
          <t>آذر</t>
        </is>
      </c>
      <c r="H5097" s="134" t="inlineStr">
        <is>
          <t>پاییز</t>
        </is>
      </c>
      <c r="I5097" s="134" t="inlineStr">
        <is>
          <t>سه‌شنبه</t>
        </is>
      </c>
      <c r="J5097" s="134" t="inlineStr">
        <is>
          <t>بله</t>
        </is>
      </c>
    </row>
    <row r="5098">
      <c r="A5098" s="173" t="n">
        <v>50019</v>
      </c>
      <c r="B5098" s="174" t="n">
        <v>50019</v>
      </c>
      <c r="C5098" s="174" t="n">
        <v>1415</v>
      </c>
      <c r="D5098" s="174" t="n">
        <v>9</v>
      </c>
      <c r="E5098" s="175" t="inlineStr">
        <is>
          <t>1415/09/20</t>
        </is>
      </c>
      <c r="F5098" s="128" t="inlineStr">
        <is>
          <t>1415/09</t>
        </is>
      </c>
      <c r="G5098" s="58" t="inlineStr">
        <is>
          <t>آذر</t>
        </is>
      </c>
      <c r="H5098" s="128" t="inlineStr">
        <is>
          <t>پاییز</t>
        </is>
      </c>
      <c r="I5098" s="128" t="inlineStr">
        <is>
          <t>چهارشنبه</t>
        </is>
      </c>
      <c r="J5098" s="128" t="inlineStr">
        <is>
          <t>بله</t>
        </is>
      </c>
    </row>
    <row r="5099">
      <c r="A5099" s="176" t="n">
        <v>50020</v>
      </c>
      <c r="B5099" s="177" t="n">
        <v>50020</v>
      </c>
      <c r="C5099" s="177" t="n">
        <v>1415</v>
      </c>
      <c r="D5099" s="177" t="n">
        <v>9</v>
      </c>
      <c r="E5099" s="178" t="inlineStr">
        <is>
          <t>1415/09/21</t>
        </is>
      </c>
      <c r="F5099" s="134" t="inlineStr">
        <is>
          <t>1415/09</t>
        </is>
      </c>
      <c r="G5099" s="61" t="inlineStr">
        <is>
          <t>آذر</t>
        </is>
      </c>
      <c r="H5099" s="134" t="inlineStr">
        <is>
          <t>پاییز</t>
        </is>
      </c>
      <c r="I5099" s="134" t="inlineStr">
        <is>
          <t>پنجشنبه</t>
        </is>
      </c>
      <c r="J5099" s="134" t="inlineStr">
        <is>
          <t>بله</t>
        </is>
      </c>
    </row>
    <row r="5100">
      <c r="A5100" s="173" t="n">
        <v>50021</v>
      </c>
      <c r="B5100" s="174" t="n">
        <v>50021</v>
      </c>
      <c r="C5100" s="174" t="n">
        <v>1415</v>
      </c>
      <c r="D5100" s="174" t="n">
        <v>9</v>
      </c>
      <c r="E5100" s="175" t="inlineStr">
        <is>
          <t>1415/09/22</t>
        </is>
      </c>
      <c r="F5100" s="128" t="inlineStr">
        <is>
          <t>1415/09</t>
        </is>
      </c>
      <c r="G5100" s="58" t="inlineStr">
        <is>
          <t>آذر</t>
        </is>
      </c>
      <c r="H5100" s="128" t="inlineStr">
        <is>
          <t>پاییز</t>
        </is>
      </c>
      <c r="I5100" s="128" t="inlineStr">
        <is>
          <t>جمعه</t>
        </is>
      </c>
      <c r="J5100" s="128" t="inlineStr">
        <is>
          <t>بله</t>
        </is>
      </c>
    </row>
    <row r="5101">
      <c r="A5101" s="176" t="n">
        <v>50022</v>
      </c>
      <c r="B5101" s="177" t="n">
        <v>50022</v>
      </c>
      <c r="C5101" s="177" t="n">
        <v>1415</v>
      </c>
      <c r="D5101" s="177" t="n">
        <v>9</v>
      </c>
      <c r="E5101" s="178" t="inlineStr">
        <is>
          <t>1415/09/23</t>
        </is>
      </c>
      <c r="F5101" s="134" t="inlineStr">
        <is>
          <t>1415/09</t>
        </is>
      </c>
      <c r="G5101" s="61" t="inlineStr">
        <is>
          <t>آذر</t>
        </is>
      </c>
      <c r="H5101" s="134" t="inlineStr">
        <is>
          <t>پاییز</t>
        </is>
      </c>
      <c r="I5101" s="134" t="inlineStr">
        <is>
          <t>شنبه</t>
        </is>
      </c>
      <c r="J5101" s="134" t="inlineStr">
        <is>
          <t>خیر</t>
        </is>
      </c>
    </row>
    <row r="5102">
      <c r="A5102" s="173" t="n">
        <v>50023</v>
      </c>
      <c r="B5102" s="174" t="n">
        <v>50023</v>
      </c>
      <c r="C5102" s="174" t="n">
        <v>1415</v>
      </c>
      <c r="D5102" s="174" t="n">
        <v>9</v>
      </c>
      <c r="E5102" s="175" t="inlineStr">
        <is>
          <t>1415/09/24</t>
        </is>
      </c>
      <c r="F5102" s="128" t="inlineStr">
        <is>
          <t>1415/09</t>
        </is>
      </c>
      <c r="G5102" s="58" t="inlineStr">
        <is>
          <t>آذر</t>
        </is>
      </c>
      <c r="H5102" s="128" t="inlineStr">
        <is>
          <t>پاییز</t>
        </is>
      </c>
      <c r="I5102" s="128" t="inlineStr">
        <is>
          <t>یکشنبه</t>
        </is>
      </c>
      <c r="J5102" s="128" t="inlineStr">
        <is>
          <t>خیر</t>
        </is>
      </c>
    </row>
    <row r="5103">
      <c r="A5103" s="176" t="n">
        <v>50024</v>
      </c>
      <c r="B5103" s="177" t="n">
        <v>50024</v>
      </c>
      <c r="C5103" s="177" t="n">
        <v>1415</v>
      </c>
      <c r="D5103" s="177" t="n">
        <v>9</v>
      </c>
      <c r="E5103" s="178" t="inlineStr">
        <is>
          <t>1415/09/25</t>
        </is>
      </c>
      <c r="F5103" s="134" t="inlineStr">
        <is>
          <t>1415/09</t>
        </is>
      </c>
      <c r="G5103" s="61" t="inlineStr">
        <is>
          <t>آذر</t>
        </is>
      </c>
      <c r="H5103" s="134" t="inlineStr">
        <is>
          <t>پاییز</t>
        </is>
      </c>
      <c r="I5103" s="134" t="inlineStr">
        <is>
          <t>دوشنبه</t>
        </is>
      </c>
      <c r="J5103" s="134" t="inlineStr">
        <is>
          <t>بله</t>
        </is>
      </c>
    </row>
    <row r="5104">
      <c r="A5104" s="173" t="n">
        <v>50025</v>
      </c>
      <c r="B5104" s="174" t="n">
        <v>50025</v>
      </c>
      <c r="C5104" s="174" t="n">
        <v>1415</v>
      </c>
      <c r="D5104" s="174" t="n">
        <v>9</v>
      </c>
      <c r="E5104" s="175" t="inlineStr">
        <is>
          <t>1415/09/26</t>
        </is>
      </c>
      <c r="F5104" s="128" t="inlineStr">
        <is>
          <t>1415/09</t>
        </is>
      </c>
      <c r="G5104" s="58" t="inlineStr">
        <is>
          <t>آذر</t>
        </is>
      </c>
      <c r="H5104" s="128" t="inlineStr">
        <is>
          <t>پاییز</t>
        </is>
      </c>
      <c r="I5104" s="128" t="inlineStr">
        <is>
          <t>سه‌شنبه</t>
        </is>
      </c>
      <c r="J5104" s="128" t="inlineStr">
        <is>
          <t>بله</t>
        </is>
      </c>
    </row>
    <row r="5105">
      <c r="A5105" s="176" t="n">
        <v>50026</v>
      </c>
      <c r="B5105" s="177" t="n">
        <v>50026</v>
      </c>
      <c r="C5105" s="177" t="n">
        <v>1415</v>
      </c>
      <c r="D5105" s="177" t="n">
        <v>9</v>
      </c>
      <c r="E5105" s="178" t="inlineStr">
        <is>
          <t>1415/09/27</t>
        </is>
      </c>
      <c r="F5105" s="134" t="inlineStr">
        <is>
          <t>1415/09</t>
        </is>
      </c>
      <c r="G5105" s="61" t="inlineStr">
        <is>
          <t>آذر</t>
        </is>
      </c>
      <c r="H5105" s="134" t="inlineStr">
        <is>
          <t>پاییز</t>
        </is>
      </c>
      <c r="I5105" s="134" t="inlineStr">
        <is>
          <t>چهارشنبه</t>
        </is>
      </c>
      <c r="J5105" s="134" t="inlineStr">
        <is>
          <t>بله</t>
        </is>
      </c>
    </row>
    <row r="5106">
      <c r="A5106" s="173" t="n">
        <v>50027</v>
      </c>
      <c r="B5106" s="174" t="n">
        <v>50027</v>
      </c>
      <c r="C5106" s="174" t="n">
        <v>1415</v>
      </c>
      <c r="D5106" s="174" t="n">
        <v>9</v>
      </c>
      <c r="E5106" s="175" t="inlineStr">
        <is>
          <t>1415/09/28</t>
        </is>
      </c>
      <c r="F5106" s="128" t="inlineStr">
        <is>
          <t>1415/09</t>
        </is>
      </c>
      <c r="G5106" s="58" t="inlineStr">
        <is>
          <t>آذر</t>
        </is>
      </c>
      <c r="H5106" s="128" t="inlineStr">
        <is>
          <t>پاییز</t>
        </is>
      </c>
      <c r="I5106" s="128" t="inlineStr">
        <is>
          <t>پنجشنبه</t>
        </is>
      </c>
      <c r="J5106" s="128" t="inlineStr">
        <is>
          <t>بله</t>
        </is>
      </c>
    </row>
    <row r="5107">
      <c r="A5107" s="176" t="n">
        <v>50028</v>
      </c>
      <c r="B5107" s="177" t="n">
        <v>50028</v>
      </c>
      <c r="C5107" s="177" t="n">
        <v>1415</v>
      </c>
      <c r="D5107" s="177" t="n">
        <v>9</v>
      </c>
      <c r="E5107" s="178" t="inlineStr">
        <is>
          <t>1415/09/29</t>
        </is>
      </c>
      <c r="F5107" s="134" t="inlineStr">
        <is>
          <t>1415/09</t>
        </is>
      </c>
      <c r="G5107" s="61" t="inlineStr">
        <is>
          <t>آذر</t>
        </is>
      </c>
      <c r="H5107" s="134" t="inlineStr">
        <is>
          <t>پاییز</t>
        </is>
      </c>
      <c r="I5107" s="134" t="inlineStr">
        <is>
          <t>جمعه</t>
        </is>
      </c>
      <c r="J5107" s="134" t="inlineStr">
        <is>
          <t>بله</t>
        </is>
      </c>
    </row>
    <row r="5108">
      <c r="A5108" s="173" t="n">
        <v>50029</v>
      </c>
      <c r="B5108" s="174" t="n">
        <v>50029</v>
      </c>
      <c r="C5108" s="174" t="n">
        <v>1415</v>
      </c>
      <c r="D5108" s="174" t="n">
        <v>9</v>
      </c>
      <c r="E5108" s="175" t="inlineStr">
        <is>
          <t>1415/09/30</t>
        </is>
      </c>
      <c r="F5108" s="128" t="inlineStr">
        <is>
          <t>1415/09</t>
        </is>
      </c>
      <c r="G5108" s="58" t="inlineStr">
        <is>
          <t>آذر</t>
        </is>
      </c>
      <c r="H5108" s="128" t="inlineStr">
        <is>
          <t>پاییز</t>
        </is>
      </c>
      <c r="I5108" s="128" t="inlineStr">
        <is>
          <t>شنبه</t>
        </is>
      </c>
      <c r="J5108" s="128" t="inlineStr">
        <is>
          <t>خیر</t>
        </is>
      </c>
    </row>
    <row r="5109">
      <c r="A5109" s="176" t="n">
        <v>50030</v>
      </c>
      <c r="B5109" s="177" t="n">
        <v>50030</v>
      </c>
      <c r="C5109" s="177" t="n">
        <v>1415</v>
      </c>
      <c r="D5109" s="177" t="n">
        <v>10</v>
      </c>
      <c r="E5109" s="178" t="inlineStr">
        <is>
          <t>1415/10/01</t>
        </is>
      </c>
      <c r="F5109" s="134" t="inlineStr">
        <is>
          <t>1415/10</t>
        </is>
      </c>
      <c r="G5109" s="61" t="inlineStr">
        <is>
          <t>دی</t>
        </is>
      </c>
      <c r="H5109" s="134" t="inlineStr">
        <is>
          <t>زمستان</t>
        </is>
      </c>
      <c r="I5109" s="134" t="inlineStr">
        <is>
          <t>یکشنبه</t>
        </is>
      </c>
      <c r="J5109" s="134" t="inlineStr">
        <is>
          <t>خیر</t>
        </is>
      </c>
    </row>
    <row r="5110">
      <c r="A5110" s="173" t="n">
        <v>50031</v>
      </c>
      <c r="B5110" s="174" t="n">
        <v>50031</v>
      </c>
      <c r="C5110" s="174" t="n">
        <v>1415</v>
      </c>
      <c r="D5110" s="174" t="n">
        <v>10</v>
      </c>
      <c r="E5110" s="175" t="inlineStr">
        <is>
          <t>1415/10/02</t>
        </is>
      </c>
      <c r="F5110" s="128" t="inlineStr">
        <is>
          <t>1415/10</t>
        </is>
      </c>
      <c r="G5110" s="58" t="inlineStr">
        <is>
          <t>دی</t>
        </is>
      </c>
      <c r="H5110" s="128" t="inlineStr">
        <is>
          <t>زمستان</t>
        </is>
      </c>
      <c r="I5110" s="128" t="inlineStr">
        <is>
          <t>دوشنبه</t>
        </is>
      </c>
      <c r="J5110" s="128" t="inlineStr">
        <is>
          <t>بله</t>
        </is>
      </c>
    </row>
    <row r="5111">
      <c r="A5111" s="176" t="n">
        <v>50032</v>
      </c>
      <c r="B5111" s="177" t="n">
        <v>50032</v>
      </c>
      <c r="C5111" s="177" t="n">
        <v>1415</v>
      </c>
      <c r="D5111" s="177" t="n">
        <v>10</v>
      </c>
      <c r="E5111" s="178" t="inlineStr">
        <is>
          <t>1415/10/03</t>
        </is>
      </c>
      <c r="F5111" s="134" t="inlineStr">
        <is>
          <t>1415/10</t>
        </is>
      </c>
      <c r="G5111" s="61" t="inlineStr">
        <is>
          <t>دی</t>
        </is>
      </c>
      <c r="H5111" s="134" t="inlineStr">
        <is>
          <t>زمستان</t>
        </is>
      </c>
      <c r="I5111" s="134" t="inlineStr">
        <is>
          <t>سه‌شنبه</t>
        </is>
      </c>
      <c r="J5111" s="134" t="inlineStr">
        <is>
          <t>بله</t>
        </is>
      </c>
    </row>
    <row r="5112">
      <c r="A5112" s="173" t="n">
        <v>50033</v>
      </c>
      <c r="B5112" s="174" t="n">
        <v>50033</v>
      </c>
      <c r="C5112" s="174" t="n">
        <v>1415</v>
      </c>
      <c r="D5112" s="174" t="n">
        <v>10</v>
      </c>
      <c r="E5112" s="175" t="inlineStr">
        <is>
          <t>1415/10/04</t>
        </is>
      </c>
      <c r="F5112" s="128" t="inlineStr">
        <is>
          <t>1415/10</t>
        </is>
      </c>
      <c r="G5112" s="58" t="inlineStr">
        <is>
          <t>دی</t>
        </is>
      </c>
      <c r="H5112" s="128" t="inlineStr">
        <is>
          <t>زمستان</t>
        </is>
      </c>
      <c r="I5112" s="128" t="inlineStr">
        <is>
          <t>چهارشنبه</t>
        </is>
      </c>
      <c r="J5112" s="128" t="inlineStr">
        <is>
          <t>بله</t>
        </is>
      </c>
    </row>
    <row r="5113">
      <c r="A5113" s="176" t="n">
        <v>50034</v>
      </c>
      <c r="B5113" s="177" t="n">
        <v>50034</v>
      </c>
      <c r="C5113" s="177" t="n">
        <v>1415</v>
      </c>
      <c r="D5113" s="177" t="n">
        <v>10</v>
      </c>
      <c r="E5113" s="178" t="inlineStr">
        <is>
          <t>1415/10/05</t>
        </is>
      </c>
      <c r="F5113" s="134" t="inlineStr">
        <is>
          <t>1415/10</t>
        </is>
      </c>
      <c r="G5113" s="61" t="inlineStr">
        <is>
          <t>دی</t>
        </is>
      </c>
      <c r="H5113" s="134" t="inlineStr">
        <is>
          <t>زمستان</t>
        </is>
      </c>
      <c r="I5113" s="134" t="inlineStr">
        <is>
          <t>پنجشنبه</t>
        </is>
      </c>
      <c r="J5113" s="134" t="inlineStr">
        <is>
          <t>بله</t>
        </is>
      </c>
    </row>
    <row r="5114">
      <c r="A5114" s="173" t="n">
        <v>50035</v>
      </c>
      <c r="B5114" s="174" t="n">
        <v>50035</v>
      </c>
      <c r="C5114" s="174" t="n">
        <v>1415</v>
      </c>
      <c r="D5114" s="174" t="n">
        <v>10</v>
      </c>
      <c r="E5114" s="175" t="inlineStr">
        <is>
          <t>1415/10/06</t>
        </is>
      </c>
      <c r="F5114" s="128" t="inlineStr">
        <is>
          <t>1415/10</t>
        </is>
      </c>
      <c r="G5114" s="58" t="inlineStr">
        <is>
          <t>دی</t>
        </is>
      </c>
      <c r="H5114" s="128" t="inlineStr">
        <is>
          <t>زمستان</t>
        </is>
      </c>
      <c r="I5114" s="128" t="inlineStr">
        <is>
          <t>جمعه</t>
        </is>
      </c>
      <c r="J5114" s="128" t="inlineStr">
        <is>
          <t>بله</t>
        </is>
      </c>
    </row>
    <row r="5115">
      <c r="A5115" s="176" t="n">
        <v>50036</v>
      </c>
      <c r="B5115" s="177" t="n">
        <v>50036</v>
      </c>
      <c r="C5115" s="177" t="n">
        <v>1415</v>
      </c>
      <c r="D5115" s="177" t="n">
        <v>10</v>
      </c>
      <c r="E5115" s="178" t="inlineStr">
        <is>
          <t>1415/10/07</t>
        </is>
      </c>
      <c r="F5115" s="134" t="inlineStr">
        <is>
          <t>1415/10</t>
        </is>
      </c>
      <c r="G5115" s="61" t="inlineStr">
        <is>
          <t>دی</t>
        </is>
      </c>
      <c r="H5115" s="134" t="inlineStr">
        <is>
          <t>زمستان</t>
        </is>
      </c>
      <c r="I5115" s="134" t="inlineStr">
        <is>
          <t>شنبه</t>
        </is>
      </c>
      <c r="J5115" s="134" t="inlineStr">
        <is>
          <t>خیر</t>
        </is>
      </c>
    </row>
    <row r="5116">
      <c r="A5116" s="173" t="n">
        <v>50037</v>
      </c>
      <c r="B5116" s="174" t="n">
        <v>50037</v>
      </c>
      <c r="C5116" s="174" t="n">
        <v>1415</v>
      </c>
      <c r="D5116" s="174" t="n">
        <v>10</v>
      </c>
      <c r="E5116" s="175" t="inlineStr">
        <is>
          <t>1415/10/08</t>
        </is>
      </c>
      <c r="F5116" s="128" t="inlineStr">
        <is>
          <t>1415/10</t>
        </is>
      </c>
      <c r="G5116" s="58" t="inlineStr">
        <is>
          <t>دی</t>
        </is>
      </c>
      <c r="H5116" s="128" t="inlineStr">
        <is>
          <t>زمستان</t>
        </is>
      </c>
      <c r="I5116" s="128" t="inlineStr">
        <is>
          <t>یکشنبه</t>
        </is>
      </c>
      <c r="J5116" s="128" t="inlineStr">
        <is>
          <t>خیر</t>
        </is>
      </c>
    </row>
    <row r="5117">
      <c r="A5117" s="176" t="n">
        <v>50038</v>
      </c>
      <c r="B5117" s="177" t="n">
        <v>50038</v>
      </c>
      <c r="C5117" s="177" t="n">
        <v>1415</v>
      </c>
      <c r="D5117" s="177" t="n">
        <v>10</v>
      </c>
      <c r="E5117" s="178" t="inlineStr">
        <is>
          <t>1415/10/09</t>
        </is>
      </c>
      <c r="F5117" s="134" t="inlineStr">
        <is>
          <t>1415/10</t>
        </is>
      </c>
      <c r="G5117" s="61" t="inlineStr">
        <is>
          <t>دی</t>
        </is>
      </c>
      <c r="H5117" s="134" t="inlineStr">
        <is>
          <t>زمستان</t>
        </is>
      </c>
      <c r="I5117" s="134" t="inlineStr">
        <is>
          <t>دوشنبه</t>
        </is>
      </c>
      <c r="J5117" s="134" t="inlineStr">
        <is>
          <t>بله</t>
        </is>
      </c>
    </row>
    <row r="5118">
      <c r="A5118" s="173" t="n">
        <v>50039</v>
      </c>
      <c r="B5118" s="174" t="n">
        <v>50039</v>
      </c>
      <c r="C5118" s="174" t="n">
        <v>1415</v>
      </c>
      <c r="D5118" s="174" t="n">
        <v>10</v>
      </c>
      <c r="E5118" s="175" t="inlineStr">
        <is>
          <t>1415/10/10</t>
        </is>
      </c>
      <c r="F5118" s="128" t="inlineStr">
        <is>
          <t>1415/10</t>
        </is>
      </c>
      <c r="G5118" s="58" t="inlineStr">
        <is>
          <t>دی</t>
        </is>
      </c>
      <c r="H5118" s="128" t="inlineStr">
        <is>
          <t>زمستان</t>
        </is>
      </c>
      <c r="I5118" s="128" t="inlineStr">
        <is>
          <t>سه‌شنبه</t>
        </is>
      </c>
      <c r="J5118" s="128" t="inlineStr">
        <is>
          <t>بله</t>
        </is>
      </c>
    </row>
    <row r="5119">
      <c r="A5119" s="176" t="n">
        <v>50040</v>
      </c>
      <c r="B5119" s="177" t="n">
        <v>50040</v>
      </c>
      <c r="C5119" s="177" t="n">
        <v>1415</v>
      </c>
      <c r="D5119" s="177" t="n">
        <v>10</v>
      </c>
      <c r="E5119" s="178" t="inlineStr">
        <is>
          <t>1415/10/11</t>
        </is>
      </c>
      <c r="F5119" s="134" t="inlineStr">
        <is>
          <t>1415/10</t>
        </is>
      </c>
      <c r="G5119" s="61" t="inlineStr">
        <is>
          <t>دی</t>
        </is>
      </c>
      <c r="H5119" s="134" t="inlineStr">
        <is>
          <t>زمستان</t>
        </is>
      </c>
      <c r="I5119" s="134" t="inlineStr">
        <is>
          <t>چهارشنبه</t>
        </is>
      </c>
      <c r="J5119" s="134" t="inlineStr">
        <is>
          <t>بله</t>
        </is>
      </c>
    </row>
    <row r="5121" ht="20" customHeight="1">
      <c r="A5121" s="39" t="inlineStr">
        <is>
          <t>این شیت پشتیبان است؛ برای پنهان‌کردن آن: راست‌کلیک روی برگه ← Hide (هیچ فرمولی خراب نمی‌شود).</t>
        </is>
      </c>
      <c r="B5121" s="10" t="n"/>
      <c r="C5121" s="10" t="n"/>
      <c r="D5121" s="10" t="n"/>
      <c r="E5121" s="10" t="n"/>
      <c r="F5121" s="10" t="n"/>
      <c r="G5121" s="10" t="n"/>
      <c r="H5121" s="10" t="n"/>
      <c r="I5121" s="10" t="n"/>
      <c r="J5121" s="40" t="n"/>
    </row>
  </sheetData>
  <mergeCells count="3">
    <mergeCell ref="A1:J1"/>
    <mergeCell ref="A5121:J5121"/>
    <mergeCell ref="A2:J2"/>
  </mergeCells>
  <conditionalFormatting sqref="J6:J5119">
    <cfRule type="expression" priority="1" dxfId="10" stopIfTrue="0">
      <formula>$J6="خیر"</formula>
    </cfRule>
  </conditionalFormatting>
  <printOptions horizontalCentered="1"/>
  <pageMargins left="0.75" right="0.75" top="1" bottom="1" header="0.5" footer="0.5"/>
  <pageSetup orientation="portrait" paperSize="9" fitToHeight="0" fitToWidth="1"/>
  <headerFooter>
    <oddHeader/>
    <oddFooter>&amp;C&amp;8 &amp;K64748B&amp;A — صفحهٔ &amp;P از &amp;N</oddFooter>
    <evenHeader/>
    <evenFooter>&amp;C&amp;A — صفحهٔ &amp;P از &amp;N</evenFooter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طراحی‌شده از صفر — نسخهٔ ۲٫۰</dc:creator>
  <dc:title>کارپوشهٔ جامع کمیسیون فنی</dc:title>
  <dc:description>کارپوشهٔ چندشیتی با موتور محاسبهٔ فرمولی: نرخ پله‌ای، کف و سقف، مالیات و عوارض، سهم اعضا، گزارش‌ها، داشبورد و کنترل کیفیت داده.</dc:description>
  <dc:subject>محاسبهٔ کمیسیون، سهم اعضا و گزارش‌های مدیریتی</dc:subject>
  <dcterms:created xsi:type="dcterms:W3CDTF">2026-10-14T06:46:08Z</dcterms:created>
  <dcterms:modified xsi:type="dcterms:W3CDTF">2026-10-14T06:46:12Z</dcterms:modified>
  <cp:category>مالی و مدیریتی</cp:category>
  <cp:keywords>کمیسیون فنی، ریال، تقویم شمسی، داشبورد، گزارش مدیریتی</cp:keywords>
</cp:coreProperties>
</file>